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Mid Cap" sheetId="3" state="visible" r:id="rId3"/>
    <sheet xmlns:r="http://schemas.openxmlformats.org/officeDocument/2006/relationships" name="Small Cap" sheetId="4" state="visible" r:id="rId4"/>
    <sheet xmlns:r="http://schemas.openxmlformats.org/officeDocument/2006/relationships" name="Flexi Cap" sheetId="5" state="visible" r:id="rId5"/>
    <sheet xmlns:r="http://schemas.openxmlformats.org/officeDocument/2006/relationships" name="Multi Cap" sheetId="6" state="visible" r:id="rId6"/>
    <sheet xmlns:r="http://schemas.openxmlformats.org/officeDocument/2006/relationships" name="Focused" sheetId="7" state="visible" r:id="rId7"/>
    <sheet xmlns:r="http://schemas.openxmlformats.org/officeDocument/2006/relationships" name="EL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LARGE CAP FUND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>Yield %</t>
        </is>
      </c>
      <c r="I4" t="inlineStr">
        <is>
          <t xml:space="preserve">Market Capitalization </t>
        </is>
      </c>
      <c r="L4" t="inlineStr">
        <is>
          <t>Scheme Risk-O-Meter Level- November'25</t>
        </is>
      </c>
      <c r="M4" t="inlineStr">
        <is>
          <t>Benchmark Risk-O-Meter Level- November'25</t>
        </is>
      </c>
      <c r="N4" t="inlineStr">
        <is>
          <t>Scheme Risk-O-Meter Level- October'25</t>
        </is>
      </c>
      <c r="O4" t="inlineStr">
        <is>
          <t>Benchmark Risk-O-Meter Level- October'25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16602512</v>
      </c>
      <c r="F7" t="n">
        <v>167286.91</v>
      </c>
      <c r="G7" t="n">
        <v>9.539999999999999</v>
      </c>
      <c r="I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10100600</v>
      </c>
      <c r="F8" t="n">
        <v>140277.13</v>
      </c>
      <c r="G8" t="n">
        <v>8</v>
      </c>
      <c r="I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6551500</v>
      </c>
      <c r="F9" t="n">
        <v>102694.76</v>
      </c>
      <c r="G9" t="n">
        <v>5.86</v>
      </c>
      <c r="I9" t="inlineStr">
        <is>
          <t>Large Cap</t>
        </is>
      </c>
    </row>
    <row r="10">
      <c r="B10" t="inlineStr">
        <is>
          <t>Bharti Airtel Ltd</t>
        </is>
      </c>
      <c r="C10" t="inlineStr">
        <is>
          <t>INE397D01024</t>
        </is>
      </c>
      <c r="D10" t="inlineStr">
        <is>
          <t>Telecom - Services</t>
        </is>
      </c>
      <c r="E10" t="n">
        <v>3655316</v>
      </c>
      <c r="F10" t="n">
        <v>76820.12</v>
      </c>
      <c r="G10" t="n">
        <v>4.38</v>
      </c>
      <c r="I10" t="inlineStr">
        <is>
          <t>Large Cap</t>
        </is>
      </c>
    </row>
    <row r="11">
      <c r="B11" t="inlineStr">
        <is>
          <t>State Bank of India</t>
        </is>
      </c>
      <c r="C11" t="inlineStr">
        <is>
          <t>INE062A01020</t>
        </is>
      </c>
      <c r="D11" t="inlineStr">
        <is>
          <t>Banks</t>
        </is>
      </c>
      <c r="E11" t="n">
        <v>7352795</v>
      </c>
      <c r="F11" t="n">
        <v>71983.86</v>
      </c>
      <c r="G11" t="n">
        <v>4.11</v>
      </c>
      <c r="I11" t="inlineStr">
        <is>
          <t>Large Cap</t>
        </is>
      </c>
    </row>
    <row r="12">
      <c r="B12" t="inlineStr">
        <is>
          <t>Infosys Ltd</t>
        </is>
      </c>
      <c r="C12" t="inlineStr">
        <is>
          <t>INE009A01021</t>
        </is>
      </c>
      <c r="D12" t="inlineStr">
        <is>
          <t>IT - Software</t>
        </is>
      </c>
      <c r="E12" t="n">
        <v>4609142</v>
      </c>
      <c r="F12" t="n">
        <v>71907.22</v>
      </c>
      <c r="G12" t="n">
        <v>4.1</v>
      </c>
      <c r="I12" t="inlineStr">
        <is>
          <t>Large Cap</t>
        </is>
      </c>
    </row>
    <row r="13">
      <c r="B13" t="inlineStr">
        <is>
          <t>Larsen &amp; Toubro Ltd</t>
        </is>
      </c>
      <c r="C13" t="inlineStr">
        <is>
          <t>INE018A01030</t>
        </is>
      </c>
      <c r="D13" t="inlineStr">
        <is>
          <t>Construction</t>
        </is>
      </c>
      <c r="E13" t="n">
        <v>1732992</v>
      </c>
      <c r="F13" t="n">
        <v>70525.84</v>
      </c>
      <c r="G13" t="n">
        <v>4.02</v>
      </c>
      <c r="I13" t="inlineStr">
        <is>
          <t>Large Cap</t>
        </is>
      </c>
      <c r="M13" t="inlineStr">
        <is>
          <t>Benchmark: BSE 100 TRI</t>
        </is>
      </c>
    </row>
    <row r="14">
      <c r="B14" t="inlineStr">
        <is>
          <t>Mahindra &amp; Mahindra Ltd</t>
        </is>
      </c>
      <c r="C14" t="inlineStr">
        <is>
          <t>INE101A01026</t>
        </is>
      </c>
      <c r="D14" t="inlineStr">
        <is>
          <t>Automobiles</t>
        </is>
      </c>
      <c r="E14" t="n">
        <v>1643515</v>
      </c>
      <c r="F14" t="n">
        <v>61751.79</v>
      </c>
      <c r="G14" t="n">
        <v>3.52</v>
      </c>
      <c r="I14" t="inlineStr">
        <is>
          <t>Large Cap</t>
        </is>
      </c>
    </row>
    <row r="15">
      <c r="B15" t="inlineStr">
        <is>
          <t>Bajaj Finance Ltd</t>
        </is>
      </c>
      <c r="C15" t="inlineStr">
        <is>
          <t>INE296A01032</t>
        </is>
      </c>
      <c r="D15" t="inlineStr">
        <is>
          <t>Finance</t>
        </is>
      </c>
      <c r="E15" t="n">
        <v>4909340</v>
      </c>
      <c r="F15" t="n">
        <v>50934.4</v>
      </c>
      <c r="G15" t="n">
        <v>2.91</v>
      </c>
      <c r="I15" t="inlineStr">
        <is>
          <t>Large Cap</t>
        </is>
      </c>
    </row>
    <row r="16">
      <c r="B16" t="inlineStr">
        <is>
          <t>ITC Ltd</t>
        </is>
      </c>
      <c r="C16" t="inlineStr">
        <is>
          <t>INE154A01025</t>
        </is>
      </c>
      <c r="D16" t="inlineStr">
        <is>
          <t>Diversified Fmcg</t>
        </is>
      </c>
      <c r="E16" t="n">
        <v>11250000</v>
      </c>
      <c r="F16" t="n">
        <v>45478.13</v>
      </c>
      <c r="G16" t="n">
        <v>2.59</v>
      </c>
      <c r="I16" t="inlineStr">
        <is>
          <t>Large Cap</t>
        </is>
      </c>
    </row>
    <row r="17">
      <c r="B17" t="inlineStr">
        <is>
          <t>Axis Bank Ltd</t>
        </is>
      </c>
      <c r="C17" t="inlineStr">
        <is>
          <t>INE238A01034</t>
        </is>
      </c>
      <c r="D17" t="inlineStr">
        <is>
          <t>Banks</t>
        </is>
      </c>
      <c r="E17" t="n">
        <v>3509200</v>
      </c>
      <c r="F17" t="n">
        <v>44907.23</v>
      </c>
      <c r="G17" t="n">
        <v>2.56</v>
      </c>
      <c r="I17" t="inlineStr">
        <is>
          <t>Large Cap</t>
        </is>
      </c>
    </row>
    <row r="18">
      <c r="B18" t="inlineStr">
        <is>
          <t>Eternal Ltd</t>
        </is>
      </c>
      <c r="C18" t="inlineStr">
        <is>
          <t>INE758T01015</t>
        </is>
      </c>
      <c r="D18" t="inlineStr">
        <is>
          <t>Retailing</t>
        </is>
      </c>
      <c r="E18" t="n">
        <v>13440000</v>
      </c>
      <c r="F18" t="n">
        <v>40333.44</v>
      </c>
      <c r="G18" t="n">
        <v>2.3</v>
      </c>
      <c r="I18" t="inlineStr">
        <is>
          <t>Large Cap</t>
        </is>
      </c>
    </row>
    <row r="19">
      <c r="B19" t="inlineStr">
        <is>
          <t>Kotak Mahindra Bank Ltd</t>
        </is>
      </c>
      <c r="C19" t="inlineStr">
        <is>
          <t>INE237A01028</t>
        </is>
      </c>
      <c r="D19" t="inlineStr">
        <is>
          <t>Banks</t>
        </is>
      </c>
      <c r="E19" t="n">
        <v>1853750</v>
      </c>
      <c r="F19" t="n">
        <v>39381.07</v>
      </c>
      <c r="G19" t="n">
        <v>2.25</v>
      </c>
      <c r="I19" t="inlineStr">
        <is>
          <t>Large Cap</t>
        </is>
      </c>
    </row>
    <row r="20">
      <c r="B20" t="inlineStr">
        <is>
          <t>Ultratech Cement Ltd</t>
        </is>
      </c>
      <c r="C20" t="inlineStr">
        <is>
          <t>INE481G01011</t>
        </is>
      </c>
      <c r="D20" t="inlineStr">
        <is>
          <t>Cement &amp; Cement Products</t>
        </is>
      </c>
      <c r="E20" t="n">
        <v>321152</v>
      </c>
      <c r="F20" t="n">
        <v>37253.63</v>
      </c>
      <c r="G20" t="n">
        <v>2.13</v>
      </c>
      <c r="I20" t="inlineStr">
        <is>
          <t>Large Cap</t>
        </is>
      </c>
    </row>
    <row r="21">
      <c r="B21" t="inlineStr">
        <is>
          <t>Sun Pharmaceutical Industries Ltd</t>
        </is>
      </c>
      <c r="C21" t="inlineStr">
        <is>
          <t>INE044A01036</t>
        </is>
      </c>
      <c r="D21" t="inlineStr">
        <is>
          <t>Pharmaceuticals &amp; Biotechnology</t>
        </is>
      </c>
      <c r="E21" t="n">
        <v>1919500</v>
      </c>
      <c r="F21" t="n">
        <v>35157.56</v>
      </c>
      <c r="G21" t="n">
        <v>2.01</v>
      </c>
      <c r="I21" t="inlineStr">
        <is>
          <t>Large Cap</t>
        </is>
      </c>
    </row>
    <row r="22">
      <c r="B22" t="inlineStr">
        <is>
          <t>Bharat Electronics Ltd</t>
        </is>
      </c>
      <c r="C22" t="inlineStr">
        <is>
          <t>INE263A01024</t>
        </is>
      </c>
      <c r="D22" t="inlineStr">
        <is>
          <t>Aerospace &amp; Defense</t>
        </is>
      </c>
      <c r="E22" t="n">
        <v>6900000</v>
      </c>
      <c r="F22" t="n">
        <v>28410.75</v>
      </c>
      <c r="G22" t="n">
        <v>1.62</v>
      </c>
      <c r="I22" t="inlineStr">
        <is>
          <t>Large Cap</t>
        </is>
      </c>
    </row>
    <row r="23">
      <c r="B23" t="inlineStr">
        <is>
          <t>SBI Life Insurance Co Ltd</t>
        </is>
      </c>
      <c r="C23" t="inlineStr">
        <is>
          <t>INE123W01016</t>
        </is>
      </c>
      <c r="D23" t="inlineStr">
        <is>
          <t>Insurance</t>
        </is>
      </c>
      <c r="E23" t="n">
        <v>1384651</v>
      </c>
      <c r="F23" t="n">
        <v>27222.24</v>
      </c>
      <c r="G23" t="n">
        <v>1.55</v>
      </c>
      <c r="I23" t="inlineStr">
        <is>
          <t>Large Cap</t>
        </is>
      </c>
    </row>
    <row r="24">
      <c r="B24" t="inlineStr">
        <is>
          <t>Maruti Suzuki India Ltd</t>
        </is>
      </c>
      <c r="C24" t="inlineStr">
        <is>
          <t>INE585B01010</t>
        </is>
      </c>
      <c r="D24" t="inlineStr">
        <is>
          <t>Automobiles</t>
        </is>
      </c>
      <c r="E24" t="n">
        <v>169650</v>
      </c>
      <c r="F24" t="n">
        <v>26974.35</v>
      </c>
      <c r="G24" t="n">
        <v>1.54</v>
      </c>
      <c r="I24" t="inlineStr">
        <is>
          <t>Large Cap</t>
        </is>
      </c>
    </row>
    <row r="25">
      <c r="B25" t="inlineStr">
        <is>
          <t>Tata Consultancy Services Ltd</t>
        </is>
      </c>
      <c r="C25" t="inlineStr">
        <is>
          <t>INE467B01029</t>
        </is>
      </c>
      <c r="D25" t="inlineStr">
        <is>
          <t>IT - Software</t>
        </is>
      </c>
      <c r="E25" t="n">
        <v>841982</v>
      </c>
      <c r="F25" t="n">
        <v>26417.19</v>
      </c>
      <c r="G25" t="n">
        <v>1.51</v>
      </c>
      <c r="I25" t="inlineStr">
        <is>
          <t>Large Cap</t>
        </is>
      </c>
    </row>
    <row r="26">
      <c r="B26" t="inlineStr">
        <is>
          <t>Interglobe Aviation Ltd</t>
        </is>
      </c>
      <c r="C26" t="inlineStr">
        <is>
          <t>INE646L01027</t>
        </is>
      </c>
      <c r="D26" t="inlineStr">
        <is>
          <t>Transport Services</t>
        </is>
      </c>
      <c r="E26" t="n">
        <v>441117</v>
      </c>
      <c r="F26" t="n">
        <v>26032.52</v>
      </c>
      <c r="G26" t="n">
        <v>1.49</v>
      </c>
      <c r="I26" t="inlineStr">
        <is>
          <t>Large Cap</t>
        </is>
      </c>
    </row>
    <row r="27">
      <c r="B27" t="inlineStr">
        <is>
          <t>Titan Co Ltd</t>
        </is>
      </c>
      <c r="C27" t="inlineStr">
        <is>
          <t>INE280A01028</t>
        </is>
      </c>
      <c r="D27" t="inlineStr">
        <is>
          <t>Consumer Durables</t>
        </is>
      </c>
      <c r="E27" t="n">
        <v>648050</v>
      </c>
      <c r="F27" t="n">
        <v>25323.85</v>
      </c>
      <c r="G27" t="n">
        <v>1.44</v>
      </c>
      <c r="I27" t="inlineStr">
        <is>
          <t>Large Cap</t>
        </is>
      </c>
    </row>
    <row r="28">
      <c r="B28" t="inlineStr">
        <is>
          <t>Tata Consumer Products Ltd</t>
        </is>
      </c>
      <c r="C28" t="inlineStr">
        <is>
          <t>INE192A01025</t>
        </is>
      </c>
      <c r="D28" t="inlineStr">
        <is>
          <t>Agricultural Food &amp; Other Products</t>
        </is>
      </c>
      <c r="E28" t="n">
        <v>2159162</v>
      </c>
      <c r="F28" t="n">
        <v>25314.02</v>
      </c>
      <c r="G28" t="n">
        <v>1.44</v>
      </c>
      <c r="I28" t="inlineStr">
        <is>
          <t>Large Cap</t>
        </is>
      </c>
    </row>
    <row r="29">
      <c r="B29" t="inlineStr">
        <is>
          <t>Tech Mahindra Ltd</t>
        </is>
      </c>
      <c r="C29" t="inlineStr">
        <is>
          <t>INE669C01036</t>
        </is>
      </c>
      <c r="D29" t="inlineStr">
        <is>
          <t>IT - Software</t>
        </is>
      </c>
      <c r="E29" t="n">
        <v>1628532</v>
      </c>
      <c r="F29" t="n">
        <v>24709.72</v>
      </c>
      <c r="G29" t="n">
        <v>1.41</v>
      </c>
      <c r="I29" t="inlineStr">
        <is>
          <t>Large Cap</t>
        </is>
      </c>
    </row>
    <row r="30">
      <c r="B30" t="inlineStr">
        <is>
          <t>Indian Hotels Co Ltd</t>
        </is>
      </c>
      <c r="C30" t="inlineStr">
        <is>
          <t>INE053A01029</t>
        </is>
      </c>
      <c r="D30" t="inlineStr">
        <is>
          <t>Leisure Services</t>
        </is>
      </c>
      <c r="E30" t="n">
        <v>3074480</v>
      </c>
      <c r="F30" t="n">
        <v>22883.35</v>
      </c>
      <c r="G30" t="n">
        <v>1.31</v>
      </c>
      <c r="I30" t="inlineStr">
        <is>
          <t>Large Cap</t>
        </is>
      </c>
    </row>
    <row r="31">
      <c r="B31" t="inlineStr">
        <is>
          <t>Varun Beverages Ltd</t>
        </is>
      </c>
      <c r="C31" t="inlineStr">
        <is>
          <t>INE200M01039</t>
        </is>
      </c>
      <c r="D31" t="inlineStr">
        <is>
          <t>Beverages</t>
        </is>
      </c>
      <c r="E31" t="n">
        <v>4681703</v>
      </c>
      <c r="F31" t="n">
        <v>22544.74</v>
      </c>
      <c r="G31" t="n">
        <v>1.29</v>
      </c>
      <c r="I31" t="inlineStr">
        <is>
          <t>Large Cap</t>
        </is>
      </c>
    </row>
    <row r="32">
      <c r="B32" t="inlineStr">
        <is>
          <t>Max Healthcare Institute Ltd</t>
        </is>
      </c>
      <c r="C32" t="inlineStr">
        <is>
          <t>INE027H01010</t>
        </is>
      </c>
      <c r="D32" t="inlineStr">
        <is>
          <t>Healthcare Services</t>
        </is>
      </c>
      <c r="E32" t="n">
        <v>1938101</v>
      </c>
      <c r="F32" t="n">
        <v>22536.24</v>
      </c>
      <c r="G32" t="n">
        <v>1.29</v>
      </c>
      <c r="I32" t="inlineStr">
        <is>
          <t>Large Cap</t>
        </is>
      </c>
    </row>
    <row r="33">
      <c r="B33" t="inlineStr">
        <is>
          <t>Divi's Laboratories Ltd</t>
        </is>
      </c>
      <c r="C33" t="inlineStr">
        <is>
          <t>INE361B01024</t>
        </is>
      </c>
      <c r="D33" t="inlineStr">
        <is>
          <t>Pharmaceuticals &amp; Biotechnology</t>
        </is>
      </c>
      <c r="E33" t="n">
        <v>346065</v>
      </c>
      <c r="F33" t="n">
        <v>22414.63</v>
      </c>
      <c r="G33" t="n">
        <v>1.28</v>
      </c>
      <c r="I33" t="inlineStr">
        <is>
          <t>Large Cap</t>
        </is>
      </c>
    </row>
    <row r="34">
      <c r="B34" t="inlineStr">
        <is>
          <t>NTPC Ltd</t>
        </is>
      </c>
      <c r="C34" t="inlineStr">
        <is>
          <t>INE733E01010</t>
        </is>
      </c>
      <c r="D34" t="inlineStr">
        <is>
          <t>Power</t>
        </is>
      </c>
      <c r="E34" t="n">
        <v>6700000</v>
      </c>
      <c r="F34" t="n">
        <v>21872.15</v>
      </c>
      <c r="G34" t="n">
        <v>1.25</v>
      </c>
      <c r="I34" t="inlineStr">
        <is>
          <t>Large Cap</t>
        </is>
      </c>
    </row>
    <row r="35">
      <c r="B35" t="inlineStr">
        <is>
          <t>United Spirits Ltd</t>
        </is>
      </c>
      <c r="C35" t="inlineStr">
        <is>
          <t>INE854D01024</t>
        </is>
      </c>
      <c r="D35" t="inlineStr">
        <is>
          <t>Beverages</t>
        </is>
      </c>
      <c r="E35" t="n">
        <v>1445000</v>
      </c>
      <c r="F35" t="n">
        <v>20975.62</v>
      </c>
      <c r="G35" t="n">
        <v>1.2</v>
      </c>
      <c r="I35" t="inlineStr">
        <is>
          <t>Large Cap</t>
        </is>
      </c>
    </row>
    <row r="36">
      <c r="B36" t="inlineStr">
        <is>
          <t>Mankind Pharma Ltd</t>
        </is>
      </c>
      <c r="C36" t="inlineStr">
        <is>
          <t>INE634S01028</t>
        </is>
      </c>
      <c r="D36" t="inlineStr">
        <is>
          <t>Pharmaceuticals &amp; Biotechnology</t>
        </is>
      </c>
      <c r="E36" t="n">
        <v>914097</v>
      </c>
      <c r="F36" t="n">
        <v>20576.32</v>
      </c>
      <c r="G36" t="n">
        <v>1.17</v>
      </c>
      <c r="I36" t="inlineStr">
        <is>
          <t>Large Cap</t>
        </is>
      </c>
    </row>
    <row r="37">
      <c r="B37" t="inlineStr">
        <is>
          <t>Cholamandalam Investment and Finance Co Ltd</t>
        </is>
      </c>
      <c r="C37" t="inlineStr">
        <is>
          <t>INE121A01024</t>
        </is>
      </c>
      <c r="D37" t="inlineStr">
        <is>
          <t>Finance</t>
        </is>
      </c>
      <c r="E37" t="n">
        <v>1157021</v>
      </c>
      <c r="F37" t="n">
        <v>20085.88</v>
      </c>
      <c r="G37" t="n">
        <v>1.15</v>
      </c>
      <c r="I37" t="inlineStr">
        <is>
          <t>Large Cap</t>
        </is>
      </c>
    </row>
    <row r="38">
      <c r="B38" t="inlineStr">
        <is>
          <t>PB Fintech Ltd</t>
        </is>
      </c>
      <c r="C38" t="inlineStr">
        <is>
          <t>INE417T01026</t>
        </is>
      </c>
      <c r="D38" t="inlineStr">
        <is>
          <t>Financial Technology (Fintech)</t>
        </is>
      </c>
      <c r="E38" t="n">
        <v>1003481</v>
      </c>
      <c r="F38" t="n">
        <v>18252.32</v>
      </c>
      <c r="G38" t="n">
        <v>1.04</v>
      </c>
      <c r="I38" t="inlineStr">
        <is>
          <t>Mid Cap</t>
        </is>
      </c>
    </row>
    <row r="39">
      <c r="B39" t="inlineStr">
        <is>
          <t>PI Industries Ltd</t>
        </is>
      </c>
      <c r="C39" t="inlineStr">
        <is>
          <t>INE603J01030</t>
        </is>
      </c>
      <c r="D39" t="inlineStr">
        <is>
          <t>Fertilizers &amp; Agrochemicals</t>
        </is>
      </c>
      <c r="E39" t="n">
        <v>498501</v>
      </c>
      <c r="F39" t="n">
        <v>16927.1</v>
      </c>
      <c r="G39" t="n">
        <v>0.97</v>
      </c>
      <c r="I39" t="inlineStr">
        <is>
          <t>Mid Cap</t>
        </is>
      </c>
    </row>
    <row r="40">
      <c r="B40" t="inlineStr">
        <is>
          <t>Hindustan Aeronautics Ltd</t>
        </is>
      </c>
      <c r="C40" t="inlineStr">
        <is>
          <t>INE066F01020</t>
        </is>
      </c>
      <c r="D40" t="inlineStr">
        <is>
          <t>Aerospace &amp; Defense</t>
        </is>
      </c>
      <c r="E40" t="n">
        <v>353500</v>
      </c>
      <c r="F40" t="n">
        <v>16057.38</v>
      </c>
      <c r="G40" t="n">
        <v>0.92</v>
      </c>
      <c r="I40" t="inlineStr">
        <is>
          <t>Large Cap</t>
        </is>
      </c>
    </row>
    <row r="41">
      <c r="B41" t="inlineStr">
        <is>
          <t>CG Power and Industrial Solutions Ltd</t>
        </is>
      </c>
      <c r="C41" t="inlineStr">
        <is>
          <t>INE067A01029</t>
        </is>
      </c>
      <c r="D41" t="inlineStr">
        <is>
          <t>Electrical Equipment</t>
        </is>
      </c>
      <c r="E41" t="n">
        <v>2356433</v>
      </c>
      <c r="F41" t="n">
        <v>15856.44</v>
      </c>
      <c r="G41" t="n">
        <v>0.9</v>
      </c>
      <c r="I41" t="inlineStr">
        <is>
          <t>Large Cap</t>
        </is>
      </c>
    </row>
    <row r="42">
      <c r="B42" t="inlineStr">
        <is>
          <t>Hindustan Unilever Ltd</t>
        </is>
      </c>
      <c r="C42" t="inlineStr">
        <is>
          <t>INE030A01027</t>
        </is>
      </c>
      <c r="D42" t="inlineStr">
        <is>
          <t>Diversified Fmcg</t>
        </is>
      </c>
      <c r="E42" t="n">
        <v>622800</v>
      </c>
      <c r="F42" t="n">
        <v>15361.98</v>
      </c>
      <c r="G42" t="n">
        <v>0.88</v>
      </c>
      <c r="I42" t="inlineStr">
        <is>
          <t>Large Cap</t>
        </is>
      </c>
    </row>
    <row r="43">
      <c r="B43" t="inlineStr">
        <is>
          <t>Torrent Pharmaceuticals Ltd</t>
        </is>
      </c>
      <c r="C43" t="inlineStr">
        <is>
          <t>INE685A01028</t>
        </is>
      </c>
      <c r="D43" t="inlineStr">
        <is>
          <t>Pharmaceuticals &amp; Biotechnology</t>
        </is>
      </c>
      <c r="E43" t="n">
        <v>407164</v>
      </c>
      <c r="F43" t="n">
        <v>15148.94</v>
      </c>
      <c r="G43" t="n">
        <v>0.86</v>
      </c>
      <c r="I43" t="inlineStr">
        <is>
          <t>Large Cap</t>
        </is>
      </c>
    </row>
    <row r="44">
      <c r="B44" t="inlineStr">
        <is>
          <t>Tata Power Co Ltd</t>
        </is>
      </c>
      <c r="C44" t="inlineStr">
        <is>
          <t>INE245A01021</t>
        </is>
      </c>
      <c r="D44" t="inlineStr">
        <is>
          <t>Power</t>
        </is>
      </c>
      <c r="E44" t="n">
        <v>3850000</v>
      </c>
      <c r="F44" t="n">
        <v>15018.85</v>
      </c>
      <c r="G44" t="n">
        <v>0.86</v>
      </c>
      <c r="I44" t="inlineStr">
        <is>
          <t>Large Cap</t>
        </is>
      </c>
    </row>
    <row r="45">
      <c r="B45" t="inlineStr">
        <is>
          <t>Hindalco Industries Ltd</t>
        </is>
      </c>
      <c r="C45" t="inlineStr">
        <is>
          <t>INE038A01020</t>
        </is>
      </c>
      <c r="D45" t="inlineStr">
        <is>
          <t>Non - Ferrous Metals</t>
        </is>
      </c>
      <c r="E45" t="n">
        <v>1776000</v>
      </c>
      <c r="F45" t="n">
        <v>14357.18</v>
      </c>
      <c r="G45" t="n">
        <v>0.82</v>
      </c>
      <c r="I45" t="inlineStr">
        <is>
          <t>Large Cap</t>
        </is>
      </c>
    </row>
    <row r="46">
      <c r="B46" t="inlineStr">
        <is>
          <t>Trent Ltd</t>
        </is>
      </c>
      <c r="C46" t="inlineStr">
        <is>
          <t>INE849A01020</t>
        </is>
      </c>
      <c r="D46" t="inlineStr">
        <is>
          <t>Retailing</t>
        </is>
      </c>
      <c r="E46" t="n">
        <v>336697</v>
      </c>
      <c r="F46" t="n">
        <v>14310.97</v>
      </c>
      <c r="G46" t="n">
        <v>0.82</v>
      </c>
      <c r="I46" t="inlineStr">
        <is>
          <t>Large Cap</t>
        </is>
      </c>
    </row>
    <row r="47">
      <c r="B47" t="inlineStr">
        <is>
          <t>Bajaj Auto Ltd</t>
        </is>
      </c>
      <c r="C47" t="inlineStr">
        <is>
          <t>INE917I01010</t>
        </is>
      </c>
      <c r="D47" t="inlineStr">
        <is>
          <t>Automobiles</t>
        </is>
      </c>
      <c r="E47" t="n">
        <v>143881</v>
      </c>
      <c r="F47" t="n">
        <v>13055.04</v>
      </c>
      <c r="G47" t="n">
        <v>0.74</v>
      </c>
      <c r="I47" t="inlineStr">
        <is>
          <t>Large Cap</t>
        </is>
      </c>
    </row>
    <row r="48">
      <c r="B48" t="inlineStr">
        <is>
          <t>HCL Technologies Ltd</t>
        </is>
      </c>
      <c r="C48" t="inlineStr">
        <is>
          <t>INE860A01027</t>
        </is>
      </c>
      <c r="D48" t="inlineStr">
        <is>
          <t>IT - Software</t>
        </is>
      </c>
      <c r="E48" t="n">
        <v>790422</v>
      </c>
      <c r="F48" t="n">
        <v>12838.03</v>
      </c>
      <c r="G48" t="n">
        <v>0.73</v>
      </c>
      <c r="I48" t="inlineStr">
        <is>
          <t>Large Cap</t>
        </is>
      </c>
    </row>
    <row r="49">
      <c r="B49" t="inlineStr">
        <is>
          <t>Samvardhana Motherson International Ltd</t>
        </is>
      </c>
      <c r="C49" t="inlineStr">
        <is>
          <t>INE775A01035</t>
        </is>
      </c>
      <c r="D49" t="inlineStr">
        <is>
          <t>Auto Components</t>
        </is>
      </c>
      <c r="E49" t="n">
        <v>10875000</v>
      </c>
      <c r="F49" t="n">
        <v>12648.71</v>
      </c>
      <c r="G49" t="n">
        <v>0.72</v>
      </c>
      <c r="I49" t="inlineStr">
        <is>
          <t>Large Cap</t>
        </is>
      </c>
    </row>
    <row r="50">
      <c r="B50" t="inlineStr">
        <is>
          <t>Britannia Industries Ltd</t>
        </is>
      </c>
      <c r="C50" t="inlineStr">
        <is>
          <t>INE216A01030</t>
        </is>
      </c>
      <c r="D50" t="inlineStr">
        <is>
          <t>Food Products</t>
        </is>
      </c>
      <c r="E50" t="n">
        <v>204286</v>
      </c>
      <c r="F50" t="n">
        <v>11942.56</v>
      </c>
      <c r="G50" t="n">
        <v>0.68</v>
      </c>
      <c r="I50" t="inlineStr">
        <is>
          <t>Large Cap</t>
        </is>
      </c>
    </row>
    <row r="51">
      <c r="B51" t="inlineStr">
        <is>
          <t>Uno Minda Ltd</t>
        </is>
      </c>
      <c r="C51" t="inlineStr">
        <is>
          <t>INE405E01023</t>
        </is>
      </c>
      <c r="D51" t="inlineStr">
        <is>
          <t>Auto Components</t>
        </is>
      </c>
      <c r="E51" t="n">
        <v>822485</v>
      </c>
      <c r="F51" t="n">
        <v>10748.23</v>
      </c>
      <c r="G51" t="n">
        <v>0.61</v>
      </c>
      <c r="I51" t="inlineStr">
        <is>
          <t>Mid Cap</t>
        </is>
      </c>
    </row>
    <row r="52">
      <c r="B52" t="inlineStr">
        <is>
          <t>Info Edge (India) Ltd</t>
        </is>
      </c>
      <c r="C52" t="inlineStr">
        <is>
          <t>INE663F01032</t>
        </is>
      </c>
      <c r="D52" t="inlineStr">
        <is>
          <t>Retailing</t>
        </is>
      </c>
      <c r="E52" t="n">
        <v>764215</v>
      </c>
      <c r="F52" t="n">
        <v>10165.59</v>
      </c>
      <c r="G52" t="n">
        <v>0.58</v>
      </c>
      <c r="I52" t="inlineStr">
        <is>
          <t>Large Cap</t>
        </is>
      </c>
    </row>
    <row r="53">
      <c r="B53" t="inlineStr">
        <is>
          <t>TVS Motor Co Ltd</t>
        </is>
      </c>
      <c r="C53" t="inlineStr">
        <is>
          <t>INE494B01023</t>
        </is>
      </c>
      <c r="D53" t="inlineStr">
        <is>
          <t>Automobiles</t>
        </is>
      </c>
      <c r="E53" t="n">
        <v>275000</v>
      </c>
      <c r="F53" t="n">
        <v>9711.629999999999</v>
      </c>
      <c r="G53" t="n">
        <v>0.55</v>
      </c>
      <c r="I53" t="inlineStr">
        <is>
          <t>Large Cap</t>
        </is>
      </c>
    </row>
    <row r="54">
      <c r="B54" t="inlineStr">
        <is>
          <t>Abbott India Ltd</t>
        </is>
      </c>
      <c r="C54" t="inlineStr">
        <is>
          <t>INE358A01014</t>
        </is>
      </c>
      <c r="D54" t="inlineStr">
        <is>
          <t>Pharmaceuticals &amp; Biotechnology</t>
        </is>
      </c>
      <c r="E54" t="n">
        <v>31701</v>
      </c>
      <c r="F54" t="n">
        <v>9534.08</v>
      </c>
      <c r="G54" t="n">
        <v>0.54</v>
      </c>
      <c r="I54" t="inlineStr">
        <is>
          <t>Mid Cap</t>
        </is>
      </c>
    </row>
    <row r="55">
      <c r="B55" t="inlineStr">
        <is>
          <t>Tata Steel Ltd</t>
        </is>
      </c>
      <c r="C55" t="inlineStr">
        <is>
          <t>INE081A01020</t>
        </is>
      </c>
      <c r="D55" t="inlineStr">
        <is>
          <t>Ferrous Metals</t>
        </is>
      </c>
      <c r="E55" t="n">
        <v>4550000</v>
      </c>
      <c r="F55" t="n">
        <v>7642.18</v>
      </c>
      <c r="G55" t="n">
        <v>0.44</v>
      </c>
      <c r="I55" t="inlineStr">
        <is>
          <t>Large Cap</t>
        </is>
      </c>
    </row>
    <row r="56">
      <c r="B56" t="inlineStr">
        <is>
          <t>SRF Ltd</t>
        </is>
      </c>
      <c r="C56" t="inlineStr">
        <is>
          <t>INE647A01010</t>
        </is>
      </c>
      <c r="D56" t="inlineStr">
        <is>
          <t>Chemicals &amp; Petrochemicals</t>
        </is>
      </c>
      <c r="E56" t="n">
        <v>248140</v>
      </c>
      <c r="F56" t="n">
        <v>7263.8</v>
      </c>
      <c r="G56" t="n">
        <v>0.41</v>
      </c>
      <c r="I56" t="inlineStr">
        <is>
          <t>Mid Cap</t>
        </is>
      </c>
    </row>
    <row r="57">
      <c r="B57" t="inlineStr">
        <is>
          <t>Oberoi Realty Ltd</t>
        </is>
      </c>
      <c r="C57" t="inlineStr">
        <is>
          <t>INE093I01010</t>
        </is>
      </c>
      <c r="D57" t="inlineStr">
        <is>
          <t>Realty</t>
        </is>
      </c>
      <c r="E57" t="n">
        <v>430000</v>
      </c>
      <c r="F57" t="n">
        <v>7082.96</v>
      </c>
      <c r="G57" t="n">
        <v>0.4</v>
      </c>
      <c r="I57" t="inlineStr">
        <is>
          <t>Mid Cap</t>
        </is>
      </c>
    </row>
    <row r="58">
      <c r="B58" t="inlineStr">
        <is>
          <t>Avenue Supermarts Ltd</t>
        </is>
      </c>
      <c r="C58" t="inlineStr">
        <is>
          <t>INE192R01011</t>
        </is>
      </c>
      <c r="D58" t="inlineStr">
        <is>
          <t>Retailing</t>
        </is>
      </c>
      <c r="E58" t="n">
        <v>148993</v>
      </c>
      <c r="F58" t="n">
        <v>5954.51</v>
      </c>
      <c r="G58" t="n">
        <v>0.34</v>
      </c>
      <c r="I58" t="inlineStr">
        <is>
          <t>Large Cap</t>
        </is>
      </c>
    </row>
    <row r="59">
      <c r="B59" t="inlineStr">
        <is>
          <t>HDFC Asset Management Co Ltd</t>
        </is>
      </c>
      <c r="C59" t="inlineStr">
        <is>
          <t>INE127D01025</t>
        </is>
      </c>
      <c r="D59" t="inlineStr">
        <is>
          <t>Capital Markets</t>
        </is>
      </c>
      <c r="E59" t="n">
        <v>200000</v>
      </c>
      <c r="F59" t="n">
        <v>5346</v>
      </c>
      <c r="G59" t="n">
        <v>0.31</v>
      </c>
      <c r="I59" t="inlineStr">
        <is>
          <t>Mid Cap</t>
        </is>
      </c>
    </row>
    <row r="60">
      <c r="B60" t="inlineStr">
        <is>
          <t>Power Finance Corporation Ltd</t>
        </is>
      </c>
      <c r="C60" t="inlineStr">
        <is>
          <t>INE134E01011</t>
        </is>
      </c>
      <c r="D60" t="inlineStr">
        <is>
          <t>Finance</t>
        </is>
      </c>
      <c r="E60" t="n">
        <v>1233787</v>
      </c>
      <c r="F60" t="n">
        <v>4474.95</v>
      </c>
      <c r="G60" t="n">
        <v>0.26</v>
      </c>
      <c r="I60" t="inlineStr">
        <is>
          <t>Large Cap</t>
        </is>
      </c>
    </row>
    <row r="61">
      <c r="B61" t="inlineStr">
        <is>
          <t>NTPC Green Energy Ltd</t>
        </is>
      </c>
      <c r="C61" t="inlineStr">
        <is>
          <t>INE0ONG01011</t>
        </is>
      </c>
      <c r="D61" t="inlineStr">
        <is>
          <t>Power</t>
        </is>
      </c>
      <c r="E61" t="n">
        <v>4562694</v>
      </c>
      <c r="F61" t="n">
        <v>4332.28</v>
      </c>
      <c r="G61" t="n">
        <v>0.25</v>
      </c>
      <c r="I61" t="inlineStr">
        <is>
          <t>Mid Cap</t>
        </is>
      </c>
    </row>
    <row r="62">
      <c r="B62" t="inlineStr">
        <is>
          <t>Vishal Mega Mart Ltd</t>
        </is>
      </c>
      <c r="C62" t="inlineStr">
        <is>
          <t>INE01EA01019</t>
        </is>
      </c>
      <c r="D62" t="inlineStr">
        <is>
          <t>Retailing</t>
        </is>
      </c>
      <c r="E62" t="n">
        <v>2905910</v>
      </c>
      <c r="F62" t="n">
        <v>3946.23</v>
      </c>
      <c r="G62" t="n">
        <v>0.23</v>
      </c>
      <c r="I62" t="inlineStr">
        <is>
          <t>Mid Cap</t>
        </is>
      </c>
    </row>
    <row r="63">
      <c r="B63" t="inlineStr">
        <is>
          <t>Asian Paints Ltd</t>
        </is>
      </c>
      <c r="C63" t="inlineStr">
        <is>
          <t>INE021A01026</t>
        </is>
      </c>
      <c r="D63" t="inlineStr">
        <is>
          <t>Consumer Durables</t>
        </is>
      </c>
      <c r="E63" t="n">
        <v>100000</v>
      </c>
      <c r="F63" t="n">
        <v>2874.4</v>
      </c>
      <c r="G63" t="n">
        <v>0.16</v>
      </c>
      <c r="I63" t="inlineStr">
        <is>
          <t>Large Cap</t>
        </is>
      </c>
    </row>
    <row r="64">
      <c r="B64" t="inlineStr">
        <is>
          <t>ICICI Lombard General Insurance Co Ltd</t>
        </is>
      </c>
      <c r="C64" t="inlineStr">
        <is>
          <t>INE765G01017</t>
        </is>
      </c>
      <c r="D64" t="inlineStr">
        <is>
          <t>Insurance</t>
        </is>
      </c>
      <c r="E64" t="n">
        <v>93024</v>
      </c>
      <c r="F64" t="n">
        <v>1833.04</v>
      </c>
      <c r="G64" t="n">
        <v>0.1</v>
      </c>
      <c r="I64" t="inlineStr">
        <is>
          <t>Mid Cap</t>
        </is>
      </c>
    </row>
    <row r="65">
      <c r="B65" t="inlineStr">
        <is>
          <t>Sub Total</t>
        </is>
      </c>
      <c r="F65">
        <f>SUM(F7:F64)</f>
        <v/>
      </c>
      <c r="G65">
        <f>SUM(G7:G64)</f>
        <v/>
      </c>
    </row>
    <row r="66">
      <c r="B66" t="inlineStr">
        <is>
          <t>Total</t>
        </is>
      </c>
      <c r="F66">
        <f>F65</f>
        <v/>
      </c>
      <c r="G66">
        <f>G65</f>
        <v/>
      </c>
    </row>
    <row r="67">
      <c r="B67" t="inlineStr">
        <is>
          <t>Debt Instruments</t>
        </is>
      </c>
    </row>
    <row r="68">
      <c r="B68" t="inlineStr">
        <is>
          <t>(a) Listed / awaiting listing on Stock Exchanges</t>
        </is>
      </c>
    </row>
    <row r="69">
      <c r="B69" t="inlineStr">
        <is>
          <t>6.00% TVS Motor Co Ltd NCRPS **</t>
        </is>
      </c>
      <c r="C69" t="inlineStr">
        <is>
          <t>INE494B04019</t>
        </is>
      </c>
      <c r="D69" t="inlineStr">
        <is>
          <t>CARE A1+</t>
        </is>
      </c>
      <c r="E69" t="n">
        <v>1100000</v>
      </c>
      <c r="F69" t="n">
        <v>111.55</v>
      </c>
      <c r="G69" t="n">
        <v>0.01</v>
      </c>
      <c r="H69" t="n">
        <v>6.035</v>
      </c>
    </row>
    <row r="70">
      <c r="B70" t="inlineStr">
        <is>
          <t>Sub Total</t>
        </is>
      </c>
      <c r="F70" t="n">
        <v>111.55</v>
      </c>
      <c r="G70" t="n">
        <v>0.01</v>
      </c>
    </row>
    <row r="71">
      <c r="B71" t="inlineStr">
        <is>
          <t>Total</t>
        </is>
      </c>
      <c r="F71" t="n">
        <v>111.55</v>
      </c>
      <c r="G71" t="n">
        <v>0.01</v>
      </c>
    </row>
    <row r="72">
      <c r="B72" t="inlineStr">
        <is>
          <t>TREPS</t>
        </is>
      </c>
    </row>
    <row r="73">
      <c r="B73" t="inlineStr">
        <is>
          <t>TREPS</t>
        </is>
      </c>
      <c r="F73" t="n">
        <v>31743.86</v>
      </c>
      <c r="G73" t="n">
        <v>1.81</v>
      </c>
    </row>
    <row r="74">
      <c r="B74" t="inlineStr">
        <is>
          <t>Sub Total</t>
        </is>
      </c>
      <c r="F74">
        <f>SUM(F72:F73)</f>
        <v/>
      </c>
      <c r="G74">
        <f>SUM(G72:G73)</f>
        <v/>
      </c>
    </row>
    <row r="75">
      <c r="B75" t="inlineStr">
        <is>
          <t>Total</t>
        </is>
      </c>
      <c r="F75">
        <f>F74</f>
        <v/>
      </c>
      <c r="G75">
        <f>G74</f>
        <v/>
      </c>
    </row>
    <row r="76">
      <c r="B76" t="inlineStr">
        <is>
          <t>Net Receivables / (Payables)</t>
        </is>
      </c>
      <c r="F76">
        <f>F77-(+F66+F75+F71)</f>
        <v/>
      </c>
      <c r="G76">
        <f>G77-(+G66+G75+G71)</f>
        <v/>
      </c>
    </row>
    <row r="77">
      <c r="B77" t="inlineStr">
        <is>
          <t>Grand Total</t>
        </is>
      </c>
      <c r="F77" t="n">
        <v>1752700.47</v>
      </c>
      <c r="G77" t="n">
        <v>100</v>
      </c>
    </row>
    <row r="78"/>
    <row r="79">
      <c r="B79" t="inlineStr">
        <is>
          <t>** Non Traded Security</t>
        </is>
      </c>
    </row>
    <row r="80"/>
    <row r="81">
      <c r="B81" t="inlineStr">
        <is>
          <t>Residual Maturity</t>
        </is>
      </c>
      <c r="C81" t="inlineStr">
        <is>
          <t>0.0027 Years</t>
        </is>
      </c>
    </row>
    <row r="82"/>
    <row r="83">
      <c r="B83" t="inlineStr">
        <is>
          <t>Please refer the below link for the performance of the Schemes managed by Canara Robeco Mutual Fund</t>
        </is>
      </c>
    </row>
    <row r="84"/>
    <row r="85">
      <c r="B85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LARGE AND MID CAP FUND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>Yield %</t>
        </is>
      </c>
      <c r="I4" t="inlineStr">
        <is>
          <t xml:space="preserve">Market Capitalization </t>
        </is>
      </c>
      <c r="L4" t="inlineStr">
        <is>
          <t>Scheme Risk-O-Meter Level- November'25</t>
        </is>
      </c>
      <c r="M4" t="inlineStr">
        <is>
          <t>Benchmark Risk-O-Meter Level- November'25</t>
        </is>
      </c>
      <c r="N4" t="inlineStr">
        <is>
          <t>Scheme Risk-O-Meter Level- October'25</t>
        </is>
      </c>
      <c r="O4" t="inlineStr">
        <is>
          <t>Benchmark Risk-O-Meter Level- October'25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ICICI Bank Ltd</t>
        </is>
      </c>
      <c r="C7" t="inlineStr">
        <is>
          <t>INE090A01021</t>
        </is>
      </c>
      <c r="D7" t="inlineStr">
        <is>
          <t>Banks</t>
        </is>
      </c>
      <c r="E7" t="n">
        <v>12833618</v>
      </c>
      <c r="F7" t="n">
        <v>178233.29</v>
      </c>
      <c r="G7" t="n">
        <v>6.81</v>
      </c>
      <c r="I7" t="inlineStr">
        <is>
          <t>Large Cap</t>
        </is>
      </c>
    </row>
    <row r="8">
      <c r="B8" t="inlineStr">
        <is>
          <t>Indian Hotels Co Ltd</t>
        </is>
      </c>
      <c r="C8" t="inlineStr">
        <is>
          <t>INE053A01029</t>
        </is>
      </c>
      <c r="D8" t="inlineStr">
        <is>
          <t>Leisure Services</t>
        </is>
      </c>
      <c r="E8" t="n">
        <v>19457322</v>
      </c>
      <c r="F8" t="n">
        <v>144820.85</v>
      </c>
      <c r="G8" t="n">
        <v>5.53</v>
      </c>
      <c r="I8" t="inlineStr">
        <is>
          <t>Large Cap</t>
        </is>
      </c>
    </row>
    <row r="9">
      <c r="B9" t="inlineStr">
        <is>
          <t>TVS Motor Co Ltd</t>
        </is>
      </c>
      <c r="C9" t="inlineStr">
        <is>
          <t>INE494B01023</t>
        </is>
      </c>
      <c r="D9" t="inlineStr">
        <is>
          <t>Automobiles</t>
        </is>
      </c>
      <c r="E9" t="n">
        <v>2686894</v>
      </c>
      <c r="F9" t="n">
        <v>94887.66</v>
      </c>
      <c r="G9" t="n">
        <v>3.63</v>
      </c>
      <c r="I9" t="inlineStr">
        <is>
          <t>Large Cap</t>
        </is>
      </c>
    </row>
    <row r="10">
      <c r="B10" t="inlineStr">
        <is>
          <t>Uno Minda Ltd</t>
        </is>
      </c>
      <c r="C10" t="inlineStr">
        <is>
          <t>INE405E01023</t>
        </is>
      </c>
      <c r="D10" t="inlineStr">
        <is>
          <t>Auto Components</t>
        </is>
      </c>
      <c r="E10" t="n">
        <v>6967628</v>
      </c>
      <c r="F10" t="n">
        <v>91052.96000000001</v>
      </c>
      <c r="G10" t="n">
        <v>3.48</v>
      </c>
      <c r="I10" t="inlineStr">
        <is>
          <t>Mid Cap</t>
        </is>
      </c>
    </row>
    <row r="11">
      <c r="B11" t="inlineStr">
        <is>
          <t>KPIT Technologies Ltd</t>
        </is>
      </c>
      <c r="C11" t="inlineStr">
        <is>
          <t>INE04I401011</t>
        </is>
      </c>
      <c r="D11" t="inlineStr">
        <is>
          <t>IT - Software</t>
        </is>
      </c>
      <c r="E11" t="n">
        <v>7418728</v>
      </c>
      <c r="F11" t="n">
        <v>90686.53</v>
      </c>
      <c r="G11" t="n">
        <v>3.47</v>
      </c>
      <c r="I11" t="inlineStr">
        <is>
          <t>Mid Cap</t>
        </is>
      </c>
    </row>
    <row r="12">
      <c r="B12" t="inlineStr">
        <is>
          <t>Bharat Electronics Ltd</t>
        </is>
      </c>
      <c r="C12" t="inlineStr">
        <is>
          <t>INE263A01024</t>
        </is>
      </c>
      <c r="D12" t="inlineStr">
        <is>
          <t>Aerospace &amp; Defense</t>
        </is>
      </c>
      <c r="E12" t="n">
        <v>21816345</v>
      </c>
      <c r="F12" t="n">
        <v>89828.8</v>
      </c>
      <c r="G12" t="n">
        <v>3.43</v>
      </c>
      <c r="I12" t="inlineStr">
        <is>
          <t>Large Cap</t>
        </is>
      </c>
    </row>
    <row r="13">
      <c r="B13" t="inlineStr">
        <is>
          <t>Federal Bank Ltd</t>
        </is>
      </c>
      <c r="C13" t="inlineStr">
        <is>
          <t>INE171A01029</t>
        </is>
      </c>
      <c r="D13" t="inlineStr">
        <is>
          <t>Banks</t>
        </is>
      </c>
      <c r="E13" t="n">
        <v>32989386</v>
      </c>
      <c r="F13" t="n">
        <v>85086.22</v>
      </c>
      <c r="G13" t="n">
        <v>3.25</v>
      </c>
      <c r="I13" t="inlineStr">
        <is>
          <t>Mid Cap</t>
        </is>
      </c>
      <c r="M13" t="inlineStr">
        <is>
          <t>Benchmark: Nifty Large Midcap 250 TRI</t>
        </is>
      </c>
    </row>
    <row r="14">
      <c r="B14" t="inlineStr">
        <is>
          <t>Eternal Ltd</t>
        </is>
      </c>
      <c r="C14" t="inlineStr">
        <is>
          <t>INE758T01015</t>
        </is>
      </c>
      <c r="D14" t="inlineStr">
        <is>
          <t>Retailing</t>
        </is>
      </c>
      <c r="E14" t="n">
        <v>27688057</v>
      </c>
      <c r="F14" t="n">
        <v>83091.86</v>
      </c>
      <c r="G14" t="n">
        <v>3.18</v>
      </c>
      <c r="I14" t="inlineStr">
        <is>
          <t>Large Cap</t>
        </is>
      </c>
    </row>
    <row r="15">
      <c r="B15" t="inlineStr">
        <is>
          <t>Dixon Technologies (India) Ltd</t>
        </is>
      </c>
      <c r="C15" t="inlineStr">
        <is>
          <t>INE935N01020</t>
        </is>
      </c>
      <c r="D15" t="inlineStr">
        <is>
          <t>Consumer Durables</t>
        </is>
      </c>
      <c r="E15" t="n">
        <v>511809</v>
      </c>
      <c r="F15" t="n">
        <v>74729.23</v>
      </c>
      <c r="G15" t="n">
        <v>2.86</v>
      </c>
      <c r="I15" t="inlineStr">
        <is>
          <t>Mid Cap</t>
        </is>
      </c>
    </row>
    <row r="16">
      <c r="B16" t="inlineStr">
        <is>
          <t>Mahindra &amp; Mahindra Ltd</t>
        </is>
      </c>
      <c r="C16" t="inlineStr">
        <is>
          <t>INE101A01026</t>
        </is>
      </c>
      <c r="D16" t="inlineStr">
        <is>
          <t>Automobiles</t>
        </is>
      </c>
      <c r="E16" t="n">
        <v>1929314</v>
      </c>
      <c r="F16" t="n">
        <v>72490.11</v>
      </c>
      <c r="G16" t="n">
        <v>2.77</v>
      </c>
      <c r="I16" t="inlineStr">
        <is>
          <t>Large Cap</t>
        </is>
      </c>
    </row>
    <row r="17">
      <c r="B17" t="inlineStr">
        <is>
          <t>Trent Ltd</t>
        </is>
      </c>
      <c r="C17" t="inlineStr">
        <is>
          <t>INE849A01020</t>
        </is>
      </c>
      <c r="D17" t="inlineStr">
        <is>
          <t>Retailing</t>
        </is>
      </c>
      <c r="E17" t="n">
        <v>1486620</v>
      </c>
      <c r="F17" t="n">
        <v>63187.3</v>
      </c>
      <c r="G17" t="n">
        <v>2.41</v>
      </c>
      <c r="I17" t="inlineStr">
        <is>
          <t>Large Cap</t>
        </is>
      </c>
    </row>
    <row r="18">
      <c r="B18" t="inlineStr">
        <is>
          <t>Tata Consumer Products Ltd</t>
        </is>
      </c>
      <c r="C18" t="inlineStr">
        <is>
          <t>INE192A01025</t>
        </is>
      </c>
      <c r="D18" t="inlineStr">
        <is>
          <t>Agricultural Food &amp; Other Products</t>
        </is>
      </c>
      <c r="E18" t="n">
        <v>4702093</v>
      </c>
      <c r="F18" t="n">
        <v>55127.34</v>
      </c>
      <c r="G18" t="n">
        <v>2.11</v>
      </c>
      <c r="I18" t="inlineStr">
        <is>
          <t>Large Cap</t>
        </is>
      </c>
    </row>
    <row r="19">
      <c r="B19" t="inlineStr">
        <is>
          <t>Max Healthcare Institute Ltd</t>
        </is>
      </c>
      <c r="C19" t="inlineStr">
        <is>
          <t>INE027H01010</t>
        </is>
      </c>
      <c r="D19" t="inlineStr">
        <is>
          <t>Healthcare Services</t>
        </is>
      </c>
      <c r="E19" t="n">
        <v>4239096</v>
      </c>
      <c r="F19" t="n">
        <v>49292.21</v>
      </c>
      <c r="G19" t="n">
        <v>1.88</v>
      </c>
      <c r="I19" t="inlineStr">
        <is>
          <t>Large Cap</t>
        </is>
      </c>
    </row>
    <row r="20">
      <c r="B20" t="inlineStr">
        <is>
          <t>EIH Ltd</t>
        </is>
      </c>
      <c r="C20" t="inlineStr">
        <is>
          <t>INE230A01023</t>
        </is>
      </c>
      <c r="D20" t="inlineStr">
        <is>
          <t>Leisure Services</t>
        </is>
      </c>
      <c r="E20" t="n">
        <v>12324398</v>
      </c>
      <c r="F20" t="n">
        <v>46087.09</v>
      </c>
      <c r="G20" t="n">
        <v>1.76</v>
      </c>
      <c r="I20" t="inlineStr">
        <is>
          <t>Small Cap</t>
        </is>
      </c>
    </row>
    <row r="21">
      <c r="B21" t="inlineStr">
        <is>
          <t>Abbott India Ltd</t>
        </is>
      </c>
      <c r="C21" t="inlineStr">
        <is>
          <t>INE358A01014</t>
        </is>
      </c>
      <c r="D21" t="inlineStr">
        <is>
          <t>Pharmaceuticals &amp; Biotechnology</t>
        </is>
      </c>
      <c r="E21" t="n">
        <v>144836</v>
      </c>
      <c r="F21" t="n">
        <v>43559.43</v>
      </c>
      <c r="G21" t="n">
        <v>1.66</v>
      </c>
      <c r="I21" t="inlineStr">
        <is>
          <t>Mid Cap</t>
        </is>
      </c>
    </row>
    <row r="22">
      <c r="B22" t="inlineStr">
        <is>
          <t>Bharti Airtel Ltd</t>
        </is>
      </c>
      <c r="C22" t="inlineStr">
        <is>
          <t>INE397D01024</t>
        </is>
      </c>
      <c r="D22" t="inlineStr">
        <is>
          <t>Telecom - Services</t>
        </is>
      </c>
      <c r="E22" t="n">
        <v>2032532</v>
      </c>
      <c r="F22" t="n">
        <v>42715.69</v>
      </c>
      <c r="G22" t="n">
        <v>1.63</v>
      </c>
      <c r="I22" t="inlineStr">
        <is>
          <t>Large Cap</t>
        </is>
      </c>
    </row>
    <row r="23">
      <c r="B23" t="inlineStr">
        <is>
          <t>Cholamandalam Investment and Finance Co Ltd</t>
        </is>
      </c>
      <c r="C23" t="inlineStr">
        <is>
          <t>INE121A01024</t>
        </is>
      </c>
      <c r="D23" t="inlineStr">
        <is>
          <t>Finance</t>
        </is>
      </c>
      <c r="E23" t="n">
        <v>2440770</v>
      </c>
      <c r="F23" t="n">
        <v>42371.77</v>
      </c>
      <c r="G23" t="n">
        <v>1.62</v>
      </c>
      <c r="I23" t="inlineStr">
        <is>
          <t>Large Cap</t>
        </is>
      </c>
    </row>
    <row r="24">
      <c r="B24" t="inlineStr">
        <is>
          <t>Tata Power Co Ltd</t>
        </is>
      </c>
      <c r="C24" t="inlineStr">
        <is>
          <t>INE245A01021</t>
        </is>
      </c>
      <c r="D24" t="inlineStr">
        <is>
          <t>Power</t>
        </is>
      </c>
      <c r="E24" t="n">
        <v>10396495</v>
      </c>
      <c r="F24" t="n">
        <v>40556.73</v>
      </c>
      <c r="G24" t="n">
        <v>1.55</v>
      </c>
      <c r="I24" t="inlineStr">
        <is>
          <t>Large Cap</t>
        </is>
      </c>
    </row>
    <row r="25">
      <c r="B25" t="inlineStr">
        <is>
          <t>J.K. Cement Ltd</t>
        </is>
      </c>
      <c r="C25" t="inlineStr">
        <is>
          <t>INE823G01014</t>
        </is>
      </c>
      <c r="D25" t="inlineStr">
        <is>
          <t>Cement &amp; Cement Products</t>
        </is>
      </c>
      <c r="E25" t="n">
        <v>596862</v>
      </c>
      <c r="F25" t="n">
        <v>34367.31</v>
      </c>
      <c r="G25" t="n">
        <v>1.31</v>
      </c>
      <c r="I25" t="inlineStr">
        <is>
          <t>Mid Cap</t>
        </is>
      </c>
    </row>
    <row r="26">
      <c r="B26" t="inlineStr">
        <is>
          <t>Torrent Power Ltd</t>
        </is>
      </c>
      <c r="C26" t="inlineStr">
        <is>
          <t>INE813H01021</t>
        </is>
      </c>
      <c r="D26" t="inlineStr">
        <is>
          <t>Power</t>
        </is>
      </c>
      <c r="E26" t="n">
        <v>2578857</v>
      </c>
      <c r="F26" t="n">
        <v>33899.08</v>
      </c>
      <c r="G26" t="n">
        <v>1.3</v>
      </c>
      <c r="I26" t="inlineStr">
        <is>
          <t>Mid Cap</t>
        </is>
      </c>
    </row>
    <row r="27">
      <c r="B27" t="inlineStr">
        <is>
          <t>Sona Blw Precision Forgings Ltd</t>
        </is>
      </c>
      <c r="C27" t="inlineStr">
        <is>
          <t>INE073K01018</t>
        </is>
      </c>
      <c r="D27" t="inlineStr">
        <is>
          <t>Auto Components</t>
        </is>
      </c>
      <c r="E27" t="n">
        <v>6444199</v>
      </c>
      <c r="F27" t="n">
        <v>32978.19</v>
      </c>
      <c r="G27" t="n">
        <v>1.26</v>
      </c>
      <c r="I27" t="inlineStr">
        <is>
          <t>Mid Cap</t>
        </is>
      </c>
    </row>
    <row r="28">
      <c r="B28" t="inlineStr">
        <is>
          <t>PI Industries Ltd</t>
        </is>
      </c>
      <c r="C28" t="inlineStr">
        <is>
          <t>INE603J01030</t>
        </is>
      </c>
      <c r="D28" t="inlineStr">
        <is>
          <t>Fertilizers &amp; Agrochemicals</t>
        </is>
      </c>
      <c r="E28" t="n">
        <v>931888</v>
      </c>
      <c r="F28" t="n">
        <v>31643.19</v>
      </c>
      <c r="G28" t="n">
        <v>1.21</v>
      </c>
      <c r="I28" t="inlineStr">
        <is>
          <t>Mid Cap</t>
        </is>
      </c>
    </row>
    <row r="29">
      <c r="B29" t="inlineStr">
        <is>
          <t>Global Health Ltd</t>
        </is>
      </c>
      <c r="C29" t="inlineStr">
        <is>
          <t>INE474Q01031</t>
        </is>
      </c>
      <c r="D29" t="inlineStr">
        <is>
          <t>Healthcare Services</t>
        </is>
      </c>
      <c r="E29" t="n">
        <v>2312524</v>
      </c>
      <c r="F29" t="n">
        <v>28814.05</v>
      </c>
      <c r="G29" t="n">
        <v>1.1</v>
      </c>
      <c r="I29" t="inlineStr">
        <is>
          <t>Mid Cap</t>
        </is>
      </c>
    </row>
    <row r="30">
      <c r="B30" t="inlineStr">
        <is>
          <t>Oberoi Realty Ltd</t>
        </is>
      </c>
      <c r="C30" t="inlineStr">
        <is>
          <t>INE093I01010</t>
        </is>
      </c>
      <c r="D30" t="inlineStr">
        <is>
          <t>Realty</t>
        </is>
      </c>
      <c r="E30" t="n">
        <v>1641479</v>
      </c>
      <c r="F30" t="n">
        <v>27038.44</v>
      </c>
      <c r="G30" t="n">
        <v>1.03</v>
      </c>
      <c r="I30" t="inlineStr">
        <is>
          <t>Mid Cap</t>
        </is>
      </c>
    </row>
    <row r="31">
      <c r="B31" t="inlineStr">
        <is>
          <t>Bajaj Finance Ltd</t>
        </is>
      </c>
      <c r="C31" t="inlineStr">
        <is>
          <t>INE296A01032</t>
        </is>
      </c>
      <c r="D31" t="inlineStr">
        <is>
          <t>Finance</t>
        </is>
      </c>
      <c r="E31" t="n">
        <v>2598668</v>
      </c>
      <c r="F31" t="n">
        <v>26961.18</v>
      </c>
      <c r="G31" t="n">
        <v>1.03</v>
      </c>
      <c r="I31" t="inlineStr">
        <is>
          <t>Large Cap</t>
        </is>
      </c>
    </row>
    <row r="32">
      <c r="B32" t="inlineStr">
        <is>
          <t>Coforge Ltd</t>
        </is>
      </c>
      <c r="C32" t="inlineStr">
        <is>
          <t>INE591G01025</t>
        </is>
      </c>
      <c r="D32" t="inlineStr">
        <is>
          <t>IT - Software</t>
        </is>
      </c>
      <c r="E32" t="n">
        <v>1383405</v>
      </c>
      <c r="F32" t="n">
        <v>26405.05</v>
      </c>
      <c r="G32" t="n">
        <v>1.01</v>
      </c>
      <c r="I32" t="inlineStr">
        <is>
          <t>Mid Cap</t>
        </is>
      </c>
    </row>
    <row r="33">
      <c r="B33" t="inlineStr">
        <is>
          <t>United Breweries Ltd</t>
        </is>
      </c>
      <c r="C33" t="inlineStr">
        <is>
          <t>INE686F01025</t>
        </is>
      </c>
      <c r="D33" t="inlineStr">
        <is>
          <t>Beverages</t>
        </is>
      </c>
      <c r="E33" t="n">
        <v>1560790</v>
      </c>
      <c r="F33" t="n">
        <v>26386.72</v>
      </c>
      <c r="G33" t="n">
        <v>1.01</v>
      </c>
      <c r="I33" t="inlineStr">
        <is>
          <t>Mid Cap</t>
        </is>
      </c>
    </row>
    <row r="34">
      <c r="B34" t="inlineStr">
        <is>
          <t>Aditya Birla Real Estate Ltd</t>
        </is>
      </c>
      <c r="C34" t="inlineStr">
        <is>
          <t>INE055A01016</t>
        </is>
      </c>
      <c r="D34" t="inlineStr">
        <is>
          <t>Paper, Forest &amp; Jute Products</t>
        </is>
      </c>
      <c r="E34" t="n">
        <v>1475242</v>
      </c>
      <c r="F34" t="n">
        <v>26164.89</v>
      </c>
      <c r="G34" t="n">
        <v>1</v>
      </c>
      <c r="I34" t="inlineStr">
        <is>
          <t>Small Cap</t>
        </is>
      </c>
    </row>
    <row r="35">
      <c r="B35" t="inlineStr">
        <is>
          <t>Multi Commodity Exchange Of India Ltd</t>
        </is>
      </c>
      <c r="C35" t="inlineStr">
        <is>
          <t>INE745G01035</t>
        </is>
      </c>
      <c r="D35" t="inlineStr">
        <is>
          <t>Capital Markets</t>
        </is>
      </c>
      <c r="E35" t="n">
        <v>251100</v>
      </c>
      <c r="F35" t="n">
        <v>25294.56</v>
      </c>
      <c r="G35" t="n">
        <v>0.97</v>
      </c>
      <c r="I35" t="inlineStr">
        <is>
          <t>Mid Cap</t>
        </is>
      </c>
    </row>
    <row r="36">
      <c r="B36" t="inlineStr">
        <is>
          <t>ABB India Ltd</t>
        </is>
      </c>
      <c r="C36" t="inlineStr">
        <is>
          <t>INE117A01022</t>
        </is>
      </c>
      <c r="D36" t="inlineStr">
        <is>
          <t>Electrical Equipment</t>
        </is>
      </c>
      <c r="E36" t="n">
        <v>484288</v>
      </c>
      <c r="F36" t="n">
        <v>25061.9</v>
      </c>
      <c r="G36" t="n">
        <v>0.96</v>
      </c>
      <c r="I36" t="inlineStr">
        <is>
          <t>Large Cap</t>
        </is>
      </c>
    </row>
    <row r="37">
      <c r="B37" t="inlineStr">
        <is>
          <t>3M India Ltd</t>
        </is>
      </c>
      <c r="C37" t="inlineStr">
        <is>
          <t>INE470A01017</t>
        </is>
      </c>
      <c r="D37" t="inlineStr">
        <is>
          <t>Diversified</t>
        </is>
      </c>
      <c r="E37" t="n">
        <v>70573</v>
      </c>
      <c r="F37" t="n">
        <v>24587.63</v>
      </c>
      <c r="G37" t="n">
        <v>0.9399999999999999</v>
      </c>
      <c r="I37" t="inlineStr">
        <is>
          <t>Mid Cap</t>
        </is>
      </c>
    </row>
    <row r="38">
      <c r="B38" t="inlineStr">
        <is>
          <t>Praj Industries Ltd</t>
        </is>
      </c>
      <c r="C38" t="inlineStr">
        <is>
          <t>INE074A01025</t>
        </is>
      </c>
      <c r="D38" t="inlineStr">
        <is>
          <t>Industrial Manufacturing</t>
        </is>
      </c>
      <c r="E38" t="n">
        <v>7719311</v>
      </c>
      <c r="F38" t="n">
        <v>24408.46</v>
      </c>
      <c r="G38" t="n">
        <v>0.93</v>
      </c>
      <c r="I38" t="inlineStr">
        <is>
          <t>Small Cap</t>
        </is>
      </c>
    </row>
    <row r="39">
      <c r="B39" t="inlineStr">
        <is>
          <t>Suzlon Energy Ltd</t>
        </is>
      </c>
      <c r="C39" t="inlineStr">
        <is>
          <t>INE040H01021</t>
        </is>
      </c>
      <c r="D39" t="inlineStr">
        <is>
          <t>Electrical Equipment</t>
        </is>
      </c>
      <c r="E39" t="n">
        <v>44875464</v>
      </c>
      <c r="F39" t="n">
        <v>24237.24</v>
      </c>
      <c r="G39" t="n">
        <v>0.93</v>
      </c>
      <c r="I39" t="inlineStr">
        <is>
          <t>Mid Cap</t>
        </is>
      </c>
    </row>
    <row r="40">
      <c r="B40" t="inlineStr">
        <is>
          <t>Ajanta Pharma Ltd</t>
        </is>
      </c>
      <c r="C40" t="inlineStr">
        <is>
          <t>INE031B01049</t>
        </is>
      </c>
      <c r="D40" t="inlineStr">
        <is>
          <t>Pharmaceuticals &amp; Biotechnology</t>
        </is>
      </c>
      <c r="E40" t="n">
        <v>928520</v>
      </c>
      <c r="F40" t="n">
        <v>23777.54</v>
      </c>
      <c r="G40" t="n">
        <v>0.91</v>
      </c>
      <c r="I40" t="inlineStr">
        <is>
          <t>Mid Cap</t>
        </is>
      </c>
    </row>
    <row r="41">
      <c r="B41" t="inlineStr">
        <is>
          <t>Vishal Mega Mart Ltd</t>
        </is>
      </c>
      <c r="C41" t="inlineStr">
        <is>
          <t>INE01EA01019</t>
        </is>
      </c>
      <c r="D41" t="inlineStr">
        <is>
          <t>Retailing</t>
        </is>
      </c>
      <c r="E41" t="n">
        <v>16851904</v>
      </c>
      <c r="F41" t="n">
        <v>22884.89</v>
      </c>
      <c r="G41" t="n">
        <v>0.87</v>
      </c>
      <c r="I41" t="inlineStr">
        <is>
          <t>Mid Cap</t>
        </is>
      </c>
    </row>
    <row r="42">
      <c r="B42" t="inlineStr">
        <is>
          <t>Kaynes Technology India Ltd</t>
        </is>
      </c>
      <c r="C42" t="inlineStr">
        <is>
          <t>INE918Z01012</t>
        </is>
      </c>
      <c r="D42" t="inlineStr">
        <is>
          <t>Industrial Manufacturing</t>
        </is>
      </c>
      <c r="E42" t="n">
        <v>402990</v>
      </c>
      <c r="F42" t="n">
        <v>22124.15</v>
      </c>
      <c r="G42" t="n">
        <v>0.85</v>
      </c>
      <c r="I42" t="inlineStr">
        <is>
          <t>Mid Cap</t>
        </is>
      </c>
    </row>
    <row r="43">
      <c r="B43" t="inlineStr">
        <is>
          <t>Bharat Forge Ltd</t>
        </is>
      </c>
      <c r="C43" t="inlineStr">
        <is>
          <t>INE465A01025</t>
        </is>
      </c>
      <c r="D43" t="inlineStr">
        <is>
          <t>Auto Components</t>
        </is>
      </c>
      <c r="E43" t="n">
        <v>1537034</v>
      </c>
      <c r="F43" t="n">
        <v>22037.99</v>
      </c>
      <c r="G43" t="n">
        <v>0.84</v>
      </c>
      <c r="I43" t="inlineStr">
        <is>
          <t>Mid Cap</t>
        </is>
      </c>
    </row>
    <row r="44">
      <c r="B44" t="inlineStr">
        <is>
          <t>Sun Pharmaceutical Industries Ltd</t>
        </is>
      </c>
      <c r="C44" t="inlineStr">
        <is>
          <t>INE044A01036</t>
        </is>
      </c>
      <c r="D44" t="inlineStr">
        <is>
          <t>Pharmaceuticals &amp; Biotechnology</t>
        </is>
      </c>
      <c r="E44" t="n">
        <v>1149202</v>
      </c>
      <c r="F44" t="n">
        <v>21048.78</v>
      </c>
      <c r="G44" t="n">
        <v>0.8</v>
      </c>
      <c r="I44" t="inlineStr">
        <is>
          <t>Large Cap</t>
        </is>
      </c>
    </row>
    <row r="45">
      <c r="B45" t="inlineStr">
        <is>
          <t>Ge Vernova T&amp;D India Ltd</t>
        </is>
      </c>
      <c r="C45" t="inlineStr">
        <is>
          <t>INE200A01026</t>
        </is>
      </c>
      <c r="D45" t="inlineStr">
        <is>
          <t>Electrical Equipment</t>
        </is>
      </c>
      <c r="E45" t="n">
        <v>717866</v>
      </c>
      <c r="F45" t="n">
        <v>20684.59</v>
      </c>
      <c r="G45" t="n">
        <v>0.79</v>
      </c>
      <c r="I45" t="inlineStr">
        <is>
          <t>Mid Cap</t>
        </is>
      </c>
    </row>
    <row r="46">
      <c r="B46" t="inlineStr">
        <is>
          <t>Persistent Systems Ltd</t>
        </is>
      </c>
      <c r="C46" t="inlineStr">
        <is>
          <t>INE262H01021</t>
        </is>
      </c>
      <c r="D46" t="inlineStr">
        <is>
          <t>IT - Software</t>
        </is>
      </c>
      <c r="E46" t="n">
        <v>325394</v>
      </c>
      <c r="F46" t="n">
        <v>20672.28</v>
      </c>
      <c r="G46" t="n">
        <v>0.79</v>
      </c>
      <c r="I46" t="inlineStr">
        <is>
          <t>Mid Cap</t>
        </is>
      </c>
    </row>
    <row r="47">
      <c r="B47" t="inlineStr">
        <is>
          <t>Bata India Ltd</t>
        </is>
      </c>
      <c r="C47" t="inlineStr">
        <is>
          <t>INE176A01028</t>
        </is>
      </c>
      <c r="D47" t="inlineStr">
        <is>
          <t>Consumer Durables</t>
        </is>
      </c>
      <c r="E47" t="n">
        <v>2043454</v>
      </c>
      <c r="F47" t="n">
        <v>20418.19</v>
      </c>
      <c r="G47" t="n">
        <v>0.78</v>
      </c>
      <c r="I47" t="inlineStr">
        <is>
          <t>Small Cap</t>
        </is>
      </c>
    </row>
    <row r="48">
      <c r="B48" t="inlineStr">
        <is>
          <t>APL Apollo Tubes Ltd</t>
        </is>
      </c>
      <c r="C48" t="inlineStr">
        <is>
          <t>INE702C01027</t>
        </is>
      </c>
      <c r="D48" t="inlineStr">
        <is>
          <t>Industrial Products</t>
        </is>
      </c>
      <c r="E48" t="n">
        <v>1177906</v>
      </c>
      <c r="F48" t="n">
        <v>20247.03</v>
      </c>
      <c r="G48" t="n">
        <v>0.77</v>
      </c>
      <c r="I48" t="inlineStr">
        <is>
          <t>Mid Cap</t>
        </is>
      </c>
    </row>
    <row r="49">
      <c r="B49" t="inlineStr">
        <is>
          <t>Solar Industries India Ltd</t>
        </is>
      </c>
      <c r="C49" t="inlineStr">
        <is>
          <t>INE343H01029</t>
        </is>
      </c>
      <c r="D49" t="inlineStr">
        <is>
          <t>Chemicals &amp; Petrochemicals</t>
        </is>
      </c>
      <c r="E49" t="n">
        <v>148604</v>
      </c>
      <c r="F49" t="n">
        <v>19722.72</v>
      </c>
      <c r="G49" t="n">
        <v>0.75</v>
      </c>
      <c r="I49" t="inlineStr">
        <is>
          <t>Large Cap</t>
        </is>
      </c>
    </row>
    <row r="50">
      <c r="B50" t="inlineStr">
        <is>
          <t>Vinati Organics Ltd</t>
        </is>
      </c>
      <c r="C50" t="inlineStr">
        <is>
          <t>INE410B01037</t>
        </is>
      </c>
      <c r="D50" t="inlineStr">
        <is>
          <t>Chemicals &amp; Petrochemicals</t>
        </is>
      </c>
      <c r="E50" t="n">
        <v>1232048</v>
      </c>
      <c r="F50" t="n">
        <v>19462.66</v>
      </c>
      <c r="G50" t="n">
        <v>0.74</v>
      </c>
      <c r="I50" t="inlineStr">
        <is>
          <t>Small Cap</t>
        </is>
      </c>
    </row>
    <row r="51">
      <c r="B51" t="inlineStr">
        <is>
          <t>Crompton Greaves Consumer Electricals Ltd</t>
        </is>
      </c>
      <c r="C51" t="inlineStr">
        <is>
          <t>INE299U01018</t>
        </is>
      </c>
      <c r="D51" t="inlineStr">
        <is>
          <t>Consumer Durables</t>
        </is>
      </c>
      <c r="E51" t="n">
        <v>7333838</v>
      </c>
      <c r="F51" t="n">
        <v>19460.34</v>
      </c>
      <c r="G51" t="n">
        <v>0.74</v>
      </c>
      <c r="I51" t="inlineStr">
        <is>
          <t>Small Cap</t>
        </is>
      </c>
    </row>
    <row r="52">
      <c r="B52" t="inlineStr">
        <is>
          <t>Varun Beverages Ltd</t>
        </is>
      </c>
      <c r="C52" t="inlineStr">
        <is>
          <t>INE200M01039</t>
        </is>
      </c>
      <c r="D52" t="inlineStr">
        <is>
          <t>Beverages</t>
        </is>
      </c>
      <c r="E52" t="n">
        <v>3983695</v>
      </c>
      <c r="F52" t="n">
        <v>19183.48</v>
      </c>
      <c r="G52" t="n">
        <v>0.73</v>
      </c>
      <c r="I52" t="inlineStr">
        <is>
          <t>Large Cap</t>
        </is>
      </c>
    </row>
    <row r="53">
      <c r="B53" t="inlineStr">
        <is>
          <t>ITC Hotels Ltd</t>
        </is>
      </c>
      <c r="C53" t="inlineStr">
        <is>
          <t>INE379A01028</t>
        </is>
      </c>
      <c r="D53" t="inlineStr">
        <is>
          <t>Leisure Services</t>
        </is>
      </c>
      <c r="E53" t="n">
        <v>8944293</v>
      </c>
      <c r="F53" t="n">
        <v>18666.74</v>
      </c>
      <c r="G53" t="n">
        <v>0.71</v>
      </c>
      <c r="I53" t="inlineStr">
        <is>
          <t>Mid Cap</t>
        </is>
      </c>
    </row>
    <row r="54">
      <c r="B54" t="inlineStr">
        <is>
          <t>HDFC Asset Management Co Ltd</t>
        </is>
      </c>
      <c r="C54" t="inlineStr">
        <is>
          <t>INE127D01025</t>
        </is>
      </c>
      <c r="D54" t="inlineStr">
        <is>
          <t>Capital Markets</t>
        </is>
      </c>
      <c r="E54" t="n">
        <v>689288</v>
      </c>
      <c r="F54" t="n">
        <v>18424.67</v>
      </c>
      <c r="G54" t="n">
        <v>0.7</v>
      </c>
      <c r="I54" t="inlineStr">
        <is>
          <t>Mid Cap</t>
        </is>
      </c>
    </row>
    <row r="55">
      <c r="B55" t="inlineStr">
        <is>
          <t>PB Fintech Ltd</t>
        </is>
      </c>
      <c r="C55" t="inlineStr">
        <is>
          <t>INE417T01026</t>
        </is>
      </c>
      <c r="D55" t="inlineStr">
        <is>
          <t>Financial Technology (Fintech)</t>
        </is>
      </c>
      <c r="E55" t="n">
        <v>1001087</v>
      </c>
      <c r="F55" t="n">
        <v>18208.77</v>
      </c>
      <c r="G55" t="n">
        <v>0.7</v>
      </c>
      <c r="I55" t="inlineStr">
        <is>
          <t>Mid Cap</t>
        </is>
      </c>
    </row>
    <row r="56">
      <c r="B56" t="inlineStr">
        <is>
          <t>Radico Khaitan Ltd</t>
        </is>
      </c>
      <c r="C56" t="inlineStr">
        <is>
          <t>INE944F01028</t>
        </is>
      </c>
      <c r="D56" t="inlineStr">
        <is>
          <t>Beverages</t>
        </is>
      </c>
      <c r="E56" t="n">
        <v>547623</v>
      </c>
      <c r="F56" t="n">
        <v>17568.29</v>
      </c>
      <c r="G56" t="n">
        <v>0.67</v>
      </c>
      <c r="I56" t="inlineStr">
        <is>
          <t>Mid Cap</t>
        </is>
      </c>
    </row>
    <row r="57">
      <c r="B57" t="inlineStr">
        <is>
          <t>Bajaj Auto Ltd</t>
        </is>
      </c>
      <c r="C57" t="inlineStr">
        <is>
          <t>INE917I01010</t>
        </is>
      </c>
      <c r="D57" t="inlineStr">
        <is>
          <t>Automobiles</t>
        </is>
      </c>
      <c r="E57" t="n">
        <v>187892</v>
      </c>
      <c r="F57" t="n">
        <v>17048.38</v>
      </c>
      <c r="G57" t="n">
        <v>0.65</v>
      </c>
      <c r="I57" t="inlineStr">
        <is>
          <t>Large Cap</t>
        </is>
      </c>
    </row>
    <row r="58">
      <c r="B58" t="inlineStr">
        <is>
          <t>Divi's Laboratories Ltd</t>
        </is>
      </c>
      <c r="C58" t="inlineStr">
        <is>
          <t>INE361B01024</t>
        </is>
      </c>
      <c r="D58" t="inlineStr">
        <is>
          <t>Pharmaceuticals &amp; Biotechnology</t>
        </is>
      </c>
      <c r="E58" t="n">
        <v>256262</v>
      </c>
      <c r="F58" t="n">
        <v>16598.09</v>
      </c>
      <c r="G58" t="n">
        <v>0.63</v>
      </c>
      <c r="I58" t="inlineStr">
        <is>
          <t>Large Cap</t>
        </is>
      </c>
    </row>
    <row r="59">
      <c r="B59" t="inlineStr">
        <is>
          <t>ZF Commercial Vehicle Control Systems India Ltd</t>
        </is>
      </c>
      <c r="C59" t="inlineStr">
        <is>
          <t>INE342J01019</t>
        </is>
      </c>
      <c r="D59" t="inlineStr">
        <is>
          <t>Auto Components</t>
        </is>
      </c>
      <c r="E59" t="n">
        <v>124496</v>
      </c>
      <c r="F59" t="n">
        <v>16438.45</v>
      </c>
      <c r="G59" t="n">
        <v>0.63</v>
      </c>
      <c r="I59" t="inlineStr">
        <is>
          <t>Small Cap</t>
        </is>
      </c>
    </row>
    <row r="60">
      <c r="B60" t="inlineStr">
        <is>
          <t>Creditaccess Grameen Ltd</t>
        </is>
      </c>
      <c r="C60" t="inlineStr">
        <is>
          <t>INE741K01010</t>
        </is>
      </c>
      <c r="D60" t="inlineStr">
        <is>
          <t>Finance</t>
        </is>
      </c>
      <c r="E60" t="n">
        <v>1202572</v>
      </c>
      <c r="F60" t="n">
        <v>16079.59</v>
      </c>
      <c r="G60" t="n">
        <v>0.61</v>
      </c>
      <c r="I60" t="inlineStr">
        <is>
          <t>Small Cap</t>
        </is>
      </c>
    </row>
    <row r="61">
      <c r="B61" t="inlineStr">
        <is>
          <t>Britannia Industries Ltd</t>
        </is>
      </c>
      <c r="C61" t="inlineStr">
        <is>
          <t>INE216A01030</t>
        </is>
      </c>
      <c r="D61" t="inlineStr">
        <is>
          <t>Food Products</t>
        </is>
      </c>
      <c r="E61" t="n">
        <v>264368</v>
      </c>
      <c r="F61" t="n">
        <v>15454.95</v>
      </c>
      <c r="G61" t="n">
        <v>0.59</v>
      </c>
      <c r="I61" t="inlineStr">
        <is>
          <t>Large Cap</t>
        </is>
      </c>
    </row>
    <row r="62">
      <c r="B62" t="inlineStr">
        <is>
          <t>Bharti Hexacom Ltd</t>
        </is>
      </c>
      <c r="C62" t="inlineStr">
        <is>
          <t>INE343G01021</t>
        </is>
      </c>
      <c r="D62" t="inlineStr">
        <is>
          <t>Telecom - Services</t>
        </is>
      </c>
      <c r="E62" t="n">
        <v>867862</v>
      </c>
      <c r="F62" t="n">
        <v>15346.4</v>
      </c>
      <c r="G62" t="n">
        <v>0.59</v>
      </c>
      <c r="I62" t="inlineStr">
        <is>
          <t>Mid Cap</t>
        </is>
      </c>
    </row>
    <row r="63">
      <c r="B63" t="inlineStr">
        <is>
          <t>Pidilite Industries Ltd</t>
        </is>
      </c>
      <c r="C63" t="inlineStr">
        <is>
          <t>INE318A01026</t>
        </is>
      </c>
      <c r="D63" t="inlineStr">
        <is>
          <t>Chemicals &amp; Petrochemicals</t>
        </is>
      </c>
      <c r="E63" t="n">
        <v>1026234</v>
      </c>
      <c r="F63" t="n">
        <v>15083.59</v>
      </c>
      <c r="G63" t="n">
        <v>0.58</v>
      </c>
      <c r="I63" t="inlineStr">
        <is>
          <t>Large Cap</t>
        </is>
      </c>
    </row>
    <row r="64">
      <c r="B64" t="inlineStr">
        <is>
          <t>LG Electronics India Ltd</t>
        </is>
      </c>
      <c r="C64" t="inlineStr">
        <is>
          <t>INE324D01010</t>
        </is>
      </c>
      <c r="D64" t="inlineStr">
        <is>
          <t>Consumer Durables</t>
        </is>
      </c>
      <c r="E64" t="n">
        <v>902271</v>
      </c>
      <c r="F64" t="n">
        <v>14971.38</v>
      </c>
      <c r="G64" t="n">
        <v>0.57</v>
      </c>
      <c r="I64" t="inlineStr">
        <is>
          <t>Large Cap</t>
        </is>
      </c>
    </row>
    <row r="65">
      <c r="B65" t="inlineStr">
        <is>
          <t>K.P.R. Mill Ltd</t>
        </is>
      </c>
      <c r="C65" t="inlineStr">
        <is>
          <t>INE930H01031</t>
        </is>
      </c>
      <c r="D65" t="inlineStr">
        <is>
          <t>Textiles &amp; Apparels</t>
        </is>
      </c>
      <c r="E65" t="n">
        <v>1322228</v>
      </c>
      <c r="F65" t="n">
        <v>14273.45</v>
      </c>
      <c r="G65" t="n">
        <v>0.55</v>
      </c>
      <c r="I65" t="inlineStr">
        <is>
          <t>Mid Cap</t>
        </is>
      </c>
    </row>
    <row r="66">
      <c r="B66" t="inlineStr">
        <is>
          <t>Hindustan Aeronautics Ltd</t>
        </is>
      </c>
      <c r="C66" t="inlineStr">
        <is>
          <t>INE066F01020</t>
        </is>
      </c>
      <c r="D66" t="inlineStr">
        <is>
          <t>Aerospace &amp; Defense</t>
        </is>
      </c>
      <c r="E66" t="n">
        <v>314126</v>
      </c>
      <c r="F66" t="n">
        <v>14268.86</v>
      </c>
      <c r="G66" t="n">
        <v>0.55</v>
      </c>
      <c r="I66" t="inlineStr">
        <is>
          <t>Large Cap</t>
        </is>
      </c>
    </row>
    <row r="67">
      <c r="B67" t="inlineStr">
        <is>
          <t>CG Power and Industrial Solutions Ltd</t>
        </is>
      </c>
      <c r="C67" t="inlineStr">
        <is>
          <t>INE067A01029</t>
        </is>
      </c>
      <c r="D67" t="inlineStr">
        <is>
          <t>Electrical Equipment</t>
        </is>
      </c>
      <c r="E67" t="n">
        <v>1961573</v>
      </c>
      <c r="F67" t="n">
        <v>13199.42</v>
      </c>
      <c r="G67" t="n">
        <v>0.5</v>
      </c>
      <c r="I67" t="inlineStr">
        <is>
          <t>Large Cap</t>
        </is>
      </c>
    </row>
    <row r="68">
      <c r="B68" t="inlineStr">
        <is>
          <t>Central Depository Services (India) Ltd</t>
        </is>
      </c>
      <c r="C68" t="inlineStr">
        <is>
          <t>INE736A01011</t>
        </is>
      </c>
      <c r="D68" t="inlineStr">
        <is>
          <t>Capital Markets</t>
        </is>
      </c>
      <c r="E68" t="n">
        <v>806149</v>
      </c>
      <c r="F68" t="n">
        <v>13037.04</v>
      </c>
      <c r="G68" t="n">
        <v>0.5</v>
      </c>
      <c r="I68" t="inlineStr">
        <is>
          <t>Small Cap</t>
        </is>
      </c>
    </row>
    <row r="69">
      <c r="B69" t="inlineStr">
        <is>
          <t>Blue Dart Express Ltd</t>
        </is>
      </c>
      <c r="C69" t="inlineStr">
        <is>
          <t>INE233B01017</t>
        </is>
      </c>
      <c r="D69" t="inlineStr">
        <is>
          <t>Transport Services</t>
        </is>
      </c>
      <c r="E69" t="n">
        <v>201217</v>
      </c>
      <c r="F69" t="n">
        <v>11507.6</v>
      </c>
      <c r="G69" t="n">
        <v>0.44</v>
      </c>
      <c r="I69" t="inlineStr">
        <is>
          <t>Small Cap</t>
        </is>
      </c>
    </row>
    <row r="70">
      <c r="B70" t="inlineStr">
        <is>
          <t>Swiggy Ltd</t>
        </is>
      </c>
      <c r="C70" t="inlineStr">
        <is>
          <t>INE00H001014</t>
        </is>
      </c>
      <c r="D70" t="inlineStr">
        <is>
          <t>Retailing</t>
        </is>
      </c>
      <c r="E70" t="n">
        <v>2912980</v>
      </c>
      <c r="F70" t="n">
        <v>11019.8</v>
      </c>
      <c r="G70" t="n">
        <v>0.42</v>
      </c>
      <c r="I70" t="inlineStr">
        <is>
          <t>Mid Cap</t>
        </is>
      </c>
    </row>
    <row r="71">
      <c r="B71" t="inlineStr">
        <is>
          <t>Schaeffler India Ltd</t>
        </is>
      </c>
      <c r="C71" t="inlineStr">
        <is>
          <t>INE513A01022</t>
        </is>
      </c>
      <c r="D71" t="inlineStr">
        <is>
          <t>Auto Components</t>
        </is>
      </c>
      <c r="E71" t="n">
        <v>270953</v>
      </c>
      <c r="F71" t="n">
        <v>10565.54</v>
      </c>
      <c r="G71" t="n">
        <v>0.4</v>
      </c>
      <c r="I71" t="inlineStr">
        <is>
          <t>Mid Cap</t>
        </is>
      </c>
    </row>
    <row r="72">
      <c r="B72" t="inlineStr">
        <is>
          <t>Tech Mahindra Ltd</t>
        </is>
      </c>
      <c r="C72" t="inlineStr">
        <is>
          <t>INE669C01036</t>
        </is>
      </c>
      <c r="D72" t="inlineStr">
        <is>
          <t>IT - Software</t>
        </is>
      </c>
      <c r="E72" t="n">
        <v>686480</v>
      </c>
      <c r="F72" t="n">
        <v>10415.96</v>
      </c>
      <c r="G72" t="n">
        <v>0.4</v>
      </c>
      <c r="I72" t="inlineStr">
        <is>
          <t>Large Cap</t>
        </is>
      </c>
    </row>
    <row r="73">
      <c r="B73" t="inlineStr">
        <is>
          <t>Mrs Bectors Food Specialities Ltd</t>
        </is>
      </c>
      <c r="C73" t="inlineStr">
        <is>
          <t>INE495P01012</t>
        </is>
      </c>
      <c r="D73" t="inlineStr">
        <is>
          <t>Food Products</t>
        </is>
      </c>
      <c r="E73" t="n">
        <v>786388</v>
      </c>
      <c r="F73" t="n">
        <v>10225.4</v>
      </c>
      <c r="G73" t="n">
        <v>0.39</v>
      </c>
      <c r="I73" t="inlineStr">
        <is>
          <t>Small Cap</t>
        </is>
      </c>
    </row>
    <row r="74">
      <c r="B74" t="inlineStr">
        <is>
          <t>Cello World Ltd</t>
        </is>
      </c>
      <c r="C74" t="inlineStr">
        <is>
          <t>INE0LMW01024</t>
        </is>
      </c>
      <c r="D74" t="inlineStr">
        <is>
          <t>Consumer Durables</t>
        </is>
      </c>
      <c r="E74" t="n">
        <v>1556153</v>
      </c>
      <c r="F74" t="n">
        <v>9274.67</v>
      </c>
      <c r="G74" t="n">
        <v>0.35</v>
      </c>
      <c r="I74" t="inlineStr">
        <is>
          <t>Small Cap</t>
        </is>
      </c>
    </row>
    <row r="75">
      <c r="B75" t="inlineStr">
        <is>
          <t>Titan Co Ltd</t>
        </is>
      </c>
      <c r="C75" t="inlineStr">
        <is>
          <t>INE280A01028</t>
        </is>
      </c>
      <c r="D75" t="inlineStr">
        <is>
          <t>Consumer Durables</t>
        </is>
      </c>
      <c r="E75" t="n">
        <v>236652</v>
      </c>
      <c r="F75" t="n">
        <v>9247.65</v>
      </c>
      <c r="G75" t="n">
        <v>0.35</v>
      </c>
      <c r="I75" t="inlineStr">
        <is>
          <t>Large Cap</t>
        </is>
      </c>
    </row>
    <row r="76">
      <c r="B76" t="inlineStr">
        <is>
          <t>Indian Bank</t>
        </is>
      </c>
      <c r="C76" t="inlineStr">
        <is>
          <t>INE562A01011</t>
        </is>
      </c>
      <c r="D76" t="inlineStr">
        <is>
          <t>Banks</t>
        </is>
      </c>
      <c r="E76" t="n">
        <v>1038480</v>
      </c>
      <c r="F76" t="n">
        <v>9037.370000000001</v>
      </c>
      <c r="G76" t="n">
        <v>0.35</v>
      </c>
      <c r="I76" t="inlineStr">
        <is>
          <t>Mid Cap</t>
        </is>
      </c>
    </row>
    <row r="77">
      <c r="B77" t="inlineStr">
        <is>
          <t>United Spirits Ltd</t>
        </is>
      </c>
      <c r="C77" t="inlineStr">
        <is>
          <t>INE854D01024</t>
        </is>
      </c>
      <c r="D77" t="inlineStr">
        <is>
          <t>Beverages</t>
        </is>
      </c>
      <c r="E77" t="n">
        <v>600090</v>
      </c>
      <c r="F77" t="n">
        <v>8710.91</v>
      </c>
      <c r="G77" t="n">
        <v>0.33</v>
      </c>
      <c r="I77" t="inlineStr">
        <is>
          <t>Large Cap</t>
        </is>
      </c>
    </row>
    <row r="78">
      <c r="B78" t="inlineStr">
        <is>
          <t>Navin Fluorine International Ltd</t>
        </is>
      </c>
      <c r="C78" t="inlineStr">
        <is>
          <t>INE048G01026</t>
        </is>
      </c>
      <c r="D78" t="inlineStr">
        <is>
          <t>Chemicals &amp; Petrochemicals</t>
        </is>
      </c>
      <c r="E78" t="n">
        <v>149447</v>
      </c>
      <c r="F78" t="n">
        <v>8571.530000000001</v>
      </c>
      <c r="G78" t="n">
        <v>0.33</v>
      </c>
      <c r="I78" t="inlineStr">
        <is>
          <t>Small Cap</t>
        </is>
      </c>
    </row>
    <row r="79">
      <c r="B79" t="inlineStr">
        <is>
          <t>Shree Cement Ltd</t>
        </is>
      </c>
      <c r="C79" t="inlineStr">
        <is>
          <t>INE070A01015</t>
        </is>
      </c>
      <c r="D79" t="inlineStr">
        <is>
          <t>Cement &amp; Cement Products</t>
        </is>
      </c>
      <c r="E79" t="n">
        <v>31805</v>
      </c>
      <c r="F79" t="n">
        <v>8396.52</v>
      </c>
      <c r="G79" t="n">
        <v>0.32</v>
      </c>
      <c r="I79" t="inlineStr">
        <is>
          <t>Large Cap</t>
        </is>
      </c>
    </row>
    <row r="80">
      <c r="B80" t="inlineStr">
        <is>
          <t>Lupin Ltd</t>
        </is>
      </c>
      <c r="C80" t="inlineStr">
        <is>
          <t>INE326A01037</t>
        </is>
      </c>
      <c r="D80" t="inlineStr">
        <is>
          <t>Pharmaceuticals &amp; Biotechnology</t>
        </is>
      </c>
      <c r="E80" t="n">
        <v>396525</v>
      </c>
      <c r="F80" t="n">
        <v>8256.440000000001</v>
      </c>
      <c r="G80" t="n">
        <v>0.32</v>
      </c>
      <c r="I80" t="inlineStr">
        <is>
          <t>Large Cap</t>
        </is>
      </c>
    </row>
    <row r="81">
      <c r="B81" t="inlineStr">
        <is>
          <t>Linde India Ltd</t>
        </is>
      </c>
      <c r="C81" t="inlineStr">
        <is>
          <t>INE473A01011</t>
        </is>
      </c>
      <c r="D81" t="inlineStr">
        <is>
          <t>Chemicals &amp; Petrochemicals</t>
        </is>
      </c>
      <c r="E81" t="n">
        <v>122766</v>
      </c>
      <c r="F81" t="n">
        <v>7324.22</v>
      </c>
      <c r="G81" t="n">
        <v>0.28</v>
      </c>
      <c r="I81" t="inlineStr">
        <is>
          <t>Mid Cap</t>
        </is>
      </c>
    </row>
    <row r="82">
      <c r="B82" t="inlineStr">
        <is>
          <t>State Bank of India</t>
        </is>
      </c>
      <c r="C82" t="inlineStr">
        <is>
          <t>INE062A01020</t>
        </is>
      </c>
      <c r="D82" t="inlineStr">
        <is>
          <t>Banks</t>
        </is>
      </c>
      <c r="E82" t="n">
        <v>722501</v>
      </c>
      <c r="F82" t="n">
        <v>7073.28</v>
      </c>
      <c r="G82" t="n">
        <v>0.27</v>
      </c>
      <c r="I82" t="inlineStr">
        <is>
          <t>Large Cap</t>
        </is>
      </c>
    </row>
    <row r="83">
      <c r="B83" t="inlineStr">
        <is>
          <t>Kajaria Ceramics Ltd</t>
        </is>
      </c>
      <c r="C83" t="inlineStr">
        <is>
          <t>INE217B01036</t>
        </is>
      </c>
      <c r="D83" t="inlineStr">
        <is>
          <t>Consumer Durables</t>
        </is>
      </c>
      <c r="E83" t="n">
        <v>590361</v>
      </c>
      <c r="F83" t="n">
        <v>6300.33</v>
      </c>
      <c r="G83" t="n">
        <v>0.24</v>
      </c>
      <c r="I83" t="inlineStr">
        <is>
          <t>Small Cap</t>
        </is>
      </c>
    </row>
    <row r="84">
      <c r="B84" t="inlineStr">
        <is>
          <t>SRF Ltd</t>
        </is>
      </c>
      <c r="C84" t="inlineStr">
        <is>
          <t>INE647A01010</t>
        </is>
      </c>
      <c r="D84" t="inlineStr">
        <is>
          <t>Chemicals &amp; Petrochemicals</t>
        </is>
      </c>
      <c r="E84" t="n">
        <v>211889</v>
      </c>
      <c r="F84" t="n">
        <v>6202.63</v>
      </c>
      <c r="G84" t="n">
        <v>0.24</v>
      </c>
      <c r="I84" t="inlineStr">
        <is>
          <t>Mid Cap</t>
        </is>
      </c>
    </row>
    <row r="85">
      <c r="B85" t="inlineStr">
        <is>
          <t>Computer Age Management Services Ltd</t>
        </is>
      </c>
      <c r="C85" t="inlineStr">
        <is>
          <t>INE596I01012</t>
        </is>
      </c>
      <c r="D85" t="inlineStr">
        <is>
          <t>Capital Markets</t>
        </is>
      </c>
      <c r="E85" t="n">
        <v>150780</v>
      </c>
      <c r="F85" t="n">
        <v>5835.64</v>
      </c>
      <c r="G85" t="n">
        <v>0.22</v>
      </c>
      <c r="I85" t="inlineStr">
        <is>
          <t>Small Cap</t>
        </is>
      </c>
    </row>
    <row r="86">
      <c r="B86" t="inlineStr">
        <is>
          <t>Carborundum Universal Ltd</t>
        </is>
      </c>
      <c r="C86" t="inlineStr">
        <is>
          <t>INE120A01034</t>
        </is>
      </c>
      <c r="D86" t="inlineStr">
        <is>
          <t>Industrial Products</t>
        </is>
      </c>
      <c r="E86" t="n">
        <v>636406</v>
      </c>
      <c r="F86" t="n">
        <v>5453.04</v>
      </c>
      <c r="G86" t="n">
        <v>0.21</v>
      </c>
      <c r="I86" t="inlineStr">
        <is>
          <t>Small Cap</t>
        </is>
      </c>
    </row>
    <row r="87">
      <c r="B87" t="inlineStr">
        <is>
          <t>Ltimindtree Ltd</t>
        </is>
      </c>
      <c r="C87" t="inlineStr">
        <is>
          <t>INE214T01019</t>
        </is>
      </c>
      <c r="D87" t="inlineStr">
        <is>
          <t>IT - Software</t>
        </is>
      </c>
      <c r="E87" t="n">
        <v>88193</v>
      </c>
      <c r="F87" t="n">
        <v>5376.69</v>
      </c>
      <c r="G87" t="n">
        <v>0.21</v>
      </c>
      <c r="I87" t="inlineStr">
        <is>
          <t>Large Cap</t>
        </is>
      </c>
    </row>
    <row r="88">
      <c r="B88" t="inlineStr">
        <is>
          <t>Tata Motors Passenger Vehicles Ltd</t>
        </is>
      </c>
      <c r="C88" t="inlineStr">
        <is>
          <t>INE155A01022</t>
        </is>
      </c>
      <c r="D88" t="inlineStr">
        <is>
          <t>Automobiles</t>
        </is>
      </c>
      <c r="E88" t="n">
        <v>1355648</v>
      </c>
      <c r="F88" t="n">
        <v>4836.95</v>
      </c>
      <c r="G88" t="n">
        <v>0.18</v>
      </c>
      <c r="I88" t="inlineStr">
        <is>
          <t>Large Cap</t>
        </is>
      </c>
    </row>
    <row r="89">
      <c r="B89" t="inlineStr">
        <is>
          <t>Tata Motors Ltd</t>
        </is>
      </c>
      <c r="C89" t="inlineStr">
        <is>
          <t>INE1TAE01010</t>
        </is>
      </c>
      <c r="D89" t="inlineStr">
        <is>
          <t>Agricultural, Commercial &amp; Construction Vehicles</t>
        </is>
      </c>
      <c r="E89" t="n">
        <v>1355648</v>
      </c>
      <c r="F89" t="n">
        <v>4771.88</v>
      </c>
      <c r="G89" t="n">
        <v>0.18</v>
      </c>
      <c r="I89" t="inlineStr">
        <is>
          <t>Large Cap</t>
        </is>
      </c>
    </row>
    <row r="90">
      <c r="B90" t="inlineStr">
        <is>
          <t>Berger Paints India Ltd</t>
        </is>
      </c>
      <c r="C90" t="inlineStr">
        <is>
          <t>INE463A01038</t>
        </is>
      </c>
      <c r="D90" t="inlineStr">
        <is>
          <t>Consumer Durables</t>
        </is>
      </c>
      <c r="E90" t="n">
        <v>786289</v>
      </c>
      <c r="F90" t="n">
        <v>4439.39</v>
      </c>
      <c r="G90" t="n">
        <v>0.17</v>
      </c>
      <c r="I90" t="inlineStr">
        <is>
          <t>Mid Cap</t>
        </is>
      </c>
    </row>
    <row r="91">
      <c r="B91" t="inlineStr">
        <is>
          <t>KNR Constructions Ltd</t>
        </is>
      </c>
      <c r="C91" t="inlineStr">
        <is>
          <t>INE634I01029</t>
        </is>
      </c>
      <c r="D91" t="inlineStr">
        <is>
          <t>Construction</t>
        </is>
      </c>
      <c r="E91" t="n">
        <v>2757146</v>
      </c>
      <c r="F91" t="n">
        <v>4416.95</v>
      </c>
      <c r="G91" t="n">
        <v>0.17</v>
      </c>
      <c r="I91" t="inlineStr">
        <is>
          <t>Small Cap</t>
        </is>
      </c>
    </row>
    <row r="92">
      <c r="B92" t="inlineStr">
        <is>
          <t>Syngene International Ltd</t>
        </is>
      </c>
      <c r="C92" t="inlineStr">
        <is>
          <t>INE398R01022</t>
        </is>
      </c>
      <c r="D92" t="inlineStr">
        <is>
          <t>Healthcare Services</t>
        </is>
      </c>
      <c r="E92" t="n">
        <v>671532</v>
      </c>
      <c r="F92" t="n">
        <v>4353.54</v>
      </c>
      <c r="G92" t="n">
        <v>0.17</v>
      </c>
      <c r="I92" t="inlineStr">
        <is>
          <t>Small Cap</t>
        </is>
      </c>
    </row>
    <row r="93">
      <c r="B93" t="inlineStr">
        <is>
          <t>Deepak Nitrite Ltd</t>
        </is>
      </c>
      <c r="C93" t="inlineStr">
        <is>
          <t>INE288B01029</t>
        </is>
      </c>
      <c r="D93" t="inlineStr">
        <is>
          <t>Chemicals &amp; Petrochemicals</t>
        </is>
      </c>
      <c r="E93" t="n">
        <v>266248</v>
      </c>
      <c r="F93" t="n">
        <v>4149.74</v>
      </c>
      <c r="G93" t="n">
        <v>0.16</v>
      </c>
      <c r="I93" t="inlineStr">
        <is>
          <t>Small Cap</t>
        </is>
      </c>
    </row>
    <row r="94">
      <c r="B94" t="inlineStr">
        <is>
          <t>Thermax Ltd</t>
        </is>
      </c>
      <c r="C94" t="inlineStr">
        <is>
          <t>INE152A01029</t>
        </is>
      </c>
      <c r="D94" t="inlineStr">
        <is>
          <t>Electrical Equipment</t>
        </is>
      </c>
      <c r="E94" t="n">
        <v>139104</v>
      </c>
      <c r="F94" t="n">
        <v>4061.98</v>
      </c>
      <c r="G94" t="n">
        <v>0.16</v>
      </c>
      <c r="I94" t="inlineStr">
        <is>
          <t>Mid Cap</t>
        </is>
      </c>
    </row>
    <row r="95">
      <c r="B95" t="inlineStr">
        <is>
          <t>Zee Entertainment Enterprises Ltd</t>
        </is>
      </c>
      <c r="C95" t="inlineStr">
        <is>
          <t>INE256A01028</t>
        </is>
      </c>
      <c r="D95" t="inlineStr">
        <is>
          <t>Entertainment</t>
        </is>
      </c>
      <c r="E95" t="n">
        <v>3500000</v>
      </c>
      <c r="F95" t="n">
        <v>3551.45</v>
      </c>
      <c r="G95" t="n">
        <v>0.14</v>
      </c>
      <c r="I95" t="inlineStr">
        <is>
          <t>Small Cap</t>
        </is>
      </c>
    </row>
    <row r="96">
      <c r="B96" t="inlineStr">
        <is>
          <t>Jubilant Foodworks Ltd</t>
        </is>
      </c>
      <c r="C96" t="inlineStr">
        <is>
          <t>INE797F01020</t>
        </is>
      </c>
      <c r="D96" t="inlineStr">
        <is>
          <t>Leisure Services</t>
        </is>
      </c>
      <c r="E96" t="n">
        <v>587699</v>
      </c>
      <c r="F96" t="n">
        <v>3535.01</v>
      </c>
      <c r="G96" t="n">
        <v>0.14</v>
      </c>
      <c r="I96" t="inlineStr">
        <is>
          <t>Mid Cap</t>
        </is>
      </c>
    </row>
    <row r="97">
      <c r="B97" t="inlineStr">
        <is>
          <t>Siemens Ltd</t>
        </is>
      </c>
      <c r="C97" t="inlineStr">
        <is>
          <t>INE003A01024</t>
        </is>
      </c>
      <c r="D97" t="inlineStr">
        <is>
          <t>Electrical Equipment</t>
        </is>
      </c>
      <c r="E97" t="n">
        <v>105903</v>
      </c>
      <c r="F97" t="n">
        <v>3491.62</v>
      </c>
      <c r="G97" t="n">
        <v>0.13</v>
      </c>
      <c r="I97" t="inlineStr">
        <is>
          <t>Large Cap</t>
        </is>
      </c>
    </row>
    <row r="98">
      <c r="B98" t="inlineStr">
        <is>
          <t>Container Corporation Of India Ltd</t>
        </is>
      </c>
      <c r="C98" t="inlineStr">
        <is>
          <t>INE111A01025</t>
        </is>
      </c>
      <c r="D98" t="inlineStr">
        <is>
          <t>Transport Services</t>
        </is>
      </c>
      <c r="E98" t="n">
        <v>667251</v>
      </c>
      <c r="F98" t="n">
        <v>3411.32</v>
      </c>
      <c r="G98" t="n">
        <v>0.13</v>
      </c>
      <c r="I98" t="inlineStr">
        <is>
          <t>Mid Cap</t>
        </is>
      </c>
    </row>
    <row r="99">
      <c r="B99" t="inlineStr">
        <is>
          <t>TCI Express Ltd</t>
        </is>
      </c>
      <c r="C99" t="inlineStr">
        <is>
          <t>INE586V01016</t>
        </is>
      </c>
      <c r="D99" t="inlineStr">
        <is>
          <t>Transport Services</t>
        </is>
      </c>
      <c r="E99" t="n">
        <v>584273</v>
      </c>
      <c r="F99" t="n">
        <v>3402.22</v>
      </c>
      <c r="G99" t="n">
        <v>0.13</v>
      </c>
      <c r="I99" t="inlineStr">
        <is>
          <t>Small Cap</t>
        </is>
      </c>
    </row>
    <row r="100">
      <c r="B100" t="inlineStr">
        <is>
          <t>National Aluminium Co Ltd</t>
        </is>
      </c>
      <c r="C100" t="inlineStr">
        <is>
          <t>INE139A01034</t>
        </is>
      </c>
      <c r="D100" t="inlineStr">
        <is>
          <t>Non - Ferrous Metals</t>
        </is>
      </c>
      <c r="E100" t="n">
        <v>1251659</v>
      </c>
      <c r="F100" t="n">
        <v>3254.06</v>
      </c>
      <c r="G100" t="n">
        <v>0.12</v>
      </c>
      <c r="I100" t="inlineStr">
        <is>
          <t>Mid Cap</t>
        </is>
      </c>
    </row>
    <row r="101">
      <c r="B101" t="inlineStr">
        <is>
          <t>Premier Energies Ltd</t>
        </is>
      </c>
      <c r="C101" t="inlineStr">
        <is>
          <t>INE0BS701011</t>
        </is>
      </c>
      <c r="D101" t="inlineStr">
        <is>
          <t>Electrical Equipment</t>
        </is>
      </c>
      <c r="E101" t="n">
        <v>323797</v>
      </c>
      <c r="F101" t="n">
        <v>3159.29</v>
      </c>
      <c r="G101" t="n">
        <v>0.12</v>
      </c>
      <c r="I101" t="inlineStr">
        <is>
          <t>Mid Cap</t>
        </is>
      </c>
    </row>
    <row r="102">
      <c r="B102" t="inlineStr">
        <is>
          <t>Tips Music Ltd</t>
        </is>
      </c>
      <c r="C102" t="inlineStr">
        <is>
          <t>INE716B01029</t>
        </is>
      </c>
      <c r="D102" t="inlineStr">
        <is>
          <t>Entertainment</t>
        </is>
      </c>
      <c r="E102" t="n">
        <v>539012</v>
      </c>
      <c r="F102" t="n">
        <v>2981.28</v>
      </c>
      <c r="G102" t="n">
        <v>0.11</v>
      </c>
      <c r="I102" t="inlineStr">
        <is>
          <t>Small Cap</t>
        </is>
      </c>
    </row>
    <row r="103">
      <c r="B103" t="inlineStr">
        <is>
          <t>Bajaj Finserv Ltd</t>
        </is>
      </c>
      <c r="C103" t="inlineStr">
        <is>
          <t>INE918I01026</t>
        </is>
      </c>
      <c r="D103" t="inlineStr">
        <is>
          <t>Finance</t>
        </is>
      </c>
      <c r="E103" t="n">
        <v>128267</v>
      </c>
      <c r="F103" t="n">
        <v>2685.91</v>
      </c>
      <c r="G103" t="n">
        <v>0.1</v>
      </c>
      <c r="I103" t="inlineStr">
        <is>
          <t>Large Cap</t>
        </is>
      </c>
    </row>
    <row r="104">
      <c r="B104" t="inlineStr">
        <is>
          <t>HDB Financial Services Ltd</t>
        </is>
      </c>
      <c r="C104" t="inlineStr">
        <is>
          <t>INE756I01012</t>
        </is>
      </c>
      <c r="D104" t="inlineStr">
        <is>
          <t>Finance</t>
        </is>
      </c>
      <c r="E104" t="n">
        <v>338792</v>
      </c>
      <c r="F104" t="n">
        <v>2599.21</v>
      </c>
      <c r="G104" t="n">
        <v>0.1</v>
      </c>
      <c r="I104" t="inlineStr">
        <is>
          <t>Mid Cap</t>
        </is>
      </c>
    </row>
    <row r="105">
      <c r="B105" t="inlineStr">
        <is>
          <t>Doms Industries Ltd</t>
        </is>
      </c>
      <c r="C105" t="inlineStr">
        <is>
          <t>INE321T01012</t>
        </is>
      </c>
      <c r="D105" t="inlineStr">
        <is>
          <t>Household Products</t>
        </is>
      </c>
      <c r="E105" t="n">
        <v>97776</v>
      </c>
      <c r="F105" t="n">
        <v>2454.18</v>
      </c>
      <c r="G105" t="n">
        <v>0.09</v>
      </c>
      <c r="I105" t="inlineStr">
        <is>
          <t>Small Cap</t>
        </is>
      </c>
    </row>
    <row r="106">
      <c r="B106" t="inlineStr">
        <is>
          <t>Dr. Lal Path Labs Ltd</t>
        </is>
      </c>
      <c r="C106" t="inlineStr">
        <is>
          <t>INE600L01024</t>
        </is>
      </c>
      <c r="D106" t="inlineStr">
        <is>
          <t>Healthcare Services</t>
        </is>
      </c>
      <c r="E106" t="n">
        <v>78004</v>
      </c>
      <c r="F106" t="n">
        <v>2380.53</v>
      </c>
      <c r="G106" t="n">
        <v>0.09</v>
      </c>
      <c r="I106" t="inlineStr">
        <is>
          <t>Small Cap</t>
        </is>
      </c>
    </row>
    <row r="107">
      <c r="B107" t="inlineStr">
        <is>
          <t>Samvardhana Motherson International Ltd</t>
        </is>
      </c>
      <c r="C107" t="inlineStr">
        <is>
          <t>INE775A01035</t>
        </is>
      </c>
      <c r="D107" t="inlineStr">
        <is>
          <t>Auto Components</t>
        </is>
      </c>
      <c r="E107" t="n">
        <v>1886219</v>
      </c>
      <c r="F107" t="n">
        <v>2193.86</v>
      </c>
      <c r="G107" t="n">
        <v>0.08</v>
      </c>
      <c r="I107" t="inlineStr">
        <is>
          <t>Large Cap</t>
        </is>
      </c>
    </row>
    <row r="108">
      <c r="B108" t="inlineStr">
        <is>
          <t>Mankind Pharma Ltd</t>
        </is>
      </c>
      <c r="C108" t="inlineStr">
        <is>
          <t>INE634S01028</t>
        </is>
      </c>
      <c r="D108" t="inlineStr">
        <is>
          <t>Pharmaceuticals &amp; Biotechnology</t>
        </is>
      </c>
      <c r="E108" t="n">
        <v>88572</v>
      </c>
      <c r="F108" t="n">
        <v>1993.76</v>
      </c>
      <c r="G108" t="n">
        <v>0.08</v>
      </c>
      <c r="I108" t="inlineStr">
        <is>
          <t>Large Cap</t>
        </is>
      </c>
    </row>
    <row r="109">
      <c r="B109" t="inlineStr">
        <is>
          <t>Cochin Shipyard Ltd</t>
        </is>
      </c>
      <c r="C109" t="inlineStr">
        <is>
          <t>INE704P01025</t>
        </is>
      </c>
      <c r="D109" t="inlineStr">
        <is>
          <t>Industrial Manufacturing</t>
        </is>
      </c>
      <c r="E109" t="n">
        <v>98600</v>
      </c>
      <c r="F109" t="n">
        <v>1642.77</v>
      </c>
      <c r="G109" t="n">
        <v>0.06</v>
      </c>
      <c r="I109" t="inlineStr">
        <is>
          <t>Mid Cap</t>
        </is>
      </c>
    </row>
    <row r="110">
      <c r="B110" t="inlineStr">
        <is>
          <t>Escorts Kubota Ltd</t>
        </is>
      </c>
      <c r="C110" t="inlineStr">
        <is>
          <t>INE042A01014</t>
        </is>
      </c>
      <c r="D110" t="inlineStr">
        <is>
          <t>Agricultural, Commercial &amp; Construction Vehicles</t>
        </is>
      </c>
      <c r="E110" t="n">
        <v>23900</v>
      </c>
      <c r="F110" t="n">
        <v>912.36</v>
      </c>
      <c r="G110" t="n">
        <v>0.03</v>
      </c>
      <c r="I110" t="inlineStr">
        <is>
          <t>Mid Cap</t>
        </is>
      </c>
    </row>
    <row r="111">
      <c r="B111" t="inlineStr">
        <is>
          <t>Devyani International Ltd</t>
        </is>
      </c>
      <c r="C111" t="inlineStr">
        <is>
          <t>INE872J01023</t>
        </is>
      </c>
      <c r="D111" t="inlineStr">
        <is>
          <t>Leisure Services</t>
        </is>
      </c>
      <c r="E111" t="n">
        <v>468398</v>
      </c>
      <c r="F111" t="n">
        <v>635.34</v>
      </c>
      <c r="G111" t="n">
        <v>0.02</v>
      </c>
      <c r="I111" t="inlineStr">
        <is>
          <t>Small Cap</t>
        </is>
      </c>
    </row>
    <row r="112">
      <c r="B112" t="inlineStr">
        <is>
          <t>HDFC Bank Ltd</t>
        </is>
      </c>
      <c r="C112" t="inlineStr">
        <is>
          <t>INE040A01034</t>
        </is>
      </c>
      <c r="D112" t="inlineStr">
        <is>
          <t>Banks</t>
        </is>
      </c>
      <c r="E112" t="n">
        <v>22244</v>
      </c>
      <c r="F112" t="n">
        <v>224.13</v>
      </c>
      <c r="G112" t="n">
        <v>0.01</v>
      </c>
      <c r="I112" t="inlineStr">
        <is>
          <t>Large Cap</t>
        </is>
      </c>
    </row>
    <row r="113">
      <c r="B113" t="inlineStr">
        <is>
          <t>Cohance Lifesciences Ltd</t>
        </is>
      </c>
      <c r="C113" t="inlineStr">
        <is>
          <t>INE03QK01018</t>
        </is>
      </c>
      <c r="D113" t="inlineStr">
        <is>
          <t>Pharmaceuticals &amp; Biotechnology</t>
        </is>
      </c>
      <c r="E113" t="n">
        <v>197</v>
      </c>
      <c r="F113" t="n">
        <v>1.11</v>
      </c>
      <c r="G113" t="n">
        <v>0</v>
      </c>
      <c r="I113" t="inlineStr">
        <is>
          <t>Small Cap</t>
        </is>
      </c>
    </row>
    <row r="114">
      <c r="B114" t="inlineStr">
        <is>
          <t>Sub Total</t>
        </is>
      </c>
      <c r="F114">
        <f>SUM(F7:F113)</f>
        <v/>
      </c>
      <c r="G114">
        <f>SUM(G7:G113)</f>
        <v/>
      </c>
    </row>
    <row r="115">
      <c r="B115" t="inlineStr">
        <is>
          <t>Total</t>
        </is>
      </c>
      <c r="F115">
        <f>F114</f>
        <v/>
      </c>
      <c r="G115">
        <f>G114</f>
        <v/>
      </c>
    </row>
    <row r="116">
      <c r="B116" t="inlineStr">
        <is>
          <t>Debt Instruments</t>
        </is>
      </c>
    </row>
    <row r="117">
      <c r="B117" t="inlineStr">
        <is>
          <t>(a) Listed / awaiting listing on Stock Exchanges</t>
        </is>
      </c>
    </row>
    <row r="118">
      <c r="B118" t="inlineStr">
        <is>
          <t>6.00% TVS Motor Co Ltd NCRPS **</t>
        </is>
      </c>
      <c r="C118" t="inlineStr">
        <is>
          <t>INE494B04019</t>
        </is>
      </c>
      <c r="D118" t="inlineStr">
        <is>
          <t>CARE A1+</t>
        </is>
      </c>
      <c r="E118" t="n">
        <v>12181844</v>
      </c>
      <c r="F118" t="n">
        <v>1235.31</v>
      </c>
      <c r="G118" t="n">
        <v>0.05</v>
      </c>
      <c r="H118" t="n">
        <v>6.035</v>
      </c>
    </row>
    <row r="119">
      <c r="B119" t="inlineStr">
        <is>
          <t>Sub Total</t>
        </is>
      </c>
      <c r="F119" t="n">
        <v>1235.31</v>
      </c>
      <c r="G119" t="n">
        <v>0.05</v>
      </c>
    </row>
    <row r="120">
      <c r="B120" t="inlineStr">
        <is>
          <t>Total</t>
        </is>
      </c>
      <c r="F120" t="n">
        <v>1235.31</v>
      </c>
      <c r="G120" t="n">
        <v>0.05</v>
      </c>
    </row>
    <row r="121">
      <c r="B121" t="inlineStr">
        <is>
          <t>TREPS</t>
        </is>
      </c>
    </row>
    <row r="122">
      <c r="B122" t="inlineStr">
        <is>
          <t>TREPS</t>
        </is>
      </c>
      <c r="F122" t="n">
        <v>53943.41</v>
      </c>
      <c r="G122" t="n">
        <v>2.06</v>
      </c>
    </row>
    <row r="123">
      <c r="B123" t="inlineStr">
        <is>
          <t>Sub Total</t>
        </is>
      </c>
      <c r="F123">
        <f>SUM(F121:F122)</f>
        <v/>
      </c>
      <c r="G123">
        <f>SUM(G121:G122)</f>
        <v/>
      </c>
    </row>
    <row r="124">
      <c r="B124" t="inlineStr">
        <is>
          <t>Total</t>
        </is>
      </c>
      <c r="F124">
        <f>F123</f>
        <v/>
      </c>
      <c r="G124">
        <f>G123</f>
        <v/>
      </c>
    </row>
    <row r="125">
      <c r="B125" t="inlineStr">
        <is>
          <t>Net Receivables / (Payables)</t>
        </is>
      </c>
      <c r="F125">
        <f>F126-(+F115+F124+F120)</f>
        <v/>
      </c>
      <c r="G125">
        <f>G126-(+G115+G124+G120)</f>
        <v/>
      </c>
    </row>
    <row r="126">
      <c r="B126" t="inlineStr">
        <is>
          <t>Grand Total</t>
        </is>
      </c>
      <c r="F126" t="n">
        <v>2616989.38</v>
      </c>
      <c r="G126" t="n">
        <v>100</v>
      </c>
    </row>
    <row r="127"/>
    <row r="128">
      <c r="B128" t="inlineStr">
        <is>
          <t>** Non Traded Security</t>
        </is>
      </c>
    </row>
    <row r="129"/>
    <row r="130">
      <c r="B130" t="inlineStr">
        <is>
          <t>Residual Maturity</t>
        </is>
      </c>
      <c r="C130" t="inlineStr">
        <is>
          <t>0.0027 Years</t>
        </is>
      </c>
    </row>
    <row r="131"/>
    <row r="132">
      <c r="B132" t="inlineStr">
        <is>
          <t>Please refer the below link for the performance of the Schemes managed by Canara Robeco Mutual Fund</t>
        </is>
      </c>
    </row>
    <row r="133"/>
    <row r="134">
      <c r="B134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MID CAP FUND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K4" t="inlineStr">
        <is>
          <t>Scheme Risk-O-Meter Level- November'25</t>
        </is>
      </c>
      <c r="L4" t="inlineStr">
        <is>
          <t>Benchmark Risk-O-Meter Level- November'25</t>
        </is>
      </c>
      <c r="M4" t="inlineStr">
        <is>
          <t>Scheme Risk-O-Meter Level- October'25</t>
        </is>
      </c>
      <c r="N4" t="inlineStr">
        <is>
          <t>Benchmark Risk-O-Meter Level- October'25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Persistent Systems Ltd</t>
        </is>
      </c>
      <c r="C7" t="inlineStr">
        <is>
          <t>INE262H01021</t>
        </is>
      </c>
      <c r="D7" t="inlineStr">
        <is>
          <t>IT - Software</t>
        </is>
      </c>
      <c r="E7" t="n">
        <v>189344</v>
      </c>
      <c r="F7" t="n">
        <v>12029.02</v>
      </c>
      <c r="G7" t="n">
        <v>3.01</v>
      </c>
      <c r="H7" t="inlineStr">
        <is>
          <t>Mid Cap</t>
        </is>
      </c>
    </row>
    <row r="8">
      <c r="B8" t="inlineStr">
        <is>
          <t>Bharat Heavy Electricals Ltd</t>
        </is>
      </c>
      <c r="C8" t="inlineStr">
        <is>
          <t>INE257A01026</t>
        </is>
      </c>
      <c r="D8" t="inlineStr">
        <is>
          <t>Electrical Equipment</t>
        </is>
      </c>
      <c r="E8" t="n">
        <v>3780195</v>
      </c>
      <c r="F8" t="n">
        <v>10994.7</v>
      </c>
      <c r="G8" t="n">
        <v>2.75</v>
      </c>
      <c r="H8" t="inlineStr">
        <is>
          <t>Mid Cap</t>
        </is>
      </c>
    </row>
    <row r="9">
      <c r="B9" t="inlineStr">
        <is>
          <t>Indian Bank</t>
        </is>
      </c>
      <c r="C9" t="inlineStr">
        <is>
          <t>INE562A01011</t>
        </is>
      </c>
      <c r="D9" t="inlineStr">
        <is>
          <t>Banks</t>
        </is>
      </c>
      <c r="E9" t="n">
        <v>1224468</v>
      </c>
      <c r="F9" t="n">
        <v>10655.93</v>
      </c>
      <c r="G9" t="n">
        <v>2.67</v>
      </c>
      <c r="H9" t="inlineStr">
        <is>
          <t>Mid Cap</t>
        </is>
      </c>
    </row>
    <row r="10">
      <c r="B10" t="inlineStr">
        <is>
          <t>One 97 Communications Ltd</t>
        </is>
      </c>
      <c r="C10" t="inlineStr">
        <is>
          <t>INE982J01020</t>
        </is>
      </c>
      <c r="D10" t="inlineStr">
        <is>
          <t>Financial Technology (Fintech)</t>
        </is>
      </c>
      <c r="E10" t="n">
        <v>797332</v>
      </c>
      <c r="F10" t="n">
        <v>10529.57</v>
      </c>
      <c r="G10" t="n">
        <v>2.63</v>
      </c>
      <c r="H10" t="inlineStr">
        <is>
          <t>Mid Cap</t>
        </is>
      </c>
    </row>
    <row r="11">
      <c r="B11" t="inlineStr">
        <is>
          <t>Federal Bank Ltd</t>
        </is>
      </c>
      <c r="C11" t="inlineStr">
        <is>
          <t>INE171A01029</t>
        </is>
      </c>
      <c r="D11" t="inlineStr">
        <is>
          <t>Banks</t>
        </is>
      </c>
      <c r="E11" t="n">
        <v>3786188</v>
      </c>
      <c r="F11" t="n">
        <v>9765.34</v>
      </c>
      <c r="G11" t="n">
        <v>2.44</v>
      </c>
      <c r="H11" t="inlineStr">
        <is>
          <t>Mid Cap</t>
        </is>
      </c>
    </row>
    <row r="12">
      <c r="B12" t="inlineStr">
        <is>
          <t>Prestige Estates Projects Ltd</t>
        </is>
      </c>
      <c r="C12" t="inlineStr">
        <is>
          <t>INE811K01011</t>
        </is>
      </c>
      <c r="D12" t="inlineStr">
        <is>
          <t>Realty</t>
        </is>
      </c>
      <c r="E12" t="n">
        <v>550941</v>
      </c>
      <c r="F12" t="n">
        <v>9240.93</v>
      </c>
      <c r="G12" t="n">
        <v>2.31</v>
      </c>
      <c r="H12" t="inlineStr">
        <is>
          <t>Mid Cap</t>
        </is>
      </c>
    </row>
    <row r="13">
      <c r="B13" t="inlineStr">
        <is>
          <t>Phoenix Mills Ltd</t>
        </is>
      </c>
      <c r="C13" t="inlineStr">
        <is>
          <t>INE211B01039</t>
        </is>
      </c>
      <c r="D13" t="inlineStr">
        <is>
          <t>Realty</t>
        </is>
      </c>
      <c r="E13" t="n">
        <v>531133</v>
      </c>
      <c r="F13" t="n">
        <v>9224.719999999999</v>
      </c>
      <c r="G13" t="n">
        <v>2.31</v>
      </c>
      <c r="H13" t="inlineStr">
        <is>
          <t>Mid Cap</t>
        </is>
      </c>
      <c r="L13" t="inlineStr">
        <is>
          <t>Benchmark: BSE 150 Mid Cap Index TRI</t>
        </is>
      </c>
    </row>
    <row r="14">
      <c r="B14" t="inlineStr">
        <is>
          <t>J.K. Cement Ltd</t>
        </is>
      </c>
      <c r="C14" t="inlineStr">
        <is>
          <t>INE823G01014</t>
        </is>
      </c>
      <c r="D14" t="inlineStr">
        <is>
          <t>Cement &amp; Cement Products</t>
        </is>
      </c>
      <c r="E14" t="n">
        <v>158990</v>
      </c>
      <c r="F14" t="n">
        <v>9154.639999999999</v>
      </c>
      <c r="G14" t="n">
        <v>2.29</v>
      </c>
      <c r="H14" t="inlineStr">
        <is>
          <t>Mid Cap</t>
        </is>
      </c>
    </row>
    <row r="15">
      <c r="B15" t="inlineStr">
        <is>
          <t>Coforge Ltd</t>
        </is>
      </c>
      <c r="C15" t="inlineStr">
        <is>
          <t>INE591G01025</t>
        </is>
      </c>
      <c r="D15" t="inlineStr">
        <is>
          <t>IT - Software</t>
        </is>
      </c>
      <c r="E15" t="n">
        <v>467924</v>
      </c>
      <c r="F15" t="n">
        <v>8931.27</v>
      </c>
      <c r="G15" t="n">
        <v>2.23</v>
      </c>
      <c r="H15" t="inlineStr">
        <is>
          <t>Mid Cap</t>
        </is>
      </c>
    </row>
    <row r="16">
      <c r="B16" t="inlineStr">
        <is>
          <t>Mahindra &amp; Mahindra Ltd</t>
        </is>
      </c>
      <c r="C16" t="inlineStr">
        <is>
          <t>INE101A01026</t>
        </is>
      </c>
      <c r="D16" t="inlineStr">
        <is>
          <t>Automobiles</t>
        </is>
      </c>
      <c r="E16" t="n">
        <v>237119</v>
      </c>
      <c r="F16" t="n">
        <v>8909.27</v>
      </c>
      <c r="G16" t="n">
        <v>2.23</v>
      </c>
      <c r="H16" t="inlineStr">
        <is>
          <t>Large Cap</t>
        </is>
      </c>
    </row>
    <row r="17">
      <c r="B17" t="inlineStr">
        <is>
          <t>Global Health Ltd</t>
        </is>
      </c>
      <c r="C17" t="inlineStr">
        <is>
          <t>INE474Q01031</t>
        </is>
      </c>
      <c r="D17" t="inlineStr">
        <is>
          <t>Healthcare Services</t>
        </is>
      </c>
      <c r="E17" t="n">
        <v>688291</v>
      </c>
      <c r="F17" t="n">
        <v>8576.110000000001</v>
      </c>
      <c r="G17" t="n">
        <v>2.15</v>
      </c>
      <c r="H17" t="inlineStr">
        <is>
          <t>Mid Cap</t>
        </is>
      </c>
    </row>
    <row r="18">
      <c r="B18" t="inlineStr">
        <is>
          <t>Uno Minda Ltd</t>
        </is>
      </c>
      <c r="C18" t="inlineStr">
        <is>
          <t>INE405E01023</t>
        </is>
      </c>
      <c r="D18" t="inlineStr">
        <is>
          <t>Auto Components</t>
        </is>
      </c>
      <c r="E18" t="n">
        <v>631507</v>
      </c>
      <c r="F18" t="n">
        <v>8252.530000000001</v>
      </c>
      <c r="G18" t="n">
        <v>2.06</v>
      </c>
      <c r="H18" t="inlineStr">
        <is>
          <t>Mid Cap</t>
        </is>
      </c>
    </row>
    <row r="19">
      <c r="B19" t="inlineStr">
        <is>
          <t>Max Financial Services Ltd</t>
        </is>
      </c>
      <c r="C19" t="inlineStr">
        <is>
          <t>INE180A01020</t>
        </is>
      </c>
      <c r="D19" t="inlineStr">
        <is>
          <t>Insurance</t>
        </is>
      </c>
      <c r="E19" t="n">
        <v>483146</v>
      </c>
      <c r="F19" t="n">
        <v>8223.629999999999</v>
      </c>
      <c r="G19" t="n">
        <v>2.06</v>
      </c>
      <c r="H19" t="inlineStr">
        <is>
          <t>Mid Cap</t>
        </is>
      </c>
    </row>
    <row r="20">
      <c r="B20" t="inlineStr">
        <is>
          <t>HDFC Asset Management Co Ltd</t>
        </is>
      </c>
      <c r="C20" t="inlineStr">
        <is>
          <t>INE127D01025</t>
        </is>
      </c>
      <c r="D20" t="inlineStr">
        <is>
          <t>Capital Markets</t>
        </is>
      </c>
      <c r="E20" t="n">
        <v>296474</v>
      </c>
      <c r="F20" t="n">
        <v>7924.75</v>
      </c>
      <c r="G20" t="n">
        <v>1.98</v>
      </c>
      <c r="H20" t="inlineStr">
        <is>
          <t>Mid Cap</t>
        </is>
      </c>
    </row>
    <row r="21">
      <c r="B21" t="inlineStr">
        <is>
          <t>Eternal Ltd</t>
        </is>
      </c>
      <c r="C21" t="inlineStr">
        <is>
          <t>INE758T01015</t>
        </is>
      </c>
      <c r="D21" t="inlineStr">
        <is>
          <t>Retailing</t>
        </is>
      </c>
      <c r="E21" t="n">
        <v>2607647</v>
      </c>
      <c r="F21" t="n">
        <v>7825.55</v>
      </c>
      <c r="G21" t="n">
        <v>1.96</v>
      </c>
      <c r="H21" t="inlineStr">
        <is>
          <t>Large Cap</t>
        </is>
      </c>
    </row>
    <row r="22">
      <c r="B22" t="inlineStr">
        <is>
          <t>Swiggy Ltd</t>
        </is>
      </c>
      <c r="C22" t="inlineStr">
        <is>
          <t>INE00H001014</t>
        </is>
      </c>
      <c r="D22" t="inlineStr">
        <is>
          <t>Retailing</t>
        </is>
      </c>
      <c r="E22" t="n">
        <v>2051215</v>
      </c>
      <c r="F22" t="n">
        <v>7759.75</v>
      </c>
      <c r="G22" t="n">
        <v>1.94</v>
      </c>
      <c r="H22" t="inlineStr">
        <is>
          <t>Mid Cap</t>
        </is>
      </c>
    </row>
    <row r="23">
      <c r="B23" t="inlineStr">
        <is>
          <t>Solar Industries India Ltd</t>
        </is>
      </c>
      <c r="C23" t="inlineStr">
        <is>
          <t>INE343H01029</t>
        </is>
      </c>
      <c r="D23" t="inlineStr">
        <is>
          <t>Chemicals &amp; Petrochemicals</t>
        </is>
      </c>
      <c r="E23" t="n">
        <v>57931</v>
      </c>
      <c r="F23" t="n">
        <v>7688.6</v>
      </c>
      <c r="G23" t="n">
        <v>1.92</v>
      </c>
      <c r="H23" t="inlineStr">
        <is>
          <t>Large Cap</t>
        </is>
      </c>
    </row>
    <row r="24">
      <c r="B24" t="inlineStr">
        <is>
          <t>L&amp;T Technology Services Ltd</t>
        </is>
      </c>
      <c r="C24" t="inlineStr">
        <is>
          <t>INE010V01017</t>
        </is>
      </c>
      <c r="D24" t="inlineStr">
        <is>
          <t>IT - Services</t>
        </is>
      </c>
      <c r="E24" t="n">
        <v>167267</v>
      </c>
      <c r="F24" t="n">
        <v>7427.32</v>
      </c>
      <c r="G24" t="n">
        <v>1.86</v>
      </c>
      <c r="H24" t="inlineStr">
        <is>
          <t>Mid Cap</t>
        </is>
      </c>
    </row>
    <row r="25">
      <c r="B25" t="inlineStr">
        <is>
          <t>Jubilant Foodworks Ltd</t>
        </is>
      </c>
      <c r="C25" t="inlineStr">
        <is>
          <t>INE797F01020</t>
        </is>
      </c>
      <c r="D25" t="inlineStr">
        <is>
          <t>Leisure Services</t>
        </is>
      </c>
      <c r="E25" t="n">
        <v>1230817</v>
      </c>
      <c r="F25" t="n">
        <v>7403.36</v>
      </c>
      <c r="G25" t="n">
        <v>1.85</v>
      </c>
      <c r="H25" t="inlineStr">
        <is>
          <t>Mid Cap</t>
        </is>
      </c>
    </row>
    <row r="26">
      <c r="B26" t="inlineStr">
        <is>
          <t>Max Healthcare Institute Ltd</t>
        </is>
      </c>
      <c r="C26" t="inlineStr">
        <is>
          <t>INE027H01010</t>
        </is>
      </c>
      <c r="D26" t="inlineStr">
        <is>
          <t>Healthcare Services</t>
        </is>
      </c>
      <c r="E26" t="n">
        <v>630741</v>
      </c>
      <c r="F26" t="n">
        <v>7334.26</v>
      </c>
      <c r="G26" t="n">
        <v>1.84</v>
      </c>
      <c r="H26" t="inlineStr">
        <is>
          <t>Large Cap</t>
        </is>
      </c>
    </row>
    <row r="27">
      <c r="B27" t="inlineStr">
        <is>
          <t>Bank Of Maharashtra</t>
        </is>
      </c>
      <c r="C27" t="inlineStr">
        <is>
          <t>INE457A01014</t>
        </is>
      </c>
      <c r="D27" t="inlineStr">
        <is>
          <t>Banks</t>
        </is>
      </c>
      <c r="E27" t="n">
        <v>12204938</v>
      </c>
      <c r="F27" t="n">
        <v>7147.21</v>
      </c>
      <c r="G27" t="n">
        <v>1.79</v>
      </c>
      <c r="H27" t="inlineStr">
        <is>
          <t>Mid Cap</t>
        </is>
      </c>
    </row>
    <row r="28">
      <c r="B28" t="inlineStr">
        <is>
          <t>PB Fintech Ltd</t>
        </is>
      </c>
      <c r="C28" t="inlineStr">
        <is>
          <t>INE417T01026</t>
        </is>
      </c>
      <c r="D28" t="inlineStr">
        <is>
          <t>Financial Technology (Fintech)</t>
        </is>
      </c>
      <c r="E28" t="n">
        <v>390745</v>
      </c>
      <c r="F28" t="n">
        <v>7107.26</v>
      </c>
      <c r="G28" t="n">
        <v>1.78</v>
      </c>
      <c r="H28" t="inlineStr">
        <is>
          <t>Mid Cap</t>
        </is>
      </c>
    </row>
    <row r="29">
      <c r="B29" t="inlineStr">
        <is>
          <t>Dixon Technologies (India) Ltd</t>
        </is>
      </c>
      <c r="C29" t="inlineStr">
        <is>
          <t>INE935N01020</t>
        </is>
      </c>
      <c r="D29" t="inlineStr">
        <is>
          <t>Consumer Durables</t>
        </is>
      </c>
      <c r="E29" t="n">
        <v>47594</v>
      </c>
      <c r="F29" t="n">
        <v>6949.2</v>
      </c>
      <c r="G29" t="n">
        <v>1.74</v>
      </c>
      <c r="H29" t="inlineStr">
        <is>
          <t>Mid Cap</t>
        </is>
      </c>
    </row>
    <row r="30">
      <c r="B30" t="inlineStr">
        <is>
          <t>Premier Energies Ltd</t>
        </is>
      </c>
      <c r="C30" t="inlineStr">
        <is>
          <t>INE0BS701011</t>
        </is>
      </c>
      <c r="D30" t="inlineStr">
        <is>
          <t>Electrical Equipment</t>
        </is>
      </c>
      <c r="E30" t="n">
        <v>708780</v>
      </c>
      <c r="F30" t="n">
        <v>6915.57</v>
      </c>
      <c r="G30" t="n">
        <v>1.73</v>
      </c>
      <c r="H30" t="inlineStr">
        <is>
          <t>Mid Cap</t>
        </is>
      </c>
    </row>
    <row r="31">
      <c r="B31" t="inlineStr">
        <is>
          <t>PI Industries Ltd</t>
        </is>
      </c>
      <c r="C31" t="inlineStr">
        <is>
          <t>INE603J01030</t>
        </is>
      </c>
      <c r="D31" t="inlineStr">
        <is>
          <t>Fertilizers &amp; Agrochemicals</t>
        </is>
      </c>
      <c r="E31" t="n">
        <v>195930</v>
      </c>
      <c r="F31" t="n">
        <v>6653</v>
      </c>
      <c r="G31" t="n">
        <v>1.66</v>
      </c>
      <c r="H31" t="inlineStr">
        <is>
          <t>Mid Cap</t>
        </is>
      </c>
    </row>
    <row r="32">
      <c r="B32" t="inlineStr">
        <is>
          <t>Info Edge (India) Ltd</t>
        </is>
      </c>
      <c r="C32" t="inlineStr">
        <is>
          <t>INE663F01032</t>
        </is>
      </c>
      <c r="D32" t="inlineStr">
        <is>
          <t>Retailing</t>
        </is>
      </c>
      <c r="E32" t="n">
        <v>499565</v>
      </c>
      <c r="F32" t="n">
        <v>6645.21</v>
      </c>
      <c r="G32" t="n">
        <v>1.66</v>
      </c>
      <c r="H32" t="inlineStr">
        <is>
          <t>Large Cap</t>
        </is>
      </c>
    </row>
    <row r="33">
      <c r="B33" t="inlineStr">
        <is>
          <t>L&amp;T Finance Ltd</t>
        </is>
      </c>
      <c r="C33" t="inlineStr">
        <is>
          <t>INE498L01015</t>
        </is>
      </c>
      <c r="D33" t="inlineStr">
        <is>
          <t>Finance</t>
        </is>
      </c>
      <c r="E33" t="n">
        <v>2108275</v>
      </c>
      <c r="F33" t="n">
        <v>6585.2</v>
      </c>
      <c r="G33" t="n">
        <v>1.65</v>
      </c>
      <c r="H33" t="inlineStr">
        <is>
          <t>Mid Cap</t>
        </is>
      </c>
    </row>
    <row r="34">
      <c r="B34" t="inlineStr">
        <is>
          <t>Bharat Electronics Ltd</t>
        </is>
      </c>
      <c r="C34" t="inlineStr">
        <is>
          <t>INE263A01024</t>
        </is>
      </c>
      <c r="D34" t="inlineStr">
        <is>
          <t>Aerospace &amp; Defense</t>
        </is>
      </c>
      <c r="E34" t="n">
        <v>1576707</v>
      </c>
      <c r="F34" t="n">
        <v>6492.09</v>
      </c>
      <c r="G34" t="n">
        <v>1.62</v>
      </c>
      <c r="H34" t="inlineStr">
        <is>
          <t>Large Cap</t>
        </is>
      </c>
    </row>
    <row r="35">
      <c r="B35" t="inlineStr">
        <is>
          <t>Cummins India Ltd</t>
        </is>
      </c>
      <c r="C35" t="inlineStr">
        <is>
          <t>INE298A01020</t>
        </is>
      </c>
      <c r="D35" t="inlineStr">
        <is>
          <t>Industrial Products</t>
        </is>
      </c>
      <c r="E35" t="n">
        <v>144184</v>
      </c>
      <c r="F35" t="n">
        <v>6458.43</v>
      </c>
      <c r="G35" t="n">
        <v>1.62</v>
      </c>
      <c r="H35" t="inlineStr">
        <is>
          <t>Mid Cap</t>
        </is>
      </c>
    </row>
    <row r="36">
      <c r="B36" t="inlineStr">
        <is>
          <t>Chalet Hotels Ltd</t>
        </is>
      </c>
      <c r="C36" t="inlineStr">
        <is>
          <t>INE427F01016</t>
        </is>
      </c>
      <c r="D36" t="inlineStr">
        <is>
          <t>Leisure Services</t>
        </is>
      </c>
      <c r="E36" t="n">
        <v>720554</v>
      </c>
      <c r="F36" t="n">
        <v>6386.99</v>
      </c>
      <c r="G36" t="n">
        <v>1.6</v>
      </c>
      <c r="H36" t="inlineStr">
        <is>
          <t>Small Cap</t>
        </is>
      </c>
    </row>
    <row r="37">
      <c r="B37" t="inlineStr">
        <is>
          <t>Ge Vernova T&amp;D India Ltd</t>
        </is>
      </c>
      <c r="C37" t="inlineStr">
        <is>
          <t>INE200A01026</t>
        </is>
      </c>
      <c r="D37" t="inlineStr">
        <is>
          <t>Electrical Equipment</t>
        </is>
      </c>
      <c r="E37" t="n">
        <v>218552</v>
      </c>
      <c r="F37" t="n">
        <v>6297.36</v>
      </c>
      <c r="G37" t="n">
        <v>1.58</v>
      </c>
      <c r="H37" t="inlineStr">
        <is>
          <t>Mid Cap</t>
        </is>
      </c>
    </row>
    <row r="38">
      <c r="B38" t="inlineStr">
        <is>
          <t>Torrent Power Ltd</t>
        </is>
      </c>
      <c r="C38" t="inlineStr">
        <is>
          <t>INE813H01021</t>
        </is>
      </c>
      <c r="D38" t="inlineStr">
        <is>
          <t>Power</t>
        </is>
      </c>
      <c r="E38" t="n">
        <v>476764</v>
      </c>
      <c r="F38" t="n">
        <v>6267.06</v>
      </c>
      <c r="G38" t="n">
        <v>1.57</v>
      </c>
      <c r="H38" t="inlineStr">
        <is>
          <t>Mid Cap</t>
        </is>
      </c>
    </row>
    <row r="39">
      <c r="B39" t="inlineStr">
        <is>
          <t>Apar Industries Ltd</t>
        </is>
      </c>
      <c r="C39" t="inlineStr">
        <is>
          <t>INE372A01015</t>
        </is>
      </c>
      <c r="D39" t="inlineStr">
        <is>
          <t>Electrical Equipment</t>
        </is>
      </c>
      <c r="E39" t="n">
        <v>66991</v>
      </c>
      <c r="F39" t="n">
        <v>6136.04</v>
      </c>
      <c r="G39" t="n">
        <v>1.54</v>
      </c>
      <c r="H39" t="inlineStr">
        <is>
          <t>Small Cap</t>
        </is>
      </c>
    </row>
    <row r="40">
      <c r="B40" t="inlineStr">
        <is>
          <t>Balkrishna Industries Ltd</t>
        </is>
      </c>
      <c r="C40" t="inlineStr">
        <is>
          <t>INE787D01026</t>
        </is>
      </c>
      <c r="D40" t="inlineStr">
        <is>
          <t>Auto Components</t>
        </is>
      </c>
      <c r="E40" t="n">
        <v>256939</v>
      </c>
      <c r="F40" t="n">
        <v>5932.46</v>
      </c>
      <c r="G40" t="n">
        <v>1.48</v>
      </c>
      <c r="H40" t="inlineStr">
        <is>
          <t>Mid Cap</t>
        </is>
      </c>
    </row>
    <row r="41">
      <c r="B41" t="inlineStr">
        <is>
          <t>Interglobe Aviation Ltd</t>
        </is>
      </c>
      <c r="C41" t="inlineStr">
        <is>
          <t>INE646L01027</t>
        </is>
      </c>
      <c r="D41" t="inlineStr">
        <is>
          <t>Transport Services</t>
        </is>
      </c>
      <c r="E41" t="n">
        <v>98685</v>
      </c>
      <c r="F41" t="n">
        <v>5823.9</v>
      </c>
      <c r="G41" t="n">
        <v>1.46</v>
      </c>
      <c r="H41" t="inlineStr">
        <is>
          <t>Large Cap</t>
        </is>
      </c>
    </row>
    <row r="42">
      <c r="B42" t="inlineStr">
        <is>
          <t>KPIT Technologies Ltd</t>
        </is>
      </c>
      <c r="C42" t="inlineStr">
        <is>
          <t>INE04I401011</t>
        </is>
      </c>
      <c r="D42" t="inlineStr">
        <is>
          <t>IT - Software</t>
        </is>
      </c>
      <c r="E42" t="n">
        <v>470991</v>
      </c>
      <c r="F42" t="n">
        <v>5757.39</v>
      </c>
      <c r="G42" t="n">
        <v>1.44</v>
      </c>
      <c r="H42" t="inlineStr">
        <is>
          <t>Mid Cap</t>
        </is>
      </c>
    </row>
    <row r="43">
      <c r="B43" t="inlineStr">
        <is>
          <t>Hindustan Aeronautics Ltd</t>
        </is>
      </c>
      <c r="C43" t="inlineStr">
        <is>
          <t>INE066F01020</t>
        </is>
      </c>
      <c r="D43" t="inlineStr">
        <is>
          <t>Aerospace &amp; Defense</t>
        </is>
      </c>
      <c r="E43" t="n">
        <v>118181</v>
      </c>
      <c r="F43" t="n">
        <v>5368.25</v>
      </c>
      <c r="G43" t="n">
        <v>1.34</v>
      </c>
      <c r="H43" t="inlineStr">
        <is>
          <t>Large Cap</t>
        </is>
      </c>
    </row>
    <row r="44">
      <c r="B44" t="inlineStr">
        <is>
          <t>AU Small Finance Bank Ltd</t>
        </is>
      </c>
      <c r="C44" t="inlineStr">
        <is>
          <t>INE949L01017</t>
        </is>
      </c>
      <c r="D44" t="inlineStr">
        <is>
          <t>Banks</t>
        </is>
      </c>
      <c r="E44" t="n">
        <v>560787</v>
      </c>
      <c r="F44" t="n">
        <v>5356.92</v>
      </c>
      <c r="G44" t="n">
        <v>1.34</v>
      </c>
      <c r="H44" t="inlineStr">
        <is>
          <t>Mid Cap</t>
        </is>
      </c>
    </row>
    <row r="45">
      <c r="B45" t="inlineStr">
        <is>
          <t>NHPC Ltd</t>
        </is>
      </c>
      <c r="C45" t="inlineStr">
        <is>
          <t>INE848E01016</t>
        </is>
      </c>
      <c r="D45" t="inlineStr">
        <is>
          <t>Power</t>
        </is>
      </c>
      <c r="E45" t="n">
        <v>6914359</v>
      </c>
      <c r="F45" t="n">
        <v>5306.08</v>
      </c>
      <c r="G45" t="n">
        <v>1.33</v>
      </c>
      <c r="H45" t="inlineStr">
        <is>
          <t>Mid Cap</t>
        </is>
      </c>
    </row>
    <row r="46">
      <c r="B46" t="inlineStr">
        <is>
          <t>Delhivery Ltd</t>
        </is>
      </c>
      <c r="C46" t="inlineStr">
        <is>
          <t>INE148O01028</t>
        </is>
      </c>
      <c r="D46" t="inlineStr">
        <is>
          <t>Transport Services</t>
        </is>
      </c>
      <c r="E46" t="n">
        <v>1203197</v>
      </c>
      <c r="F46" t="n">
        <v>5128.03</v>
      </c>
      <c r="G46" t="n">
        <v>1.28</v>
      </c>
      <c r="H46" t="inlineStr">
        <is>
          <t>Small Cap</t>
        </is>
      </c>
    </row>
    <row r="47">
      <c r="B47" t="inlineStr">
        <is>
          <t>Ajanta Pharma Ltd</t>
        </is>
      </c>
      <c r="C47" t="inlineStr">
        <is>
          <t>INE031B01049</t>
        </is>
      </c>
      <c r="D47" t="inlineStr">
        <is>
          <t>Pharmaceuticals &amp; Biotechnology</t>
        </is>
      </c>
      <c r="E47" t="n">
        <v>199266</v>
      </c>
      <c r="F47" t="n">
        <v>5102.8</v>
      </c>
      <c r="G47" t="n">
        <v>1.28</v>
      </c>
      <c r="H47" t="inlineStr">
        <is>
          <t>Mid Cap</t>
        </is>
      </c>
    </row>
    <row r="48">
      <c r="B48" t="inlineStr">
        <is>
          <t>Abbott India Ltd</t>
        </is>
      </c>
      <c r="C48" t="inlineStr">
        <is>
          <t>INE358A01014</t>
        </is>
      </c>
      <c r="D48" t="inlineStr">
        <is>
          <t>Pharmaceuticals &amp; Biotechnology</t>
        </is>
      </c>
      <c r="E48" t="n">
        <v>16693</v>
      </c>
      <c r="F48" t="n">
        <v>5020.42</v>
      </c>
      <c r="G48" t="n">
        <v>1.26</v>
      </c>
      <c r="H48" t="inlineStr">
        <is>
          <t>Mid Cap</t>
        </is>
      </c>
    </row>
    <row r="49">
      <c r="B49" t="inlineStr">
        <is>
          <t>Trent Ltd</t>
        </is>
      </c>
      <c r="C49" t="inlineStr">
        <is>
          <t>INE849A01020</t>
        </is>
      </c>
      <c r="D49" t="inlineStr">
        <is>
          <t>Retailing</t>
        </is>
      </c>
      <c r="E49" t="n">
        <v>118113</v>
      </c>
      <c r="F49" t="n">
        <v>5020.27</v>
      </c>
      <c r="G49" t="n">
        <v>1.26</v>
      </c>
      <c r="H49" t="inlineStr">
        <is>
          <t>Large Cap</t>
        </is>
      </c>
    </row>
    <row r="50">
      <c r="B50" t="inlineStr">
        <is>
          <t>KEI Industries Ltd</t>
        </is>
      </c>
      <c r="C50" t="inlineStr">
        <is>
          <t>INE878B01027</t>
        </is>
      </c>
      <c r="D50" t="inlineStr">
        <is>
          <t>Industrial Products</t>
        </is>
      </c>
      <c r="E50" t="n">
        <v>121026</v>
      </c>
      <c r="F50" t="n">
        <v>5017.25</v>
      </c>
      <c r="G50" t="n">
        <v>1.26</v>
      </c>
      <c r="H50" t="inlineStr">
        <is>
          <t>Mid Cap</t>
        </is>
      </c>
    </row>
    <row r="51">
      <c r="B51" t="inlineStr">
        <is>
          <t>CRISIL Ltd</t>
        </is>
      </c>
      <c r="C51" t="inlineStr">
        <is>
          <t>INE007A01025</t>
        </is>
      </c>
      <c r="D51" t="inlineStr">
        <is>
          <t>Finance</t>
        </is>
      </c>
      <c r="E51" t="n">
        <v>106660</v>
      </c>
      <c r="F51" t="n">
        <v>4718.32</v>
      </c>
      <c r="G51" t="n">
        <v>1.18</v>
      </c>
      <c r="H51" t="inlineStr">
        <is>
          <t>Mid Cap</t>
        </is>
      </c>
    </row>
    <row r="52">
      <c r="B52" t="inlineStr">
        <is>
          <t>Escorts Kubota Ltd</t>
        </is>
      </c>
      <c r="C52" t="inlineStr">
        <is>
          <t>INE042A01014</t>
        </is>
      </c>
      <c r="D52" t="inlineStr">
        <is>
          <t>Agricultural, Commercial &amp; Construction Vehicles</t>
        </is>
      </c>
      <c r="E52" t="n">
        <v>119578</v>
      </c>
      <c r="F52" t="n">
        <v>4564.77</v>
      </c>
      <c r="G52" t="n">
        <v>1.14</v>
      </c>
      <c r="H52" t="inlineStr">
        <is>
          <t>Mid Cap</t>
        </is>
      </c>
    </row>
    <row r="53">
      <c r="B53" t="inlineStr">
        <is>
          <t>National Aluminium Co Ltd</t>
        </is>
      </c>
      <c r="C53" t="inlineStr">
        <is>
          <t>INE139A01034</t>
        </is>
      </c>
      <c r="D53" t="inlineStr">
        <is>
          <t>Non - Ferrous Metals</t>
        </is>
      </c>
      <c r="E53" t="n">
        <v>1704523</v>
      </c>
      <c r="F53" t="n">
        <v>4431.42</v>
      </c>
      <c r="G53" t="n">
        <v>1.11</v>
      </c>
      <c r="H53" t="inlineStr">
        <is>
          <t>Mid Cap</t>
        </is>
      </c>
    </row>
    <row r="54">
      <c r="B54" t="inlineStr">
        <is>
          <t>APL Apollo Tubes Ltd</t>
        </is>
      </c>
      <c r="C54" t="inlineStr">
        <is>
          <t>INE702C01027</t>
        </is>
      </c>
      <c r="D54" t="inlineStr">
        <is>
          <t>Industrial Products</t>
        </is>
      </c>
      <c r="E54" t="n">
        <v>255510</v>
      </c>
      <c r="F54" t="n">
        <v>4391.96</v>
      </c>
      <c r="G54" t="n">
        <v>1.1</v>
      </c>
      <c r="H54" t="inlineStr">
        <is>
          <t>Mid Cap</t>
        </is>
      </c>
    </row>
    <row r="55">
      <c r="B55" t="inlineStr">
        <is>
          <t>Titan Co Ltd</t>
        </is>
      </c>
      <c r="C55" t="inlineStr">
        <is>
          <t>INE280A01028</t>
        </is>
      </c>
      <c r="D55" t="inlineStr">
        <is>
          <t>Consumer Durables</t>
        </is>
      </c>
      <c r="E55" t="n">
        <v>111467</v>
      </c>
      <c r="F55" t="n">
        <v>4355.8</v>
      </c>
      <c r="G55" t="n">
        <v>1.09</v>
      </c>
      <c r="H55" t="inlineStr">
        <is>
          <t>Large Cap</t>
        </is>
      </c>
    </row>
    <row r="56">
      <c r="B56" t="inlineStr">
        <is>
          <t>Metro Brands Ltd</t>
        </is>
      </c>
      <c r="C56" t="inlineStr">
        <is>
          <t>INE317I01021</t>
        </is>
      </c>
      <c r="D56" t="inlineStr">
        <is>
          <t>Consumer Durables</t>
        </is>
      </c>
      <c r="E56" t="n">
        <v>360543</v>
      </c>
      <c r="F56" t="n">
        <v>4220.52</v>
      </c>
      <c r="G56" t="n">
        <v>1.06</v>
      </c>
      <c r="H56" t="inlineStr">
        <is>
          <t>Mid Cap</t>
        </is>
      </c>
    </row>
    <row r="57">
      <c r="B57" t="inlineStr">
        <is>
          <t>Linde India Ltd</t>
        </is>
      </c>
      <c r="C57" t="inlineStr">
        <is>
          <t>INE473A01011</t>
        </is>
      </c>
      <c r="D57" t="inlineStr">
        <is>
          <t>Chemicals &amp; Petrochemicals</t>
        </is>
      </c>
      <c r="E57" t="n">
        <v>68073</v>
      </c>
      <c r="F57" t="n">
        <v>4061.24</v>
      </c>
      <c r="G57" t="n">
        <v>1.02</v>
      </c>
      <c r="H57" t="inlineStr">
        <is>
          <t>Mid Cap</t>
        </is>
      </c>
    </row>
    <row r="58">
      <c r="B58" t="inlineStr">
        <is>
          <t>Schaeffler India Ltd</t>
        </is>
      </c>
      <c r="C58" t="inlineStr">
        <is>
          <t>INE513A01022</t>
        </is>
      </c>
      <c r="D58" t="inlineStr">
        <is>
          <t>Auto Components</t>
        </is>
      </c>
      <c r="E58" t="n">
        <v>100785</v>
      </c>
      <c r="F58" t="n">
        <v>3930.01</v>
      </c>
      <c r="G58" t="n">
        <v>0.98</v>
      </c>
      <c r="H58" t="inlineStr">
        <is>
          <t>Mid Cap</t>
        </is>
      </c>
    </row>
    <row r="59">
      <c r="B59" t="inlineStr">
        <is>
          <t>Oberoi Realty Ltd</t>
        </is>
      </c>
      <c r="C59" t="inlineStr">
        <is>
          <t>INE093I01010</t>
        </is>
      </c>
      <c r="D59" t="inlineStr">
        <is>
          <t>Realty</t>
        </is>
      </c>
      <c r="E59" t="n">
        <v>230871</v>
      </c>
      <c r="F59" t="n">
        <v>3802.91</v>
      </c>
      <c r="G59" t="n">
        <v>0.95</v>
      </c>
      <c r="H59" t="inlineStr">
        <is>
          <t>Mid Cap</t>
        </is>
      </c>
    </row>
    <row r="60">
      <c r="B60" t="inlineStr">
        <is>
          <t>Bharti Hexacom Ltd</t>
        </is>
      </c>
      <c r="C60" t="inlineStr">
        <is>
          <t>INE343G01021</t>
        </is>
      </c>
      <c r="D60" t="inlineStr">
        <is>
          <t>Telecom - Services</t>
        </is>
      </c>
      <c r="E60" t="n">
        <v>212867</v>
      </c>
      <c r="F60" t="n">
        <v>3764.13</v>
      </c>
      <c r="G60" t="n">
        <v>0.9399999999999999</v>
      </c>
      <c r="H60" t="inlineStr">
        <is>
          <t>Mid Cap</t>
        </is>
      </c>
    </row>
    <row r="61">
      <c r="B61" t="inlineStr">
        <is>
          <t>Bayer Cropscience Ltd</t>
        </is>
      </c>
      <c r="C61" t="inlineStr">
        <is>
          <t>INE462A01022</t>
        </is>
      </c>
      <c r="D61" t="inlineStr">
        <is>
          <t>Fertilizers &amp; Agrochemicals</t>
        </is>
      </c>
      <c r="E61" t="n">
        <v>78040</v>
      </c>
      <c r="F61" t="n">
        <v>3635.42</v>
      </c>
      <c r="G61" t="n">
        <v>0.91</v>
      </c>
      <c r="H61" t="inlineStr">
        <is>
          <t>Small Cap</t>
        </is>
      </c>
    </row>
    <row r="62">
      <c r="B62" t="inlineStr">
        <is>
          <t>Vishal Mega Mart Ltd</t>
        </is>
      </c>
      <c r="C62" t="inlineStr">
        <is>
          <t>INE01EA01019</t>
        </is>
      </c>
      <c r="D62" t="inlineStr">
        <is>
          <t>Retailing</t>
        </is>
      </c>
      <c r="E62" t="n">
        <v>2674874</v>
      </c>
      <c r="F62" t="n">
        <v>3632.48</v>
      </c>
      <c r="G62" t="n">
        <v>0.91</v>
      </c>
      <c r="H62" t="inlineStr">
        <is>
          <t>Mid Cap</t>
        </is>
      </c>
    </row>
    <row r="63">
      <c r="B63" t="inlineStr">
        <is>
          <t>Blue Star Ltd</t>
        </is>
      </c>
      <c r="C63" t="inlineStr">
        <is>
          <t>INE472A01039</t>
        </is>
      </c>
      <c r="D63" t="inlineStr">
        <is>
          <t>Consumer Durables</t>
        </is>
      </c>
      <c r="E63" t="n">
        <v>195454</v>
      </c>
      <c r="F63" t="n">
        <v>3450.54</v>
      </c>
      <c r="G63" t="n">
        <v>0.86</v>
      </c>
      <c r="H63" t="inlineStr">
        <is>
          <t>Mid Cap</t>
        </is>
      </c>
    </row>
    <row r="64">
      <c r="B64" t="inlineStr">
        <is>
          <t>Endurance Technologies Ltd</t>
        </is>
      </c>
      <c r="C64" t="inlineStr">
        <is>
          <t>INE913H01037</t>
        </is>
      </c>
      <c r="D64" t="inlineStr">
        <is>
          <t>Auto Components</t>
        </is>
      </c>
      <c r="E64" t="n">
        <v>118072</v>
      </c>
      <c r="F64" t="n">
        <v>3121.35</v>
      </c>
      <c r="G64" t="n">
        <v>0.78</v>
      </c>
      <c r="H64" t="inlineStr">
        <is>
          <t>Small Cap</t>
        </is>
      </c>
    </row>
    <row r="65">
      <c r="B65" t="inlineStr">
        <is>
          <t>Physicswallah Ltd</t>
        </is>
      </c>
      <c r="C65" t="inlineStr">
        <is>
          <t>INE0LP301011</t>
        </is>
      </c>
      <c r="D65" t="inlineStr">
        <is>
          <t>Other Consumer Services</t>
        </is>
      </c>
      <c r="E65" t="n">
        <v>2150491</v>
      </c>
      <c r="F65" t="n">
        <v>2685.75</v>
      </c>
      <c r="G65" t="n">
        <v>0.67</v>
      </c>
      <c r="H65" t="inlineStr">
        <is>
          <t>Mid Cap</t>
        </is>
      </c>
    </row>
    <row r="66">
      <c r="B66" t="inlineStr">
        <is>
          <t>Mankind Pharma Ltd</t>
        </is>
      </c>
      <c r="C66" t="inlineStr">
        <is>
          <t>INE634S01028</t>
        </is>
      </c>
      <c r="D66" t="inlineStr">
        <is>
          <t>Pharmaceuticals &amp; Biotechnology</t>
        </is>
      </c>
      <c r="E66" t="n">
        <v>61931</v>
      </c>
      <c r="F66" t="n">
        <v>1394.07</v>
      </c>
      <c r="G66" t="n">
        <v>0.35</v>
      </c>
      <c r="H66" t="inlineStr">
        <is>
          <t>Large Cap</t>
        </is>
      </c>
    </row>
    <row r="67">
      <c r="B67" t="inlineStr">
        <is>
          <t>Sub Total</t>
        </is>
      </c>
      <c r="F67">
        <f>SUM(F7:F66)</f>
        <v/>
      </c>
      <c r="G67">
        <f>SUM(G7:G66)</f>
        <v/>
      </c>
    </row>
    <row r="68">
      <c r="B68" t="inlineStr">
        <is>
          <t>Total</t>
        </is>
      </c>
      <c r="F68">
        <f>F67</f>
        <v/>
      </c>
      <c r="G68">
        <f>G67</f>
        <v/>
      </c>
    </row>
    <row r="69">
      <c r="B69" t="inlineStr">
        <is>
          <t>TREPS</t>
        </is>
      </c>
    </row>
    <row r="70">
      <c r="B70" t="inlineStr">
        <is>
          <t>TREPS</t>
        </is>
      </c>
      <c r="F70" t="n">
        <v>14789.54</v>
      </c>
      <c r="G70" t="n">
        <v>3.7</v>
      </c>
    </row>
    <row r="71">
      <c r="B71" t="inlineStr">
        <is>
          <t>Sub Total</t>
        </is>
      </c>
      <c r="F71">
        <f>SUM(F69:F70)</f>
        <v/>
      </c>
      <c r="G71">
        <f>SUM(G69:G70)</f>
        <v/>
      </c>
    </row>
    <row r="72">
      <c r="B72" t="inlineStr">
        <is>
          <t>Total</t>
        </is>
      </c>
      <c r="F72">
        <f>F71</f>
        <v/>
      </c>
      <c r="G72">
        <f>G71</f>
        <v/>
      </c>
    </row>
    <row r="73">
      <c r="B73" t="inlineStr">
        <is>
          <t>Net Receivables / (Payables)</t>
        </is>
      </c>
      <c r="F73">
        <f>F74-(+F68+F72)</f>
        <v/>
      </c>
      <c r="G73">
        <f>G74-(+G68+G72)</f>
        <v/>
      </c>
    </row>
    <row r="74">
      <c r="B74" t="inlineStr">
        <is>
          <t>Grand Total</t>
        </is>
      </c>
      <c r="F74" t="n">
        <v>399669.13</v>
      </c>
      <c r="G74" t="n">
        <v>100</v>
      </c>
    </row>
    <row r="75"/>
    <row r="76"/>
    <row r="77">
      <c r="B77" t="inlineStr">
        <is>
          <t>Residual Maturity</t>
        </is>
      </c>
      <c r="C77" t="inlineStr">
        <is>
          <t>0.0027 Years</t>
        </is>
      </c>
    </row>
    <row r="78"/>
    <row r="79">
      <c r="B79" t="inlineStr">
        <is>
          <t>Please refer the below link for the performance of the Schemes managed by Canara Robeco Mutual Fund</t>
        </is>
      </c>
    </row>
    <row r="80"/>
    <row r="81">
      <c r="B81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SMALL CAP FUND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K4" t="inlineStr">
        <is>
          <t>Scheme Risk-O-Meter Level- November'25</t>
        </is>
      </c>
      <c r="L4" t="inlineStr">
        <is>
          <t>Benchmark Risk-O-Meter Level- November'25</t>
        </is>
      </c>
      <c r="M4" t="inlineStr">
        <is>
          <t>Scheme Risk-O-Meter Level- October'25</t>
        </is>
      </c>
      <c r="N4" t="inlineStr">
        <is>
          <t>Benchmark Risk-O-Meter Level- October'25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Multi Commodity Exchange Of India Ltd</t>
        </is>
      </c>
      <c r="C7" t="inlineStr">
        <is>
          <t>INE745G01035</t>
        </is>
      </c>
      <c r="D7" t="inlineStr">
        <is>
          <t>Capital Markets</t>
        </is>
      </c>
      <c r="E7" t="n">
        <v>445044</v>
      </c>
      <c r="F7" t="n">
        <v>44831.51</v>
      </c>
      <c r="G7" t="n">
        <v>3.43</v>
      </c>
      <c r="H7" t="inlineStr">
        <is>
          <t>Mid Cap</t>
        </is>
      </c>
    </row>
    <row r="8">
      <c r="B8" t="inlineStr">
        <is>
          <t>KEI Industries Ltd</t>
        </is>
      </c>
      <c r="C8" t="inlineStr">
        <is>
          <t>INE878B01027</t>
        </is>
      </c>
      <c r="D8" t="inlineStr">
        <is>
          <t>Industrial Products</t>
        </is>
      </c>
      <c r="E8" t="n">
        <v>782973</v>
      </c>
      <c r="F8" t="n">
        <v>32458.93</v>
      </c>
      <c r="G8" t="n">
        <v>2.49</v>
      </c>
      <c r="H8" t="inlineStr">
        <is>
          <t>Mid Cap</t>
        </is>
      </c>
    </row>
    <row r="9">
      <c r="B9" t="inlineStr">
        <is>
          <t>City Union Bank Ltd</t>
        </is>
      </c>
      <c r="C9" t="inlineStr">
        <is>
          <t>INE491A01021</t>
        </is>
      </c>
      <c r="D9" t="inlineStr">
        <is>
          <t>Banks</t>
        </is>
      </c>
      <c r="E9" t="n">
        <v>11901992</v>
      </c>
      <c r="F9" t="n">
        <v>32263.92</v>
      </c>
      <c r="G9" t="n">
        <v>2.47</v>
      </c>
      <c r="H9" t="inlineStr">
        <is>
          <t>Small Cap</t>
        </is>
      </c>
    </row>
    <row r="10">
      <c r="B10" t="inlineStr">
        <is>
          <t>Karur Vysya Bank Ltd</t>
        </is>
      </c>
      <c r="C10" t="inlineStr">
        <is>
          <t>INE036D01028</t>
        </is>
      </c>
      <c r="D10" t="inlineStr">
        <is>
          <t>Banks</t>
        </is>
      </c>
      <c r="E10" t="n">
        <v>12312617</v>
      </c>
      <c r="F10" t="n">
        <v>30531.6</v>
      </c>
      <c r="G10" t="n">
        <v>2.34</v>
      </c>
      <c r="H10" t="inlineStr">
        <is>
          <t>Small Cap</t>
        </is>
      </c>
    </row>
    <row r="11">
      <c r="B11" t="inlineStr">
        <is>
          <t>Ge Vernova T&amp;D India Ltd</t>
        </is>
      </c>
      <c r="C11" t="inlineStr">
        <is>
          <t>INE200A01026</t>
        </is>
      </c>
      <c r="D11" t="inlineStr">
        <is>
          <t>Electrical Equipment</t>
        </is>
      </c>
      <c r="E11" t="n">
        <v>893797</v>
      </c>
      <c r="F11" t="n">
        <v>25753.87</v>
      </c>
      <c r="G11" t="n">
        <v>1.97</v>
      </c>
      <c r="H11" t="inlineStr">
        <is>
          <t>Mid Cap</t>
        </is>
      </c>
    </row>
    <row r="12">
      <c r="B12" t="inlineStr">
        <is>
          <t>TBO Tek Ltd</t>
        </is>
      </c>
      <c r="C12" t="inlineStr">
        <is>
          <t>INE673O01025</t>
        </is>
      </c>
      <c r="D12" t="inlineStr">
        <is>
          <t>Leisure Services</t>
        </is>
      </c>
      <c r="E12" t="n">
        <v>1496909</v>
      </c>
      <c r="F12" t="n">
        <v>24733.43</v>
      </c>
      <c r="G12" t="n">
        <v>1.89</v>
      </c>
      <c r="H12" t="inlineStr">
        <is>
          <t>Small Cap</t>
        </is>
      </c>
    </row>
    <row r="13">
      <c r="B13" t="inlineStr">
        <is>
          <t>J.B. Chemicals &amp; Pharmaceuticals Ltd</t>
        </is>
      </c>
      <c r="C13" t="inlineStr">
        <is>
          <t>INE572A01036</t>
        </is>
      </c>
      <c r="D13" t="inlineStr">
        <is>
          <t>Pharmaceuticals &amp; Biotechnology</t>
        </is>
      </c>
      <c r="E13" t="n">
        <v>1353805</v>
      </c>
      <c r="F13" t="n">
        <v>23979.95</v>
      </c>
      <c r="G13" t="n">
        <v>1.84</v>
      </c>
      <c r="H13" t="inlineStr">
        <is>
          <t>Small Cap</t>
        </is>
      </c>
      <c r="L13" t="inlineStr">
        <is>
          <t>Benchmark: Nifty Smallcap 250 Index TRI</t>
        </is>
      </c>
    </row>
    <row r="14">
      <c r="B14" t="inlineStr">
        <is>
          <t>Blue Star Ltd</t>
        </is>
      </c>
      <c r="C14" t="inlineStr">
        <is>
          <t>INE472A01039</t>
        </is>
      </c>
      <c r="D14" t="inlineStr">
        <is>
          <t>Consumer Durables</t>
        </is>
      </c>
      <c r="E14" t="n">
        <v>1274202</v>
      </c>
      <c r="F14" t="n">
        <v>22494.76</v>
      </c>
      <c r="G14" t="n">
        <v>1.72</v>
      </c>
      <c r="H14" t="inlineStr">
        <is>
          <t>Mid Cap</t>
        </is>
      </c>
    </row>
    <row r="15">
      <c r="B15" t="inlineStr">
        <is>
          <t>PNB Housing Finance Ltd</t>
        </is>
      </c>
      <c r="C15" t="inlineStr">
        <is>
          <t>INE572E01012</t>
        </is>
      </c>
      <c r="D15" t="inlineStr">
        <is>
          <t>Finance</t>
        </is>
      </c>
      <c r="E15" t="n">
        <v>2359713</v>
      </c>
      <c r="F15" t="n">
        <v>21362.48</v>
      </c>
      <c r="G15" t="n">
        <v>1.64</v>
      </c>
      <c r="H15" t="inlineStr">
        <is>
          <t>Small Cap</t>
        </is>
      </c>
    </row>
    <row r="16">
      <c r="B16" t="inlineStr">
        <is>
          <t>Amber Enterprises India Ltd</t>
        </is>
      </c>
      <c r="C16" t="inlineStr">
        <is>
          <t>INE371P01015</t>
        </is>
      </c>
      <c r="D16" t="inlineStr">
        <is>
          <t>Consumer Durables</t>
        </is>
      </c>
      <c r="E16" t="n">
        <v>295735</v>
      </c>
      <c r="F16" t="n">
        <v>21236.73</v>
      </c>
      <c r="G16" t="n">
        <v>1.63</v>
      </c>
      <c r="H16" t="inlineStr">
        <is>
          <t>Small Cap</t>
        </is>
      </c>
    </row>
    <row r="17">
      <c r="B17" t="inlineStr">
        <is>
          <t>Cholamandalam Financial Holdings Ltd</t>
        </is>
      </c>
      <c r="C17" t="inlineStr">
        <is>
          <t>INE149A01033</t>
        </is>
      </c>
      <c r="D17" t="inlineStr">
        <is>
          <t>Finance</t>
        </is>
      </c>
      <c r="E17" t="n">
        <v>1149717</v>
      </c>
      <c r="F17" t="n">
        <v>21226.08</v>
      </c>
      <c r="G17" t="n">
        <v>1.63</v>
      </c>
      <c r="H17" t="inlineStr">
        <is>
          <t>Mid Cap</t>
        </is>
      </c>
    </row>
    <row r="18">
      <c r="B18" t="inlineStr">
        <is>
          <t>Aditya Birla Real Estate Ltd</t>
        </is>
      </c>
      <c r="C18" t="inlineStr">
        <is>
          <t>INE055A01016</t>
        </is>
      </c>
      <c r="D18" t="inlineStr">
        <is>
          <t>Paper, Forest &amp; Jute Products</t>
        </is>
      </c>
      <c r="E18" t="n">
        <v>1173112</v>
      </c>
      <c r="F18" t="n">
        <v>20806.31</v>
      </c>
      <c r="G18" t="n">
        <v>1.59</v>
      </c>
      <c r="H18" t="inlineStr">
        <is>
          <t>Small Cap</t>
        </is>
      </c>
    </row>
    <row r="19">
      <c r="B19" t="inlineStr">
        <is>
          <t>Radico Khaitan Ltd</t>
        </is>
      </c>
      <c r="C19" t="inlineStr">
        <is>
          <t>INE944F01028</t>
        </is>
      </c>
      <c r="D19" t="inlineStr">
        <is>
          <t>Beverages</t>
        </is>
      </c>
      <c r="E19" t="n">
        <v>617287</v>
      </c>
      <c r="F19" t="n">
        <v>19803.18</v>
      </c>
      <c r="G19" t="n">
        <v>1.52</v>
      </c>
      <c r="H19" t="inlineStr">
        <is>
          <t>Mid Cap</t>
        </is>
      </c>
    </row>
    <row r="20">
      <c r="B20" t="inlineStr">
        <is>
          <t>EID Parry India Ltd</t>
        </is>
      </c>
      <c r="C20" t="inlineStr">
        <is>
          <t>INE126A01031</t>
        </is>
      </c>
      <c r="D20" t="inlineStr">
        <is>
          <t>Food Products</t>
        </is>
      </c>
      <c r="E20" t="n">
        <v>1910926</v>
      </c>
      <c r="F20" t="n">
        <v>19699.74</v>
      </c>
      <c r="G20" t="n">
        <v>1.51</v>
      </c>
      <c r="H20" t="inlineStr">
        <is>
          <t>Small Cap</t>
        </is>
      </c>
    </row>
    <row r="21">
      <c r="B21" t="inlineStr">
        <is>
          <t>Computer Age Management Services Ltd</t>
        </is>
      </c>
      <c r="C21" t="inlineStr">
        <is>
          <t>INE596I01012</t>
        </is>
      </c>
      <c r="D21" t="inlineStr">
        <is>
          <t>Capital Markets</t>
        </is>
      </c>
      <c r="E21" t="n">
        <v>503016</v>
      </c>
      <c r="F21" t="n">
        <v>19468.23</v>
      </c>
      <c r="G21" t="n">
        <v>1.49</v>
      </c>
      <c r="H21" t="inlineStr">
        <is>
          <t>Small Cap</t>
        </is>
      </c>
    </row>
    <row r="22">
      <c r="B22" t="inlineStr">
        <is>
          <t>Indian Bank</t>
        </is>
      </c>
      <c r="C22" t="inlineStr">
        <is>
          <t>INE562A01011</t>
        </is>
      </c>
      <c r="D22" t="inlineStr">
        <is>
          <t>Banks</t>
        </is>
      </c>
      <c r="E22" t="n">
        <v>2233399</v>
      </c>
      <c r="F22" t="n">
        <v>19436.15</v>
      </c>
      <c r="G22" t="n">
        <v>1.49</v>
      </c>
      <c r="H22" t="inlineStr">
        <is>
          <t>Mid Cap</t>
        </is>
      </c>
    </row>
    <row r="23">
      <c r="B23" t="inlineStr">
        <is>
          <t>Bharat Electronics Ltd</t>
        </is>
      </c>
      <c r="C23" t="inlineStr">
        <is>
          <t>INE263A01024</t>
        </is>
      </c>
      <c r="D23" t="inlineStr">
        <is>
          <t>Aerospace &amp; Defense</t>
        </is>
      </c>
      <c r="E23" t="n">
        <v>4679818</v>
      </c>
      <c r="F23" t="n">
        <v>19269.15</v>
      </c>
      <c r="G23" t="n">
        <v>1.48</v>
      </c>
      <c r="H23" t="inlineStr">
        <is>
          <t>Large Cap</t>
        </is>
      </c>
    </row>
    <row r="24">
      <c r="B24" t="inlineStr">
        <is>
          <t>Anand Rathi Wealth Ltd</t>
        </is>
      </c>
      <c r="C24" t="inlineStr">
        <is>
          <t>INE463V01026</t>
        </is>
      </c>
      <c r="D24" t="inlineStr">
        <is>
          <t>Capital Markets</t>
        </is>
      </c>
      <c r="E24" t="n">
        <v>638582</v>
      </c>
      <c r="F24" t="n">
        <v>18448</v>
      </c>
      <c r="G24" t="n">
        <v>1.41</v>
      </c>
      <c r="H24" t="inlineStr">
        <is>
          <t>Small Cap</t>
        </is>
      </c>
    </row>
    <row r="25">
      <c r="B25" t="inlineStr">
        <is>
          <t>V-Guard Industries Ltd</t>
        </is>
      </c>
      <c r="C25" t="inlineStr">
        <is>
          <t>INE951I01027</t>
        </is>
      </c>
      <c r="D25" t="inlineStr">
        <is>
          <t>Consumer Durables</t>
        </is>
      </c>
      <c r="E25" t="n">
        <v>5320202</v>
      </c>
      <c r="F25" t="n">
        <v>18317.46</v>
      </c>
      <c r="G25" t="n">
        <v>1.4</v>
      </c>
      <c r="H25" t="inlineStr">
        <is>
          <t>Small Cap</t>
        </is>
      </c>
    </row>
    <row r="26">
      <c r="B26" t="inlineStr">
        <is>
          <t>Equitas Small Finance Bank Ltd</t>
        </is>
      </c>
      <c r="C26" t="inlineStr">
        <is>
          <t>INE063P01018</t>
        </is>
      </c>
      <c r="D26" t="inlineStr">
        <is>
          <t>Banks</t>
        </is>
      </c>
      <c r="E26" t="n">
        <v>28371594</v>
      </c>
      <c r="F26" t="n">
        <v>18203.21</v>
      </c>
      <c r="G26" t="n">
        <v>1.39</v>
      </c>
      <c r="H26" t="inlineStr">
        <is>
          <t>Small Cap</t>
        </is>
      </c>
    </row>
    <row r="27">
      <c r="B27" t="inlineStr">
        <is>
          <t>Eternal Ltd</t>
        </is>
      </c>
      <c r="C27" t="inlineStr">
        <is>
          <t>INE758T01015</t>
        </is>
      </c>
      <c r="D27" t="inlineStr">
        <is>
          <t>Retailing</t>
        </is>
      </c>
      <c r="E27" t="n">
        <v>6026423</v>
      </c>
      <c r="F27" t="n">
        <v>18085.3</v>
      </c>
      <c r="G27" t="n">
        <v>1.38</v>
      </c>
      <c r="H27" t="inlineStr">
        <is>
          <t>Large Cap</t>
        </is>
      </c>
    </row>
    <row r="28">
      <c r="B28" t="inlineStr">
        <is>
          <t>Ujjivan Small Finance Bank Ltd</t>
        </is>
      </c>
      <c r="C28" t="inlineStr">
        <is>
          <t>INE551W01018</t>
        </is>
      </c>
      <c r="D28" t="inlineStr">
        <is>
          <t>Banks</t>
        </is>
      </c>
      <c r="E28" t="n">
        <v>32677553</v>
      </c>
      <c r="F28" t="n">
        <v>17786.39</v>
      </c>
      <c r="G28" t="n">
        <v>1.36</v>
      </c>
      <c r="H28" t="inlineStr">
        <is>
          <t>Small Cap</t>
        </is>
      </c>
    </row>
    <row r="29">
      <c r="B29" t="inlineStr">
        <is>
          <t>Creditaccess Grameen Ltd</t>
        </is>
      </c>
      <c r="C29" t="inlineStr">
        <is>
          <t>INE741K01010</t>
        </is>
      </c>
      <c r="D29" t="inlineStr">
        <is>
          <t>Finance</t>
        </is>
      </c>
      <c r="E29" t="n">
        <v>1323847</v>
      </c>
      <c r="F29" t="n">
        <v>17701.16</v>
      </c>
      <c r="G29" t="n">
        <v>1.36</v>
      </c>
      <c r="H29" t="inlineStr">
        <is>
          <t>Small Cap</t>
        </is>
      </c>
    </row>
    <row r="30">
      <c r="B30" t="inlineStr">
        <is>
          <t>Sobha Ltd</t>
        </is>
      </c>
      <c r="C30" t="inlineStr">
        <is>
          <t>INE671H01015</t>
        </is>
      </c>
      <c r="D30" t="inlineStr">
        <is>
          <t>Realty</t>
        </is>
      </c>
      <c r="E30" t="n">
        <v>1105214</v>
      </c>
      <c r="F30" t="n">
        <v>16990.45</v>
      </c>
      <c r="G30" t="n">
        <v>1.3</v>
      </c>
      <c r="H30" t="inlineStr">
        <is>
          <t>Small Cap</t>
        </is>
      </c>
    </row>
    <row r="31">
      <c r="B31" t="inlineStr">
        <is>
          <t>Cera Sanitaryware Ltd</t>
        </is>
      </c>
      <c r="C31" t="inlineStr">
        <is>
          <t>INE739E01017</t>
        </is>
      </c>
      <c r="D31" t="inlineStr">
        <is>
          <t>Consumer Durables</t>
        </is>
      </c>
      <c r="E31" t="n">
        <v>304497</v>
      </c>
      <c r="F31" t="n">
        <v>16860</v>
      </c>
      <c r="G31" t="n">
        <v>1.29</v>
      </c>
      <c r="H31" t="inlineStr">
        <is>
          <t>Small Cap</t>
        </is>
      </c>
    </row>
    <row r="32">
      <c r="B32" t="inlineStr">
        <is>
          <t>Affle 3i Ltd</t>
        </is>
      </c>
      <c r="C32" t="inlineStr">
        <is>
          <t>INE00WC01027</t>
        </is>
      </c>
      <c r="D32" t="inlineStr">
        <is>
          <t>IT - Services</t>
        </is>
      </c>
      <c r="E32" t="n">
        <v>1008900</v>
      </c>
      <c r="F32" t="n">
        <v>16756.82</v>
      </c>
      <c r="G32" t="n">
        <v>1.28</v>
      </c>
      <c r="H32" t="inlineStr">
        <is>
          <t>Small Cap</t>
        </is>
      </c>
    </row>
    <row r="33">
      <c r="B33" t="inlineStr">
        <is>
          <t>National Aluminium Co Ltd</t>
        </is>
      </c>
      <c r="C33" t="inlineStr">
        <is>
          <t>INE139A01034</t>
        </is>
      </c>
      <c r="D33" t="inlineStr">
        <is>
          <t>Non - Ferrous Metals</t>
        </is>
      </c>
      <c r="E33" t="n">
        <v>6419234</v>
      </c>
      <c r="F33" t="n">
        <v>16688.72</v>
      </c>
      <c r="G33" t="n">
        <v>1.28</v>
      </c>
      <c r="H33" t="inlineStr">
        <is>
          <t>Mid Cap</t>
        </is>
      </c>
    </row>
    <row r="34">
      <c r="B34" t="inlineStr">
        <is>
          <t>Bajaj Finance Ltd</t>
        </is>
      </c>
      <c r="C34" t="inlineStr">
        <is>
          <t>INE296A01032</t>
        </is>
      </c>
      <c r="D34" t="inlineStr">
        <is>
          <t>Finance</t>
        </is>
      </c>
      <c r="E34" t="n">
        <v>1495000</v>
      </c>
      <c r="F34" t="n">
        <v>15510.63</v>
      </c>
      <c r="G34" t="n">
        <v>1.19</v>
      </c>
      <c r="H34" t="inlineStr">
        <is>
          <t>Large Cap</t>
        </is>
      </c>
    </row>
    <row r="35">
      <c r="B35" t="inlineStr">
        <is>
          <t>Sagility Ltd</t>
        </is>
      </c>
      <c r="C35" t="inlineStr">
        <is>
          <t>INE0W2G01015</t>
        </is>
      </c>
      <c r="D35" t="inlineStr">
        <is>
          <t>IT - Services</t>
        </is>
      </c>
      <c r="E35" t="n">
        <v>30365543</v>
      </c>
      <c r="F35" t="n">
        <v>15207.06</v>
      </c>
      <c r="G35" t="n">
        <v>1.16</v>
      </c>
      <c r="H35" t="inlineStr">
        <is>
          <t>Small Cap</t>
        </is>
      </c>
    </row>
    <row r="36">
      <c r="B36" t="inlineStr">
        <is>
          <t>Can Fin Homes Ltd</t>
        </is>
      </c>
      <c r="C36" t="inlineStr">
        <is>
          <t>INE477A01020</t>
        </is>
      </c>
      <c r="D36" t="inlineStr">
        <is>
          <t>Finance</t>
        </is>
      </c>
      <c r="E36" t="n">
        <v>1717975</v>
      </c>
      <c r="F36" t="n">
        <v>15196.35</v>
      </c>
      <c r="G36" t="n">
        <v>1.16</v>
      </c>
      <c r="H36" t="inlineStr">
        <is>
          <t>Small Cap</t>
        </is>
      </c>
    </row>
    <row r="37">
      <c r="B37" t="inlineStr">
        <is>
          <t>Global Health Ltd</t>
        </is>
      </c>
      <c r="C37" t="inlineStr">
        <is>
          <t>INE474Q01031</t>
        </is>
      </c>
      <c r="D37" t="inlineStr">
        <is>
          <t>Healthcare Services</t>
        </is>
      </c>
      <c r="E37" t="n">
        <v>1215159</v>
      </c>
      <c r="F37" t="n">
        <v>15140.88</v>
      </c>
      <c r="G37" t="n">
        <v>1.16</v>
      </c>
      <c r="H37" t="inlineStr">
        <is>
          <t>Mid Cap</t>
        </is>
      </c>
    </row>
    <row r="38">
      <c r="B38" t="inlineStr">
        <is>
          <t>Indian Hotels Co Ltd</t>
        </is>
      </c>
      <c r="C38" t="inlineStr">
        <is>
          <t>INE053A01029</t>
        </is>
      </c>
      <c r="D38" t="inlineStr">
        <is>
          <t>Leisure Services</t>
        </is>
      </c>
      <c r="E38" t="n">
        <v>2004471</v>
      </c>
      <c r="F38" t="n">
        <v>14919.28</v>
      </c>
      <c r="G38" t="n">
        <v>1.14</v>
      </c>
      <c r="H38" t="inlineStr">
        <is>
          <t>Large Cap</t>
        </is>
      </c>
    </row>
    <row r="39">
      <c r="B39" t="inlineStr">
        <is>
          <t>Ajanta Pharma Ltd</t>
        </is>
      </c>
      <c r="C39" t="inlineStr">
        <is>
          <t>INE031B01049</t>
        </is>
      </c>
      <c r="D39" t="inlineStr">
        <is>
          <t>Pharmaceuticals &amp; Biotechnology</t>
        </is>
      </c>
      <c r="E39" t="n">
        <v>579013</v>
      </c>
      <c r="F39" t="n">
        <v>14827.36</v>
      </c>
      <c r="G39" t="n">
        <v>1.14</v>
      </c>
      <c r="H39" t="inlineStr">
        <is>
          <t>Mid Cap</t>
        </is>
      </c>
    </row>
    <row r="40">
      <c r="B40" t="inlineStr">
        <is>
          <t>CESC Ltd</t>
        </is>
      </c>
      <c r="C40" t="inlineStr">
        <is>
          <t>INE486A01021</t>
        </is>
      </c>
      <c r="D40" t="inlineStr">
        <is>
          <t>Power</t>
        </is>
      </c>
      <c r="E40" t="n">
        <v>8694821</v>
      </c>
      <c r="F40" t="n">
        <v>14822.93</v>
      </c>
      <c r="G40" t="n">
        <v>1.13</v>
      </c>
      <c r="H40" t="inlineStr">
        <is>
          <t>Small Cap</t>
        </is>
      </c>
    </row>
    <row r="41">
      <c r="B41" t="inlineStr">
        <is>
          <t>Bikaji Foods International Ltd</t>
        </is>
      </c>
      <c r="C41" t="inlineStr">
        <is>
          <t>INE00E101023</t>
        </is>
      </c>
      <c r="D41" t="inlineStr">
        <is>
          <t>Food Products</t>
        </is>
      </c>
      <c r="E41" t="n">
        <v>2066242</v>
      </c>
      <c r="F41" t="n">
        <v>14818.05</v>
      </c>
      <c r="G41" t="n">
        <v>1.13</v>
      </c>
      <c r="H41" t="inlineStr">
        <is>
          <t>Small Cap</t>
        </is>
      </c>
    </row>
    <row r="42">
      <c r="B42" t="inlineStr">
        <is>
          <t>JK Lakshmi Cement Ltd</t>
        </is>
      </c>
      <c r="C42" t="inlineStr">
        <is>
          <t>INE786A01032</t>
        </is>
      </c>
      <c r="D42" t="inlineStr">
        <is>
          <t>Cement &amp; Cement Products</t>
        </is>
      </c>
      <c r="E42" t="n">
        <v>1927364</v>
      </c>
      <c r="F42" t="n">
        <v>14625.8</v>
      </c>
      <c r="G42" t="n">
        <v>1.12</v>
      </c>
      <c r="H42" t="inlineStr">
        <is>
          <t>Small Cap</t>
        </is>
      </c>
    </row>
    <row r="43">
      <c r="B43" t="inlineStr">
        <is>
          <t>Schaeffler India Ltd</t>
        </is>
      </c>
      <c r="C43" t="inlineStr">
        <is>
          <t>INE513A01022</t>
        </is>
      </c>
      <c r="D43" t="inlineStr">
        <is>
          <t>Auto Components</t>
        </is>
      </c>
      <c r="E43" t="n">
        <v>374832</v>
      </c>
      <c r="F43" t="n">
        <v>14616.2</v>
      </c>
      <c r="G43" t="n">
        <v>1.12</v>
      </c>
      <c r="H43" t="inlineStr">
        <is>
          <t>Mid Cap</t>
        </is>
      </c>
    </row>
    <row r="44">
      <c r="B44" t="inlineStr">
        <is>
          <t>Safari Industries (India) Ltd</t>
        </is>
      </c>
      <c r="C44" t="inlineStr">
        <is>
          <t>INE429E01023</t>
        </is>
      </c>
      <c r="D44" t="inlineStr">
        <is>
          <t>Consumer Durables</t>
        </is>
      </c>
      <c r="E44" t="n">
        <v>599696</v>
      </c>
      <c r="F44" t="n">
        <v>14571.41</v>
      </c>
      <c r="G44" t="n">
        <v>1.12</v>
      </c>
      <c r="H44" t="inlineStr">
        <is>
          <t>Small Cap</t>
        </is>
      </c>
    </row>
    <row r="45">
      <c r="B45" t="inlineStr">
        <is>
          <t>Interglobe Aviation Ltd</t>
        </is>
      </c>
      <c r="C45" t="inlineStr">
        <is>
          <t>INE646L01027</t>
        </is>
      </c>
      <c r="D45" t="inlineStr">
        <is>
          <t>Transport Services</t>
        </is>
      </c>
      <c r="E45" t="n">
        <v>246168</v>
      </c>
      <c r="F45" t="n">
        <v>14527.6</v>
      </c>
      <c r="G45" t="n">
        <v>1.11</v>
      </c>
      <c r="H45" t="inlineStr">
        <is>
          <t>Large Cap</t>
        </is>
      </c>
    </row>
    <row r="46">
      <c r="B46" t="inlineStr">
        <is>
          <t>Gland Pharma Ltd</t>
        </is>
      </c>
      <c r="C46" t="inlineStr">
        <is>
          <t>INE068V01023</t>
        </is>
      </c>
      <c r="D46" t="inlineStr">
        <is>
          <t>Pharmaceuticals &amp; Biotechnology</t>
        </is>
      </c>
      <c r="E46" t="n">
        <v>817455</v>
      </c>
      <c r="F46" t="n">
        <v>14383.94</v>
      </c>
      <c r="G46" t="n">
        <v>1.1</v>
      </c>
      <c r="H46" t="inlineStr">
        <is>
          <t>Small Cap</t>
        </is>
      </c>
    </row>
    <row r="47">
      <c r="B47" t="inlineStr">
        <is>
          <t>Metropolis Healthcare Ltd</t>
        </is>
      </c>
      <c r="C47" t="inlineStr">
        <is>
          <t>INE112L01020</t>
        </is>
      </c>
      <c r="D47" t="inlineStr">
        <is>
          <t>Healthcare Services</t>
        </is>
      </c>
      <c r="E47" t="n">
        <v>719004</v>
      </c>
      <c r="F47" t="n">
        <v>13883.97</v>
      </c>
      <c r="G47" t="n">
        <v>1.06</v>
      </c>
      <c r="H47" t="inlineStr">
        <is>
          <t>Small Cap</t>
        </is>
      </c>
    </row>
    <row r="48">
      <c r="B48" t="inlineStr">
        <is>
          <t>Awfis Space Solutions Ltd</t>
        </is>
      </c>
      <c r="C48" t="inlineStr">
        <is>
          <t>INE108V01019</t>
        </is>
      </c>
      <c r="D48" t="inlineStr">
        <is>
          <t>Commercial Services &amp; Supplies</t>
        </is>
      </c>
      <c r="E48" t="n">
        <v>2562532</v>
      </c>
      <c r="F48" t="n">
        <v>13735.17</v>
      </c>
      <c r="G48" t="n">
        <v>1.05</v>
      </c>
      <c r="H48" t="inlineStr">
        <is>
          <t>Small Cap</t>
        </is>
      </c>
    </row>
    <row r="49">
      <c r="B49" t="inlineStr">
        <is>
          <t>Max Healthcare Institute Ltd</t>
        </is>
      </c>
      <c r="C49" t="inlineStr">
        <is>
          <t>INE027H01010</t>
        </is>
      </c>
      <c r="D49" t="inlineStr">
        <is>
          <t>Healthcare Services</t>
        </is>
      </c>
      <c r="E49" t="n">
        <v>1179607</v>
      </c>
      <c r="F49" t="n">
        <v>13716.47</v>
      </c>
      <c r="G49" t="n">
        <v>1.05</v>
      </c>
      <c r="H49" t="inlineStr">
        <is>
          <t>Large Cap</t>
        </is>
      </c>
    </row>
    <row r="50">
      <c r="B50" t="inlineStr">
        <is>
          <t>ICRA Ltd</t>
        </is>
      </c>
      <c r="C50" t="inlineStr">
        <is>
          <t>INE725G01011</t>
        </is>
      </c>
      <c r="D50" t="inlineStr">
        <is>
          <t>Capital Markets</t>
        </is>
      </c>
      <c r="E50" t="n">
        <v>217766</v>
      </c>
      <c r="F50" t="n">
        <v>13497.14</v>
      </c>
      <c r="G50" t="n">
        <v>1.03</v>
      </c>
      <c r="H50" t="inlineStr">
        <is>
          <t>Small Cap</t>
        </is>
      </c>
    </row>
    <row r="51">
      <c r="B51" t="inlineStr">
        <is>
          <t>KEC International Ltd</t>
        </is>
      </c>
      <c r="C51" t="inlineStr">
        <is>
          <t>INE389H01022</t>
        </is>
      </c>
      <c r="D51" t="inlineStr">
        <is>
          <t>Construction</t>
        </is>
      </c>
      <c r="E51" t="n">
        <v>1950052</v>
      </c>
      <c r="F51" t="n">
        <v>13372.48</v>
      </c>
      <c r="G51" t="n">
        <v>1.02</v>
      </c>
      <c r="H51" t="inlineStr">
        <is>
          <t>Small Cap</t>
        </is>
      </c>
    </row>
    <row r="52">
      <c r="B52" t="inlineStr">
        <is>
          <t>ITC Ltd</t>
        </is>
      </c>
      <c r="C52" t="inlineStr">
        <is>
          <t>INE154A01025</t>
        </is>
      </c>
      <c r="D52" t="inlineStr">
        <is>
          <t>Diversified Fmcg</t>
        </is>
      </c>
      <c r="E52" t="n">
        <v>3259763</v>
      </c>
      <c r="F52" t="n">
        <v>13177.59</v>
      </c>
      <c r="G52" t="n">
        <v>1.01</v>
      </c>
      <c r="H52" t="inlineStr">
        <is>
          <t>Large Cap</t>
        </is>
      </c>
    </row>
    <row r="53">
      <c r="B53" t="inlineStr">
        <is>
          <t>Tech Mahindra Ltd</t>
        </is>
      </c>
      <c r="C53" t="inlineStr">
        <is>
          <t>INE669C01036</t>
        </is>
      </c>
      <c r="D53" t="inlineStr">
        <is>
          <t>IT - Software</t>
        </is>
      </c>
      <c r="E53" t="n">
        <v>857775</v>
      </c>
      <c r="F53" t="n">
        <v>13015.02</v>
      </c>
      <c r="G53" t="n">
        <v>1</v>
      </c>
      <c r="H53" t="inlineStr">
        <is>
          <t>Large Cap</t>
        </is>
      </c>
    </row>
    <row r="54">
      <c r="B54" t="inlineStr">
        <is>
          <t>Home First Finance Co India Ltd</t>
        </is>
      </c>
      <c r="C54" t="inlineStr">
        <is>
          <t>INE481N01025</t>
        </is>
      </c>
      <c r="D54" t="inlineStr">
        <is>
          <t>Finance</t>
        </is>
      </c>
      <c r="E54" t="n">
        <v>1154018</v>
      </c>
      <c r="F54" t="n">
        <v>12821.14</v>
      </c>
      <c r="G54" t="n">
        <v>0.98</v>
      </c>
      <c r="H54" t="inlineStr">
        <is>
          <t>Small Cap</t>
        </is>
      </c>
    </row>
    <row r="55">
      <c r="B55" t="inlineStr">
        <is>
          <t>Cohance Lifesciences Ltd</t>
        </is>
      </c>
      <c r="C55" t="inlineStr">
        <is>
          <t>INE03QK01018</t>
        </is>
      </c>
      <c r="D55" t="inlineStr">
        <is>
          <t>Pharmaceuticals &amp; Biotechnology</t>
        </is>
      </c>
      <c r="E55" t="n">
        <v>2261293</v>
      </c>
      <c r="F55" t="n">
        <v>12762.74</v>
      </c>
      <c r="G55" t="n">
        <v>0.98</v>
      </c>
      <c r="H55" t="inlineStr">
        <is>
          <t>Small Cap</t>
        </is>
      </c>
    </row>
    <row r="56">
      <c r="B56" t="inlineStr">
        <is>
          <t>EPL Ltd</t>
        </is>
      </c>
      <c r="C56" t="inlineStr">
        <is>
          <t>INE255A01020</t>
        </is>
      </c>
      <c r="D56" t="inlineStr">
        <is>
          <t>Industrial Products</t>
        </is>
      </c>
      <c r="E56" t="n">
        <v>6249380</v>
      </c>
      <c r="F56" t="n">
        <v>12752.48</v>
      </c>
      <c r="G56" t="n">
        <v>0.98</v>
      </c>
      <c r="H56" t="inlineStr">
        <is>
          <t>Small Cap</t>
        </is>
      </c>
    </row>
    <row r="57">
      <c r="B57" t="inlineStr">
        <is>
          <t>Piramal Pharma Ltd</t>
        </is>
      </c>
      <c r="C57" t="inlineStr">
        <is>
          <t>INE0DK501011</t>
        </is>
      </c>
      <c r="D57" t="inlineStr">
        <is>
          <t>Pharmaceuticals &amp; Biotechnology</t>
        </is>
      </c>
      <c r="E57" t="n">
        <v>6712333</v>
      </c>
      <c r="F57" t="n">
        <v>12566.16</v>
      </c>
      <c r="G57" t="n">
        <v>0.96</v>
      </c>
      <c r="H57" t="inlineStr">
        <is>
          <t>Small Cap</t>
        </is>
      </c>
    </row>
    <row r="58">
      <c r="B58" t="inlineStr">
        <is>
          <t>Indian Energy Exchange Ltd</t>
        </is>
      </c>
      <c r="C58" t="inlineStr">
        <is>
          <t>INE022Q01020</t>
        </is>
      </c>
      <c r="D58" t="inlineStr">
        <is>
          <t>Capital Markets</t>
        </is>
      </c>
      <c r="E58" t="n">
        <v>8978161</v>
      </c>
      <c r="F58" t="n">
        <v>12505.68</v>
      </c>
      <c r="G58" t="n">
        <v>0.96</v>
      </c>
      <c r="H58" t="inlineStr">
        <is>
          <t>Small Cap</t>
        </is>
      </c>
    </row>
    <row r="59">
      <c r="B59" t="inlineStr">
        <is>
          <t>Exide Industries Ltd</t>
        </is>
      </c>
      <c r="C59" t="inlineStr">
        <is>
          <t>INE302A01020</t>
        </is>
      </c>
      <c r="D59" t="inlineStr">
        <is>
          <t>Auto Components</t>
        </is>
      </c>
      <c r="E59" t="n">
        <v>3258298</v>
      </c>
      <c r="F59" t="n">
        <v>12212.1</v>
      </c>
      <c r="G59" t="n">
        <v>0.9399999999999999</v>
      </c>
      <c r="H59" t="inlineStr">
        <is>
          <t>Mid Cap</t>
        </is>
      </c>
    </row>
    <row r="60">
      <c r="B60" t="inlineStr">
        <is>
          <t>Triveni Turbine Ltd</t>
        </is>
      </c>
      <c r="C60" t="inlineStr">
        <is>
          <t>INE152M01016</t>
        </is>
      </c>
      <c r="D60" t="inlineStr">
        <is>
          <t>Electrical Equipment</t>
        </is>
      </c>
      <c r="E60" t="n">
        <v>2262603</v>
      </c>
      <c r="F60" t="n">
        <v>12147.92</v>
      </c>
      <c r="G60" t="n">
        <v>0.93</v>
      </c>
      <c r="H60" t="inlineStr">
        <is>
          <t>Small Cap</t>
        </is>
      </c>
    </row>
    <row r="61">
      <c r="B61" t="inlineStr">
        <is>
          <t>V-Mart Retail Ltd</t>
        </is>
      </c>
      <c r="C61" t="inlineStr">
        <is>
          <t>INE665J01013</t>
        </is>
      </c>
      <c r="D61" t="inlineStr">
        <is>
          <t>Retailing</t>
        </is>
      </c>
      <c r="E61" t="n">
        <v>1534011</v>
      </c>
      <c r="F61" t="n">
        <v>12005.94</v>
      </c>
      <c r="G61" t="n">
        <v>0.92</v>
      </c>
      <c r="H61" t="inlineStr">
        <is>
          <t>Small Cap</t>
        </is>
      </c>
    </row>
    <row r="62">
      <c r="B62" t="inlineStr">
        <is>
          <t>The Ramco Cements Ltd</t>
        </is>
      </c>
      <c r="C62" t="inlineStr">
        <is>
          <t>INE331A01037</t>
        </is>
      </c>
      <c r="D62" t="inlineStr">
        <is>
          <t>Cement &amp; Cement Products</t>
        </is>
      </c>
      <c r="E62" t="n">
        <v>1156767</v>
      </c>
      <c r="F62" t="n">
        <v>12001.46</v>
      </c>
      <c r="G62" t="n">
        <v>0.92</v>
      </c>
      <c r="H62" t="inlineStr">
        <is>
          <t>Small Cap</t>
        </is>
      </c>
    </row>
    <row r="63">
      <c r="B63" t="inlineStr">
        <is>
          <t>Innova Captab Ltd</t>
        </is>
      </c>
      <c r="C63" t="inlineStr">
        <is>
          <t>INE0DUT01020</t>
        </is>
      </c>
      <c r="D63" t="inlineStr">
        <is>
          <t>Pharmaceuticals &amp; Biotechnology</t>
        </is>
      </c>
      <c r="E63" t="n">
        <v>1629936</v>
      </c>
      <c r="F63" t="n">
        <v>11707.02</v>
      </c>
      <c r="G63" t="n">
        <v>0.9</v>
      </c>
      <c r="H63" t="inlineStr">
        <is>
          <t>Small Cap</t>
        </is>
      </c>
    </row>
    <row r="64">
      <c r="B64" t="inlineStr">
        <is>
          <t>Birlasoft Ltd</t>
        </is>
      </c>
      <c r="C64" t="inlineStr">
        <is>
          <t>INE836A01035</t>
        </is>
      </c>
      <c r="D64" t="inlineStr">
        <is>
          <t>IT - Software</t>
        </is>
      </c>
      <c r="E64" t="n">
        <v>3067446</v>
      </c>
      <c r="F64" t="n">
        <v>11662.43</v>
      </c>
      <c r="G64" t="n">
        <v>0.89</v>
      </c>
      <c r="H64" t="inlineStr">
        <is>
          <t>Small Cap</t>
        </is>
      </c>
    </row>
    <row r="65">
      <c r="B65" t="inlineStr">
        <is>
          <t>Ratnamani Metals &amp; Tubes Ltd</t>
        </is>
      </c>
      <c r="C65" t="inlineStr">
        <is>
          <t>INE703B01027</t>
        </is>
      </c>
      <c r="D65" t="inlineStr">
        <is>
          <t>Industrial Products</t>
        </is>
      </c>
      <c r="E65" t="n">
        <v>468655</v>
      </c>
      <c r="F65" t="n">
        <v>11118.84</v>
      </c>
      <c r="G65" t="n">
        <v>0.85</v>
      </c>
      <c r="H65" t="inlineStr">
        <is>
          <t>Small Cap</t>
        </is>
      </c>
    </row>
    <row r="66">
      <c r="B66" t="inlineStr">
        <is>
          <t>Great Eastern Shipping Co Ltd</t>
        </is>
      </c>
      <c r="C66" t="inlineStr">
        <is>
          <t>INE017A01032</t>
        </is>
      </c>
      <c r="D66" t="inlineStr">
        <is>
          <t>Transport Services</t>
        </is>
      </c>
      <c r="E66" t="n">
        <v>982175</v>
      </c>
      <c r="F66" t="n">
        <v>10871.7</v>
      </c>
      <c r="G66" t="n">
        <v>0.83</v>
      </c>
      <c r="H66" t="inlineStr">
        <is>
          <t>Small Cap</t>
        </is>
      </c>
    </row>
    <row r="67">
      <c r="B67" t="inlineStr">
        <is>
          <t>Jyoti CNC Automation Ltd</t>
        </is>
      </c>
      <c r="C67" t="inlineStr">
        <is>
          <t>INE980O01024</t>
        </is>
      </c>
      <c r="D67" t="inlineStr">
        <is>
          <t>Industrial Manufacturing</t>
        </is>
      </c>
      <c r="E67" t="n">
        <v>1071014</v>
      </c>
      <c r="F67" t="n">
        <v>10819.92</v>
      </c>
      <c r="G67" t="n">
        <v>0.83</v>
      </c>
      <c r="H67" t="inlineStr">
        <is>
          <t>Small Cap</t>
        </is>
      </c>
    </row>
    <row r="68">
      <c r="B68" t="inlineStr">
        <is>
          <t>Apar Industries Ltd</t>
        </is>
      </c>
      <c r="C68" t="inlineStr">
        <is>
          <t>INE372A01015</t>
        </is>
      </c>
      <c r="D68" t="inlineStr">
        <is>
          <t>Electrical Equipment</t>
        </is>
      </c>
      <c r="E68" t="n">
        <v>117851</v>
      </c>
      <c r="F68" t="n">
        <v>10794.56</v>
      </c>
      <c r="G68" t="n">
        <v>0.83</v>
      </c>
      <c r="H68" t="inlineStr">
        <is>
          <t>Small Cap</t>
        </is>
      </c>
    </row>
    <row r="69">
      <c r="B69" t="inlineStr">
        <is>
          <t>Mrs Bectors Food Specialities Ltd</t>
        </is>
      </c>
      <c r="C69" t="inlineStr">
        <is>
          <t>INE495P01012</t>
        </is>
      </c>
      <c r="D69" t="inlineStr">
        <is>
          <t>Food Products</t>
        </is>
      </c>
      <c r="E69" t="n">
        <v>826098</v>
      </c>
      <c r="F69" t="n">
        <v>10741.75</v>
      </c>
      <c r="G69" t="n">
        <v>0.82</v>
      </c>
      <c r="H69" t="inlineStr">
        <is>
          <t>Small Cap</t>
        </is>
      </c>
    </row>
    <row r="70">
      <c r="B70" t="inlineStr">
        <is>
          <t>Cyient Ltd</t>
        </is>
      </c>
      <c r="C70" t="inlineStr">
        <is>
          <t>INE136B01020</t>
        </is>
      </c>
      <c r="D70" t="inlineStr">
        <is>
          <t>IT - Services</t>
        </is>
      </c>
      <c r="E70" t="n">
        <v>906438</v>
      </c>
      <c r="F70" t="n">
        <v>10184.74</v>
      </c>
      <c r="G70" t="n">
        <v>0.78</v>
      </c>
      <c r="H70" t="inlineStr">
        <is>
          <t>Small Cap</t>
        </is>
      </c>
    </row>
    <row r="71">
      <c r="B71" t="inlineStr">
        <is>
          <t>Brigade Enterprises Ltd</t>
        </is>
      </c>
      <c r="C71" t="inlineStr">
        <is>
          <t>INE791I01019</t>
        </is>
      </c>
      <c r="D71" t="inlineStr">
        <is>
          <t>Realty</t>
        </is>
      </c>
      <c r="E71" t="n">
        <v>1133993</v>
      </c>
      <c r="F71" t="n">
        <v>10150.37</v>
      </c>
      <c r="G71" t="n">
        <v>0.78</v>
      </c>
      <c r="H71" t="inlineStr">
        <is>
          <t>Small Cap</t>
        </is>
      </c>
    </row>
    <row r="72">
      <c r="B72" t="inlineStr">
        <is>
          <t>Westlife Foodworld Ltd</t>
        </is>
      </c>
      <c r="C72" t="inlineStr">
        <is>
          <t>INE274F01020</t>
        </is>
      </c>
      <c r="D72" t="inlineStr">
        <is>
          <t>Leisure Services</t>
        </is>
      </c>
      <c r="E72" t="n">
        <v>1770494</v>
      </c>
      <c r="F72" t="n">
        <v>10042.24</v>
      </c>
      <c r="G72" t="n">
        <v>0.77</v>
      </c>
      <c r="H72" t="inlineStr">
        <is>
          <t>Small Cap</t>
        </is>
      </c>
    </row>
    <row r="73">
      <c r="B73" t="inlineStr">
        <is>
          <t>Sumitomo Chemical India Ltd</t>
        </is>
      </c>
      <c r="C73" t="inlineStr">
        <is>
          <t>INE258G01013</t>
        </is>
      </c>
      <c r="D73" t="inlineStr">
        <is>
          <t>Fertilizers &amp; Agrochemicals</t>
        </is>
      </c>
      <c r="E73" t="n">
        <v>2046726</v>
      </c>
      <c r="F73" t="n">
        <v>9537.74</v>
      </c>
      <c r="G73" t="n">
        <v>0.73</v>
      </c>
      <c r="H73" t="inlineStr">
        <is>
          <t>Small Cap</t>
        </is>
      </c>
    </row>
    <row r="74">
      <c r="B74" t="inlineStr">
        <is>
          <t>Jyothy Labs Ltd</t>
        </is>
      </c>
      <c r="C74" t="inlineStr">
        <is>
          <t>INE668F01031</t>
        </is>
      </c>
      <c r="D74" t="inlineStr">
        <is>
          <t>Household Products</t>
        </is>
      </c>
      <c r="E74" t="n">
        <v>3119812</v>
      </c>
      <c r="F74" t="n">
        <v>9361</v>
      </c>
      <c r="G74" t="n">
        <v>0.72</v>
      </c>
      <c r="H74" t="inlineStr">
        <is>
          <t>Small Cap</t>
        </is>
      </c>
    </row>
    <row r="75">
      <c r="B75" t="inlineStr">
        <is>
          <t>UTI Asset Management Co Ltd</t>
        </is>
      </c>
      <c r="C75" t="inlineStr">
        <is>
          <t>INE094J01016</t>
        </is>
      </c>
      <c r="D75" t="inlineStr">
        <is>
          <t>Capital Markets</t>
        </is>
      </c>
      <c r="E75" t="n">
        <v>804337</v>
      </c>
      <c r="F75" t="n">
        <v>9178.290000000001</v>
      </c>
      <c r="G75" t="n">
        <v>0.7</v>
      </c>
      <c r="H75" t="inlineStr">
        <is>
          <t>Small Cap</t>
        </is>
      </c>
    </row>
    <row r="76">
      <c r="B76" t="inlineStr">
        <is>
          <t>Mahanagar Gas Ltd</t>
        </is>
      </c>
      <c r="C76" t="inlineStr">
        <is>
          <t>INE002S01010</t>
        </is>
      </c>
      <c r="D76" t="inlineStr">
        <is>
          <t>Gas</t>
        </is>
      </c>
      <c r="E76" t="n">
        <v>747746</v>
      </c>
      <c r="F76" t="n">
        <v>8974.450000000001</v>
      </c>
      <c r="G76" t="n">
        <v>0.6899999999999999</v>
      </c>
      <c r="H76" t="inlineStr">
        <is>
          <t>Small Cap</t>
        </is>
      </c>
    </row>
    <row r="77">
      <c r="B77" t="inlineStr">
        <is>
          <t>Sun Pharmaceutical Industries Ltd</t>
        </is>
      </c>
      <c r="C77" t="inlineStr">
        <is>
          <t>INE044A01036</t>
        </is>
      </c>
      <c r="D77" t="inlineStr">
        <is>
          <t>Pharmaceuticals &amp; Biotechnology</t>
        </is>
      </c>
      <c r="E77" t="n">
        <v>481168</v>
      </c>
      <c r="F77" t="n">
        <v>8813.07</v>
      </c>
      <c r="G77" t="n">
        <v>0.67</v>
      </c>
      <c r="H77" t="inlineStr">
        <is>
          <t>Large Cap</t>
        </is>
      </c>
    </row>
    <row r="78">
      <c r="B78" t="inlineStr">
        <is>
          <t>Subros Ltd</t>
        </is>
      </c>
      <c r="C78" t="inlineStr">
        <is>
          <t>INE287B01021</t>
        </is>
      </c>
      <c r="D78" t="inlineStr">
        <is>
          <t>Industrial Products</t>
        </is>
      </c>
      <c r="E78" t="n">
        <v>1027133</v>
      </c>
      <c r="F78" t="n">
        <v>8787.120000000001</v>
      </c>
      <c r="G78" t="n">
        <v>0.67</v>
      </c>
      <c r="H78" t="inlineStr">
        <is>
          <t>Small Cap</t>
        </is>
      </c>
    </row>
    <row r="79">
      <c r="B79" t="inlineStr">
        <is>
          <t>Greenply Industries Ltd</t>
        </is>
      </c>
      <c r="C79" t="inlineStr">
        <is>
          <t>INE461C01038</t>
        </is>
      </c>
      <c r="D79" t="inlineStr">
        <is>
          <t>Consumer Durables</t>
        </is>
      </c>
      <c r="E79" t="n">
        <v>3073613</v>
      </c>
      <c r="F79" t="n">
        <v>8681.42</v>
      </c>
      <c r="G79" t="n">
        <v>0.66</v>
      </c>
      <c r="H79" t="inlineStr">
        <is>
          <t>Small Cap</t>
        </is>
      </c>
    </row>
    <row r="80">
      <c r="B80" t="inlineStr">
        <is>
          <t>Ahluwalia Contracts (India) Ltd</t>
        </is>
      </c>
      <c r="C80" t="inlineStr">
        <is>
          <t>INE758C01029</t>
        </is>
      </c>
      <c r="D80" t="inlineStr">
        <is>
          <t>Construction</t>
        </is>
      </c>
      <c r="E80" t="n">
        <v>863656</v>
      </c>
      <c r="F80" t="n">
        <v>8595.540000000001</v>
      </c>
      <c r="G80" t="n">
        <v>0.66</v>
      </c>
      <c r="H80" t="inlineStr">
        <is>
          <t>Small Cap</t>
        </is>
      </c>
    </row>
    <row r="81">
      <c r="B81" t="inlineStr">
        <is>
          <t>CIE Automotive India Ltd</t>
        </is>
      </c>
      <c r="C81" t="inlineStr">
        <is>
          <t>INE536H01010</t>
        </is>
      </c>
      <c r="D81" t="inlineStr">
        <is>
          <t>Auto Components</t>
        </is>
      </c>
      <c r="E81" t="n">
        <v>1878955</v>
      </c>
      <c r="F81" t="n">
        <v>7733.78</v>
      </c>
      <c r="G81" t="n">
        <v>0.59</v>
      </c>
      <c r="H81" t="inlineStr">
        <is>
          <t>Small Cap</t>
        </is>
      </c>
    </row>
    <row r="82">
      <c r="B82" t="inlineStr">
        <is>
          <t>Timken India Ltd</t>
        </is>
      </c>
      <c r="C82" t="inlineStr">
        <is>
          <t>INE325A01013</t>
        </is>
      </c>
      <c r="D82" t="inlineStr">
        <is>
          <t>Industrial Products</t>
        </is>
      </c>
      <c r="E82" t="n">
        <v>244148</v>
      </c>
      <c r="F82" t="n">
        <v>7701.4</v>
      </c>
      <c r="G82" t="n">
        <v>0.59</v>
      </c>
      <c r="H82" t="inlineStr">
        <is>
          <t>Small Cap</t>
        </is>
      </c>
    </row>
    <row r="83">
      <c r="B83" t="inlineStr">
        <is>
          <t>VRL Logistics Ltd</t>
        </is>
      </c>
      <c r="C83" t="inlineStr">
        <is>
          <t>INE366I01010</t>
        </is>
      </c>
      <c r="D83" t="inlineStr">
        <is>
          <t>Transport Services</t>
        </is>
      </c>
      <c r="E83" t="n">
        <v>2764662</v>
      </c>
      <c r="F83" t="n">
        <v>7500.53</v>
      </c>
      <c r="G83" t="n">
        <v>0.57</v>
      </c>
      <c r="H83" t="inlineStr">
        <is>
          <t>Small Cap</t>
        </is>
      </c>
    </row>
    <row r="84">
      <c r="B84" t="inlineStr">
        <is>
          <t>Thangamayil Jewellery Ltd</t>
        </is>
      </c>
      <c r="C84" t="inlineStr">
        <is>
          <t>INE085J01014</t>
        </is>
      </c>
      <c r="D84" t="inlineStr">
        <is>
          <t>Consumer Durables</t>
        </is>
      </c>
      <c r="E84" t="n">
        <v>217904</v>
      </c>
      <c r="F84" t="n">
        <v>7090.6</v>
      </c>
      <c r="G84" t="n">
        <v>0.54</v>
      </c>
      <c r="H84" t="inlineStr">
        <is>
          <t>Small Cap</t>
        </is>
      </c>
    </row>
    <row r="85">
      <c r="B85" t="inlineStr">
        <is>
          <t>Mold Tek Packaging Ltd</t>
        </is>
      </c>
      <c r="C85" t="inlineStr">
        <is>
          <t>INE893J01029</t>
        </is>
      </c>
      <c r="D85" t="inlineStr">
        <is>
          <t>Industrial Products</t>
        </is>
      </c>
      <c r="E85" t="n">
        <v>1125901</v>
      </c>
      <c r="F85" t="n">
        <v>6866.87</v>
      </c>
      <c r="G85" t="n">
        <v>0.53</v>
      </c>
      <c r="H85" t="inlineStr">
        <is>
          <t>Small Cap</t>
        </is>
      </c>
    </row>
    <row r="86">
      <c r="B86" t="inlineStr">
        <is>
          <t>Latent View Analytics Ltd</t>
        </is>
      </c>
      <c r="C86" t="inlineStr">
        <is>
          <t>INE0I7C01011</t>
        </is>
      </c>
      <c r="D86" t="inlineStr">
        <is>
          <t>IT - Software</t>
        </is>
      </c>
      <c r="E86" t="n">
        <v>1340375</v>
      </c>
      <c r="F86" t="n">
        <v>6679.76</v>
      </c>
      <c r="G86" t="n">
        <v>0.51</v>
      </c>
      <c r="H86" t="inlineStr">
        <is>
          <t>Small Cap</t>
        </is>
      </c>
    </row>
    <row r="87">
      <c r="B87" t="inlineStr">
        <is>
          <t>Rossari Biotech Ltd</t>
        </is>
      </c>
      <c r="C87" t="inlineStr">
        <is>
          <t>INE02A801020</t>
        </is>
      </c>
      <c r="D87" t="inlineStr">
        <is>
          <t>Chemicals &amp; Petrochemicals</t>
        </is>
      </c>
      <c r="E87" t="n">
        <v>1067293</v>
      </c>
      <c r="F87" t="n">
        <v>6405.36</v>
      </c>
      <c r="G87" t="n">
        <v>0.49</v>
      </c>
      <c r="H87" t="inlineStr">
        <is>
          <t>Small Cap</t>
        </is>
      </c>
    </row>
    <row r="88">
      <c r="B88" t="inlineStr">
        <is>
          <t>Rhi Magnesita India Ltd</t>
        </is>
      </c>
      <c r="C88" t="inlineStr">
        <is>
          <t>INE743M01012</t>
        </is>
      </c>
      <c r="D88" t="inlineStr">
        <is>
          <t>Industrial Products</t>
        </is>
      </c>
      <c r="E88" t="n">
        <v>1376829</v>
      </c>
      <c r="F88" t="n">
        <v>6392.62</v>
      </c>
      <c r="G88" t="n">
        <v>0.49</v>
      </c>
      <c r="H88" t="inlineStr">
        <is>
          <t>Small Cap</t>
        </is>
      </c>
    </row>
    <row r="89">
      <c r="B89" t="inlineStr">
        <is>
          <t>Doms Industries Ltd</t>
        </is>
      </c>
      <c r="C89" t="inlineStr">
        <is>
          <t>INE321T01012</t>
        </is>
      </c>
      <c r="D89" t="inlineStr">
        <is>
          <t>Household Products</t>
        </is>
      </c>
      <c r="E89" t="n">
        <v>245619</v>
      </c>
      <c r="F89" t="n">
        <v>6165.04</v>
      </c>
      <c r="G89" t="n">
        <v>0.47</v>
      </c>
      <c r="H89" t="inlineStr">
        <is>
          <t>Small Cap</t>
        </is>
      </c>
    </row>
    <row r="90">
      <c r="B90" t="inlineStr">
        <is>
          <t>Devyani International Ltd</t>
        </is>
      </c>
      <c r="C90" t="inlineStr">
        <is>
          <t>INE872J01023</t>
        </is>
      </c>
      <c r="D90" t="inlineStr">
        <is>
          <t>Leisure Services</t>
        </is>
      </c>
      <c r="E90" t="n">
        <v>4401818</v>
      </c>
      <c r="F90" t="n">
        <v>5970.63</v>
      </c>
      <c r="G90" t="n">
        <v>0.46</v>
      </c>
      <c r="H90" t="inlineStr">
        <is>
          <t>Small Cap</t>
        </is>
      </c>
    </row>
    <row r="91">
      <c r="B91" t="inlineStr">
        <is>
          <t>Vedant Fashions Ltd</t>
        </is>
      </c>
      <c r="C91" t="inlineStr">
        <is>
          <t>INE825V01034</t>
        </is>
      </c>
      <c r="D91" t="inlineStr">
        <is>
          <t>Retailing</t>
        </is>
      </c>
      <c r="E91" t="n">
        <v>866060</v>
      </c>
      <c r="F91" t="n">
        <v>5266.94</v>
      </c>
      <c r="G91" t="n">
        <v>0.4</v>
      </c>
      <c r="H91" t="inlineStr">
        <is>
          <t>Small Cap</t>
        </is>
      </c>
    </row>
    <row r="92">
      <c r="B92" t="inlineStr">
        <is>
          <t>Rolex Rings Ltd</t>
        </is>
      </c>
      <c r="C92" t="inlineStr">
        <is>
          <t>INE645S01024</t>
        </is>
      </c>
      <c r="D92" t="inlineStr">
        <is>
          <t>Auto Components</t>
        </is>
      </c>
      <c r="E92" t="n">
        <v>4244280</v>
      </c>
      <c r="F92" t="n">
        <v>4330.01</v>
      </c>
      <c r="G92" t="n">
        <v>0.33</v>
      </c>
      <c r="H92" t="inlineStr">
        <is>
          <t>Small Cap</t>
        </is>
      </c>
    </row>
    <row r="93">
      <c r="B93" t="inlineStr">
        <is>
          <t>Praj Industries Ltd</t>
        </is>
      </c>
      <c r="C93" t="inlineStr">
        <is>
          <t>INE074A01025</t>
        </is>
      </c>
      <c r="D93" t="inlineStr">
        <is>
          <t>Industrial Manufacturing</t>
        </is>
      </c>
      <c r="E93" t="n">
        <v>1145762</v>
      </c>
      <c r="F93" t="n">
        <v>3622.9</v>
      </c>
      <c r="G93" t="n">
        <v>0.28</v>
      </c>
      <c r="H93" t="inlineStr">
        <is>
          <t>Small Cap</t>
        </is>
      </c>
    </row>
    <row r="94">
      <c r="B94" t="inlineStr">
        <is>
          <t>PNC Infratech Ltd</t>
        </is>
      </c>
      <c r="C94" t="inlineStr">
        <is>
          <t>INE195J01029</t>
        </is>
      </c>
      <c r="D94" t="inlineStr">
        <is>
          <t>Construction</t>
        </is>
      </c>
      <c r="E94" t="n">
        <v>1315392</v>
      </c>
      <c r="F94" t="n">
        <v>3254.28</v>
      </c>
      <c r="G94" t="n">
        <v>0.25</v>
      </c>
      <c r="H94" t="inlineStr">
        <is>
          <t>Small Cap</t>
        </is>
      </c>
    </row>
    <row r="95">
      <c r="B95" t="inlineStr">
        <is>
          <t>K.P.R. Mill Ltd</t>
        </is>
      </c>
      <c r="C95" t="inlineStr">
        <is>
          <t>INE930H01031</t>
        </is>
      </c>
      <c r="D95" t="inlineStr">
        <is>
          <t>Textiles &amp; Apparels</t>
        </is>
      </c>
      <c r="E95" t="n">
        <v>201200</v>
      </c>
      <c r="F95" t="n">
        <v>2171.95</v>
      </c>
      <c r="G95" t="n">
        <v>0.17</v>
      </c>
      <c r="H95" t="inlineStr">
        <is>
          <t>Mid Cap</t>
        </is>
      </c>
    </row>
    <row r="96">
      <c r="B96" t="inlineStr">
        <is>
          <t>Go Fashion India Ltd</t>
        </is>
      </c>
      <c r="C96" t="inlineStr">
        <is>
          <t>INE0BJS01011</t>
        </is>
      </c>
      <c r="D96" t="inlineStr">
        <is>
          <t>Retailing</t>
        </is>
      </c>
      <c r="E96" t="n">
        <v>351864</v>
      </c>
      <c r="F96" t="n">
        <v>1823.71</v>
      </c>
      <c r="G96" t="n">
        <v>0.14</v>
      </c>
      <c r="H96" t="inlineStr">
        <is>
          <t>Small Cap</t>
        </is>
      </c>
    </row>
    <row r="97">
      <c r="B97" t="inlineStr">
        <is>
          <t>Fine Organic Industries Ltd</t>
        </is>
      </c>
      <c r="C97" t="inlineStr">
        <is>
          <t>INE686Y01026</t>
        </is>
      </c>
      <c r="D97" t="inlineStr">
        <is>
          <t>Chemicals &amp; Petrochemicals</t>
        </is>
      </c>
      <c r="E97" t="n">
        <v>32174</v>
      </c>
      <c r="F97" t="n">
        <v>1421.64</v>
      </c>
      <c r="G97" t="n">
        <v>0.11</v>
      </c>
      <c r="H97" t="inlineStr">
        <is>
          <t>Small Cap</t>
        </is>
      </c>
    </row>
    <row r="98">
      <c r="B98" t="inlineStr">
        <is>
          <t>Ask Automotive Ltd</t>
        </is>
      </c>
      <c r="C98" t="inlineStr">
        <is>
          <t>INE491J01022</t>
        </is>
      </c>
      <c r="D98" t="inlineStr">
        <is>
          <t>Auto Components</t>
        </is>
      </c>
      <c r="E98" t="n">
        <v>284766</v>
      </c>
      <c r="F98" t="n">
        <v>1416.28</v>
      </c>
      <c r="G98" t="n">
        <v>0.11</v>
      </c>
      <c r="H98" t="inlineStr">
        <is>
          <t>Small Cap</t>
        </is>
      </c>
    </row>
    <row r="99">
      <c r="B99" t="inlineStr">
        <is>
          <t>Sub Total</t>
        </is>
      </c>
      <c r="F99">
        <f>SUM(F7:F98)</f>
        <v/>
      </c>
      <c r="G99">
        <f>SUM(G7:G98)</f>
        <v/>
      </c>
    </row>
    <row r="100">
      <c r="B100" t="inlineStr">
        <is>
          <t>Total</t>
        </is>
      </c>
      <c r="F100">
        <f>F99</f>
        <v/>
      </c>
      <c r="G100">
        <f>G99</f>
        <v/>
      </c>
    </row>
    <row r="101">
      <c r="B101" t="inlineStr">
        <is>
          <t>TREPS</t>
        </is>
      </c>
    </row>
    <row r="102">
      <c r="B102" t="inlineStr">
        <is>
          <t>TREPS</t>
        </is>
      </c>
      <c r="F102" t="n">
        <v>41613.68</v>
      </c>
      <c r="G102" t="n">
        <v>3.19</v>
      </c>
    </row>
    <row r="103">
      <c r="B103" t="inlineStr">
        <is>
          <t>Sub Total</t>
        </is>
      </c>
      <c r="F103">
        <f>SUM(F101:F102)</f>
        <v/>
      </c>
      <c r="G103">
        <f>SUM(G101:G102)</f>
        <v/>
      </c>
    </row>
    <row r="104">
      <c r="B104" t="inlineStr">
        <is>
          <t>Total</t>
        </is>
      </c>
      <c r="F104">
        <f>F103</f>
        <v/>
      </c>
      <c r="G104">
        <f>G103</f>
        <v/>
      </c>
    </row>
    <row r="105">
      <c r="B105" t="inlineStr">
        <is>
          <t>Net Receivables / (Payables)</t>
        </is>
      </c>
      <c r="F105">
        <f>F106-(+F100+F104)</f>
        <v/>
      </c>
      <c r="G105">
        <f>G106-(+G100+G104)</f>
        <v/>
      </c>
    </row>
    <row r="106">
      <c r="B106" t="inlineStr">
        <is>
          <t>Grand Total</t>
        </is>
      </c>
      <c r="F106" t="n">
        <v>1306037.02</v>
      </c>
      <c r="G106" t="n">
        <v>100</v>
      </c>
    </row>
    <row r="107"/>
    <row r="108"/>
    <row r="109">
      <c r="B109" t="inlineStr">
        <is>
          <t>Residual Maturity</t>
        </is>
      </c>
      <c r="C109" t="inlineStr">
        <is>
          <t>0.0027 Years</t>
        </is>
      </c>
    </row>
    <row r="110"/>
    <row r="111">
      <c r="B111" t="inlineStr">
        <is>
          <t>Please refer the below link for the performance of the Schemes managed by Canara Robeco Mutual Fund</t>
        </is>
      </c>
    </row>
    <row r="112"/>
    <row r="113">
      <c r="B113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FLEXICAP FUND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>Yield %</t>
        </is>
      </c>
      <c r="I4" t="inlineStr">
        <is>
          <t xml:space="preserve">Market Capitalization </t>
        </is>
      </c>
      <c r="L4" t="inlineStr">
        <is>
          <t>Scheme Risk-O-Meter Level- November'25</t>
        </is>
      </c>
      <c r="M4" t="inlineStr">
        <is>
          <t>Benchmark Risk-O-Meter Level- November'25</t>
        </is>
      </c>
      <c r="N4" t="inlineStr">
        <is>
          <t>Scheme Risk-O-Meter Level- October'25</t>
        </is>
      </c>
      <c r="O4" t="inlineStr">
        <is>
          <t>Benchmark Risk-O-Meter Level- October'25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11184680</v>
      </c>
      <c r="F7" t="n">
        <v>112696.84</v>
      </c>
      <c r="G7" t="n">
        <v>8.09</v>
      </c>
      <c r="I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6400550</v>
      </c>
      <c r="F8" t="n">
        <v>88890.84</v>
      </c>
      <c r="G8" t="n">
        <v>6.38</v>
      </c>
      <c r="I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3773362</v>
      </c>
      <c r="F9" t="n">
        <v>59147.45</v>
      </c>
      <c r="G9" t="n">
        <v>4.25</v>
      </c>
      <c r="I9" t="inlineStr">
        <is>
          <t>Large Cap</t>
        </is>
      </c>
    </row>
    <row r="10">
      <c r="B10" t="inlineStr">
        <is>
          <t>Bharti Airtel Ltd</t>
        </is>
      </c>
      <c r="C10" t="inlineStr">
        <is>
          <t>INE397D01024</t>
        </is>
      </c>
      <c r="D10" t="inlineStr">
        <is>
          <t>Telecom - Services</t>
        </is>
      </c>
      <c r="E10" t="n">
        <v>2201904</v>
      </c>
      <c r="F10" t="n">
        <v>46275.21</v>
      </c>
      <c r="G10" t="n">
        <v>3.32</v>
      </c>
      <c r="I10" t="inlineStr">
        <is>
          <t>Large Cap</t>
        </is>
      </c>
    </row>
    <row r="11">
      <c r="B11" t="inlineStr">
        <is>
          <t>Infosys Ltd</t>
        </is>
      </c>
      <c r="C11" t="inlineStr">
        <is>
          <t>INE009A01021</t>
        </is>
      </c>
      <c r="D11" t="inlineStr">
        <is>
          <t>IT - Software</t>
        </is>
      </c>
      <c r="E11" t="n">
        <v>2921688</v>
      </c>
      <c r="F11" t="n">
        <v>45581.25</v>
      </c>
      <c r="G11" t="n">
        <v>3.27</v>
      </c>
      <c r="I11" t="inlineStr">
        <is>
          <t>Large Cap</t>
        </is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4582797</v>
      </c>
      <c r="F12" t="n">
        <v>44865.58</v>
      </c>
      <c r="G12" t="n">
        <v>3.22</v>
      </c>
      <c r="I12" t="inlineStr">
        <is>
          <t>Large Cap</t>
        </is>
      </c>
    </row>
    <row r="13">
      <c r="B13" t="inlineStr">
        <is>
          <t>Larsen &amp; Toubro Ltd</t>
        </is>
      </c>
      <c r="C13" t="inlineStr">
        <is>
          <t>INE018A01030</t>
        </is>
      </c>
      <c r="D13" t="inlineStr">
        <is>
          <t>Construction</t>
        </is>
      </c>
      <c r="E13" t="n">
        <v>1048270</v>
      </c>
      <c r="F13" t="n">
        <v>42660.4</v>
      </c>
      <c r="G13" t="n">
        <v>3.06</v>
      </c>
      <c r="I13" t="inlineStr">
        <is>
          <t>Large Cap</t>
        </is>
      </c>
      <c r="M13" t="inlineStr">
        <is>
          <t>Benchmark: BSE 500 TRI</t>
        </is>
      </c>
    </row>
    <row r="14">
      <c r="B14" t="inlineStr">
        <is>
          <t>Mahindra &amp; Mahindra Ltd</t>
        </is>
      </c>
      <c r="C14" t="inlineStr">
        <is>
          <t>INE101A01026</t>
        </is>
      </c>
      <c r="D14" t="inlineStr">
        <is>
          <t>Automobiles</t>
        </is>
      </c>
      <c r="E14" t="n">
        <v>1023515</v>
      </c>
      <c r="F14" t="n">
        <v>38456.53</v>
      </c>
      <c r="G14" t="n">
        <v>2.76</v>
      </c>
      <c r="I14" t="inlineStr">
        <is>
          <t>Large Cap</t>
        </is>
      </c>
    </row>
    <row r="15">
      <c r="B15" t="inlineStr">
        <is>
          <t>Bajaj Finance Ltd</t>
        </is>
      </c>
      <c r="C15" t="inlineStr">
        <is>
          <t>INE296A01032</t>
        </is>
      </c>
      <c r="D15" t="inlineStr">
        <is>
          <t>Finance</t>
        </is>
      </c>
      <c r="E15" t="n">
        <v>3359960</v>
      </c>
      <c r="F15" t="n">
        <v>34859.59</v>
      </c>
      <c r="G15" t="n">
        <v>2.5</v>
      </c>
      <c r="I15" t="inlineStr">
        <is>
          <t>Large Cap</t>
        </is>
      </c>
    </row>
    <row r="16">
      <c r="B16" t="inlineStr">
        <is>
          <t>Eternal Ltd</t>
        </is>
      </c>
      <c r="C16" t="inlineStr">
        <is>
          <t>INE758T01015</t>
        </is>
      </c>
      <c r="D16" t="inlineStr">
        <is>
          <t>Retailing</t>
        </is>
      </c>
      <c r="E16" t="n">
        <v>11253000</v>
      </c>
      <c r="F16" t="n">
        <v>33770.25</v>
      </c>
      <c r="G16" t="n">
        <v>2.42</v>
      </c>
      <c r="I16" t="inlineStr">
        <is>
          <t>Large Cap</t>
        </is>
      </c>
    </row>
    <row r="17">
      <c r="B17" t="inlineStr">
        <is>
          <t>ITC Ltd</t>
        </is>
      </c>
      <c r="C17" t="inlineStr">
        <is>
          <t>INE154A01025</t>
        </is>
      </c>
      <c r="D17" t="inlineStr">
        <is>
          <t>Diversified Fmcg</t>
        </is>
      </c>
      <c r="E17" t="n">
        <v>6700000</v>
      </c>
      <c r="F17" t="n">
        <v>27084.75</v>
      </c>
      <c r="G17" t="n">
        <v>1.94</v>
      </c>
      <c r="I17" t="inlineStr">
        <is>
          <t>Large Cap</t>
        </is>
      </c>
    </row>
    <row r="18">
      <c r="B18" t="inlineStr">
        <is>
          <t>Sun Pharmaceutical Industries Ltd</t>
        </is>
      </c>
      <c r="C18" t="inlineStr">
        <is>
          <t>INE044A01036</t>
        </is>
      </c>
      <c r="D18" t="inlineStr">
        <is>
          <t>Pharmaceuticals &amp; Biotechnology</t>
        </is>
      </c>
      <c r="E18" t="n">
        <v>1387895</v>
      </c>
      <c r="F18" t="n">
        <v>25420.68</v>
      </c>
      <c r="G18" t="n">
        <v>1.83</v>
      </c>
      <c r="I18" t="inlineStr">
        <is>
          <t>Large Cap</t>
        </is>
      </c>
    </row>
    <row r="19">
      <c r="B19" t="inlineStr">
        <is>
          <t>Axis Bank Ltd</t>
        </is>
      </c>
      <c r="C19" t="inlineStr">
        <is>
          <t>INE238A01034</t>
        </is>
      </c>
      <c r="D19" t="inlineStr">
        <is>
          <t>Banks</t>
        </is>
      </c>
      <c r="E19" t="n">
        <v>1913600</v>
      </c>
      <c r="F19" t="n">
        <v>24488.34</v>
      </c>
      <c r="G19" t="n">
        <v>1.76</v>
      </c>
      <c r="I19" t="inlineStr">
        <is>
          <t>Large Cap</t>
        </is>
      </c>
    </row>
    <row r="20">
      <c r="B20" t="inlineStr">
        <is>
          <t>Ge Vernova T&amp;D India Ltd</t>
        </is>
      </c>
      <c r="C20" t="inlineStr">
        <is>
          <t>INE200A01026</t>
        </is>
      </c>
      <c r="D20" t="inlineStr">
        <is>
          <t>Electrical Equipment</t>
        </is>
      </c>
      <c r="E20" t="n">
        <v>845779</v>
      </c>
      <c r="F20" t="n">
        <v>24370.28</v>
      </c>
      <c r="G20" t="n">
        <v>1.75</v>
      </c>
      <c r="I20" t="inlineStr">
        <is>
          <t>Mid Cap</t>
        </is>
      </c>
    </row>
    <row r="21">
      <c r="B21" t="inlineStr">
        <is>
          <t>Bharat Electronics Ltd</t>
        </is>
      </c>
      <c r="C21" t="inlineStr">
        <is>
          <t>INE263A01024</t>
        </is>
      </c>
      <c r="D21" t="inlineStr">
        <is>
          <t>Aerospace &amp; Defense</t>
        </is>
      </c>
      <c r="E21" t="n">
        <v>5745000</v>
      </c>
      <c r="F21" t="n">
        <v>23655.04</v>
      </c>
      <c r="G21" t="n">
        <v>1.7</v>
      </c>
      <c r="I21" t="inlineStr">
        <is>
          <t>Large Cap</t>
        </is>
      </c>
    </row>
    <row r="22">
      <c r="B22" t="inlineStr">
        <is>
          <t>TVS Motor Co Ltd</t>
        </is>
      </c>
      <c r="C22" t="inlineStr">
        <is>
          <t>INE494B01023</t>
        </is>
      </c>
      <c r="D22" t="inlineStr">
        <is>
          <t>Automobiles</t>
        </is>
      </c>
      <c r="E22" t="n">
        <v>664011</v>
      </c>
      <c r="F22" t="n">
        <v>23449.55</v>
      </c>
      <c r="G22" t="n">
        <v>1.68</v>
      </c>
      <c r="I22" t="inlineStr">
        <is>
          <t>Large Cap</t>
        </is>
      </c>
    </row>
    <row r="23">
      <c r="B23" t="inlineStr">
        <is>
          <t>Uno Minda Ltd</t>
        </is>
      </c>
      <c r="C23" t="inlineStr">
        <is>
          <t>INE405E01023</t>
        </is>
      </c>
      <c r="D23" t="inlineStr">
        <is>
          <t>Auto Components</t>
        </is>
      </c>
      <c r="E23" t="n">
        <v>1689985</v>
      </c>
      <c r="F23" t="n">
        <v>22084.72</v>
      </c>
      <c r="G23" t="n">
        <v>1.59</v>
      </c>
      <c r="I23" t="inlineStr">
        <is>
          <t>Mid Cap</t>
        </is>
      </c>
    </row>
    <row r="24">
      <c r="B24" t="inlineStr">
        <is>
          <t>Tata Consumer Products Ltd</t>
        </is>
      </c>
      <c r="C24" t="inlineStr">
        <is>
          <t>INE192A01025</t>
        </is>
      </c>
      <c r="D24" t="inlineStr">
        <is>
          <t>Agricultural Food &amp; Other Products</t>
        </is>
      </c>
      <c r="E24" t="n">
        <v>1802276</v>
      </c>
      <c r="F24" t="n">
        <v>21129.88</v>
      </c>
      <c r="G24" t="n">
        <v>1.52</v>
      </c>
      <c r="I24" t="inlineStr">
        <is>
          <t>Large Cap</t>
        </is>
      </c>
    </row>
    <row r="25">
      <c r="B25" t="inlineStr">
        <is>
          <t>Interglobe Aviation Ltd</t>
        </is>
      </c>
      <c r="C25" t="inlineStr">
        <is>
          <t>INE646L01027</t>
        </is>
      </c>
      <c r="D25" t="inlineStr">
        <is>
          <t>Transport Services</t>
        </is>
      </c>
      <c r="E25" t="n">
        <v>345011</v>
      </c>
      <c r="F25" t="n">
        <v>20360.82</v>
      </c>
      <c r="G25" t="n">
        <v>1.46</v>
      </c>
      <c r="I25" t="inlineStr">
        <is>
          <t>Large Cap</t>
        </is>
      </c>
    </row>
    <row r="26">
      <c r="B26" t="inlineStr">
        <is>
          <t>Divi's Laboratories Ltd</t>
        </is>
      </c>
      <c r="C26" t="inlineStr">
        <is>
          <t>INE361B01024</t>
        </is>
      </c>
      <c r="D26" t="inlineStr">
        <is>
          <t>Pharmaceuticals &amp; Biotechnology</t>
        </is>
      </c>
      <c r="E26" t="n">
        <v>310114</v>
      </c>
      <c r="F26" t="n">
        <v>20086.08</v>
      </c>
      <c r="G26" t="n">
        <v>1.44</v>
      </c>
      <c r="I26" t="inlineStr">
        <is>
          <t>Large Cap</t>
        </is>
      </c>
    </row>
    <row r="27">
      <c r="B27" t="inlineStr">
        <is>
          <t>Varun Beverages Ltd</t>
        </is>
      </c>
      <c r="C27" t="inlineStr">
        <is>
          <t>INE200M01039</t>
        </is>
      </c>
      <c r="D27" t="inlineStr">
        <is>
          <t>Beverages</t>
        </is>
      </c>
      <c r="E27" t="n">
        <v>4066557</v>
      </c>
      <c r="F27" t="n">
        <v>19582.51</v>
      </c>
      <c r="G27" t="n">
        <v>1.41</v>
      </c>
      <c r="I27" t="inlineStr">
        <is>
          <t>Large Cap</t>
        </is>
      </c>
    </row>
    <row r="28">
      <c r="B28" t="inlineStr">
        <is>
          <t>Indian Hotels Co Ltd</t>
        </is>
      </c>
      <c r="C28" t="inlineStr">
        <is>
          <t>INE053A01029</t>
        </is>
      </c>
      <c r="D28" t="inlineStr">
        <is>
          <t>Leisure Services</t>
        </is>
      </c>
      <c r="E28" t="n">
        <v>2581768</v>
      </c>
      <c r="F28" t="n">
        <v>19216.1</v>
      </c>
      <c r="G28" t="n">
        <v>1.38</v>
      </c>
      <c r="I28" t="inlineStr">
        <is>
          <t>Large Cap</t>
        </is>
      </c>
    </row>
    <row r="29">
      <c r="B29" t="inlineStr">
        <is>
          <t>Tech Mahindra Ltd</t>
        </is>
      </c>
      <c r="C29" t="inlineStr">
        <is>
          <t>INE669C01036</t>
        </is>
      </c>
      <c r="D29" t="inlineStr">
        <is>
          <t>IT - Software</t>
        </is>
      </c>
      <c r="E29" t="n">
        <v>1195000</v>
      </c>
      <c r="F29" t="n">
        <v>18131.74</v>
      </c>
      <c r="G29" t="n">
        <v>1.3</v>
      </c>
      <c r="I29" t="inlineStr">
        <is>
          <t>Large Cap</t>
        </is>
      </c>
    </row>
    <row r="30">
      <c r="B30" t="inlineStr">
        <is>
          <t>Titan Co Ltd</t>
        </is>
      </c>
      <c r="C30" t="inlineStr">
        <is>
          <t>INE280A01028</t>
        </is>
      </c>
      <c r="D30" t="inlineStr">
        <is>
          <t>Consumer Durables</t>
        </is>
      </c>
      <c r="E30" t="n">
        <v>458336</v>
      </c>
      <c r="F30" t="n">
        <v>17910.4</v>
      </c>
      <c r="G30" t="n">
        <v>1.29</v>
      </c>
      <c r="I30" t="inlineStr">
        <is>
          <t>Large Cap</t>
        </is>
      </c>
    </row>
    <row r="31">
      <c r="B31" t="inlineStr">
        <is>
          <t>Max Healthcare Institute Ltd</t>
        </is>
      </c>
      <c r="C31" t="inlineStr">
        <is>
          <t>INE027H01010</t>
        </is>
      </c>
      <c r="D31" t="inlineStr">
        <is>
          <t>Healthcare Services</t>
        </is>
      </c>
      <c r="E31" t="n">
        <v>1515998</v>
      </c>
      <c r="F31" t="n">
        <v>17628.02</v>
      </c>
      <c r="G31" t="n">
        <v>1.27</v>
      </c>
      <c r="I31" t="inlineStr">
        <is>
          <t>Large Cap</t>
        </is>
      </c>
    </row>
    <row r="32">
      <c r="B32" t="inlineStr">
        <is>
          <t>Maruti Suzuki India Ltd</t>
        </is>
      </c>
      <c r="C32" t="inlineStr">
        <is>
          <t>INE585B01010</t>
        </is>
      </c>
      <c r="D32" t="inlineStr">
        <is>
          <t>Automobiles</t>
        </is>
      </c>
      <c r="E32" t="n">
        <v>108917</v>
      </c>
      <c r="F32" t="n">
        <v>17317.8</v>
      </c>
      <c r="G32" t="n">
        <v>1.24</v>
      </c>
      <c r="I32" t="inlineStr">
        <is>
          <t>Large Cap</t>
        </is>
      </c>
    </row>
    <row r="33">
      <c r="B33" t="inlineStr">
        <is>
          <t>SBI Life Insurance Co Ltd</t>
        </is>
      </c>
      <c r="C33" t="inlineStr">
        <is>
          <t>INE123W01016</t>
        </is>
      </c>
      <c r="D33" t="inlineStr">
        <is>
          <t>Insurance</t>
        </is>
      </c>
      <c r="E33" t="n">
        <v>856889</v>
      </c>
      <c r="F33" t="n">
        <v>16846.44</v>
      </c>
      <c r="G33" t="n">
        <v>1.21</v>
      </c>
      <c r="I33" t="inlineStr">
        <is>
          <t>Large Cap</t>
        </is>
      </c>
    </row>
    <row r="34">
      <c r="B34" t="inlineStr">
        <is>
          <t>Cholamandalam Investment and Finance Co Ltd</t>
        </is>
      </c>
      <c r="C34" t="inlineStr">
        <is>
          <t>INE121A01024</t>
        </is>
      </c>
      <c r="D34" t="inlineStr">
        <is>
          <t>Finance</t>
        </is>
      </c>
      <c r="E34" t="n">
        <v>946351</v>
      </c>
      <c r="F34" t="n">
        <v>16428.65</v>
      </c>
      <c r="G34" t="n">
        <v>1.18</v>
      </c>
      <c r="I34" t="inlineStr">
        <is>
          <t>Large Cap</t>
        </is>
      </c>
    </row>
    <row r="35">
      <c r="B35" t="inlineStr">
        <is>
          <t>NTPC Ltd</t>
        </is>
      </c>
      <c r="C35" t="inlineStr">
        <is>
          <t>INE733E01010</t>
        </is>
      </c>
      <c r="D35" t="inlineStr">
        <is>
          <t>Power</t>
        </is>
      </c>
      <c r="E35" t="n">
        <v>5017665</v>
      </c>
      <c r="F35" t="n">
        <v>16380.17</v>
      </c>
      <c r="G35" t="n">
        <v>1.18</v>
      </c>
      <c r="I35" t="inlineStr">
        <is>
          <t>Large Cap</t>
        </is>
      </c>
    </row>
    <row r="36">
      <c r="B36" t="inlineStr">
        <is>
          <t>KEI Industries Ltd</t>
        </is>
      </c>
      <c r="C36" t="inlineStr">
        <is>
          <t>INE878B01027</t>
        </is>
      </c>
      <c r="D36" t="inlineStr">
        <is>
          <t>Industrial Products</t>
        </is>
      </c>
      <c r="E36" t="n">
        <v>392687</v>
      </c>
      <c r="F36" t="n">
        <v>16279.23</v>
      </c>
      <c r="G36" t="n">
        <v>1.17</v>
      </c>
      <c r="I36" t="inlineStr">
        <is>
          <t>Mid Cap</t>
        </is>
      </c>
    </row>
    <row r="37">
      <c r="B37" t="inlineStr">
        <is>
          <t>J.K. Cement Ltd</t>
        </is>
      </c>
      <c r="C37" t="inlineStr">
        <is>
          <t>INE823G01014</t>
        </is>
      </c>
      <c r="D37" t="inlineStr">
        <is>
          <t>Cement &amp; Cement Products</t>
        </is>
      </c>
      <c r="E37" t="n">
        <v>274783</v>
      </c>
      <c r="F37" t="n">
        <v>15822.01</v>
      </c>
      <c r="G37" t="n">
        <v>1.14</v>
      </c>
      <c r="I37" t="inlineStr">
        <is>
          <t>Mid Cap</t>
        </is>
      </c>
    </row>
    <row r="38">
      <c r="B38" t="inlineStr">
        <is>
          <t>Mankind Pharma Ltd</t>
        </is>
      </c>
      <c r="C38" t="inlineStr">
        <is>
          <t>INE634S01028</t>
        </is>
      </c>
      <c r="D38" t="inlineStr">
        <is>
          <t>Pharmaceuticals &amp; Biotechnology</t>
        </is>
      </c>
      <c r="E38" t="n">
        <v>693772</v>
      </c>
      <c r="F38" t="n">
        <v>15616.81</v>
      </c>
      <c r="G38" t="n">
        <v>1.12</v>
      </c>
      <c r="I38" t="inlineStr">
        <is>
          <t>Large Cap</t>
        </is>
      </c>
    </row>
    <row r="39">
      <c r="B39" t="inlineStr">
        <is>
          <t>PB Fintech Ltd</t>
        </is>
      </c>
      <c r="C39" t="inlineStr">
        <is>
          <t>INE417T01026</t>
        </is>
      </c>
      <c r="D39" t="inlineStr">
        <is>
          <t>Financial Technology (Fintech)</t>
        </is>
      </c>
      <c r="E39" t="n">
        <v>851481</v>
      </c>
      <c r="F39" t="n">
        <v>15487.59</v>
      </c>
      <c r="G39" t="n">
        <v>1.11</v>
      </c>
      <c r="I39" t="inlineStr">
        <is>
          <t>Mid Cap</t>
        </is>
      </c>
    </row>
    <row r="40">
      <c r="B40" t="inlineStr">
        <is>
          <t>Multi Commodity Exchange Of India Ltd</t>
        </is>
      </c>
      <c r="C40" t="inlineStr">
        <is>
          <t>INE745G01035</t>
        </is>
      </c>
      <c r="D40" t="inlineStr">
        <is>
          <t>Capital Markets</t>
        </is>
      </c>
      <c r="E40" t="n">
        <v>152344</v>
      </c>
      <c r="F40" t="n">
        <v>15346.37</v>
      </c>
      <c r="G40" t="n">
        <v>1.1</v>
      </c>
      <c r="I40" t="inlineStr">
        <is>
          <t>Mid Cap</t>
        </is>
      </c>
    </row>
    <row r="41">
      <c r="B41" t="inlineStr">
        <is>
          <t>PI Industries Ltd</t>
        </is>
      </c>
      <c r="C41" t="inlineStr">
        <is>
          <t>INE603J01030</t>
        </is>
      </c>
      <c r="D41" t="inlineStr">
        <is>
          <t>Fertilizers &amp; Agrochemicals</t>
        </is>
      </c>
      <c r="E41" t="n">
        <v>427253</v>
      </c>
      <c r="F41" t="n">
        <v>14507.8</v>
      </c>
      <c r="G41" t="n">
        <v>1.04</v>
      </c>
      <c r="I41" t="inlineStr">
        <is>
          <t>Mid Cap</t>
        </is>
      </c>
    </row>
    <row r="42">
      <c r="B42" t="inlineStr">
        <is>
          <t>Oberoi Realty Ltd</t>
        </is>
      </c>
      <c r="C42" t="inlineStr">
        <is>
          <t>INE093I01010</t>
        </is>
      </c>
      <c r="D42" t="inlineStr">
        <is>
          <t>Realty</t>
        </is>
      </c>
      <c r="E42" t="n">
        <v>878560</v>
      </c>
      <c r="F42" t="n">
        <v>14471.64</v>
      </c>
      <c r="G42" t="n">
        <v>1.04</v>
      </c>
      <c r="I42" t="inlineStr">
        <is>
          <t>Mid Cap</t>
        </is>
      </c>
    </row>
    <row r="43">
      <c r="B43" t="inlineStr">
        <is>
          <t>Ultratech Cement Ltd</t>
        </is>
      </c>
      <c r="C43" t="inlineStr">
        <is>
          <t>INE481G01011</t>
        </is>
      </c>
      <c r="D43" t="inlineStr">
        <is>
          <t>Cement &amp; Cement Products</t>
        </is>
      </c>
      <c r="E43" t="n">
        <v>121068</v>
      </c>
      <c r="F43" t="n">
        <v>14043.89</v>
      </c>
      <c r="G43" t="n">
        <v>1.01</v>
      </c>
      <c r="I43" t="inlineStr">
        <is>
          <t>Large Cap</t>
        </is>
      </c>
    </row>
    <row r="44">
      <c r="B44" t="inlineStr">
        <is>
          <t>Tata Consultancy Services Ltd</t>
        </is>
      </c>
      <c r="C44" t="inlineStr">
        <is>
          <t>INE467B01029</t>
        </is>
      </c>
      <c r="D44" t="inlineStr">
        <is>
          <t>IT - Software</t>
        </is>
      </c>
      <c r="E44" t="n">
        <v>431760</v>
      </c>
      <c r="F44" t="n">
        <v>13546.47</v>
      </c>
      <c r="G44" t="n">
        <v>0.97</v>
      </c>
      <c r="I44" t="inlineStr">
        <is>
          <t>Large Cap</t>
        </is>
      </c>
    </row>
    <row r="45">
      <c r="B45" t="inlineStr">
        <is>
          <t>Vishal Mega Mart Ltd</t>
        </is>
      </c>
      <c r="C45" t="inlineStr">
        <is>
          <t>INE01EA01019</t>
        </is>
      </c>
      <c r="D45" t="inlineStr">
        <is>
          <t>Retailing</t>
        </is>
      </c>
      <c r="E45" t="n">
        <v>9805158</v>
      </c>
      <c r="F45" t="n">
        <v>13315.4</v>
      </c>
      <c r="G45" t="n">
        <v>0.96</v>
      </c>
      <c r="I45" t="inlineStr">
        <is>
          <t>Mid Cap</t>
        </is>
      </c>
    </row>
    <row r="46">
      <c r="B46" t="inlineStr">
        <is>
          <t>Trent Ltd</t>
        </is>
      </c>
      <c r="C46" t="inlineStr">
        <is>
          <t>INE849A01020</t>
        </is>
      </c>
      <c r="D46" t="inlineStr">
        <is>
          <t>Retailing</t>
        </is>
      </c>
      <c r="E46" t="n">
        <v>307397</v>
      </c>
      <c r="F46" t="n">
        <v>13065.6</v>
      </c>
      <c r="G46" t="n">
        <v>0.9399999999999999</v>
      </c>
      <c r="I46" t="inlineStr">
        <is>
          <t>Large Cap</t>
        </is>
      </c>
    </row>
    <row r="47">
      <c r="B47" t="inlineStr">
        <is>
          <t>HDFC Asset Management Co Ltd</t>
        </is>
      </c>
      <c r="C47" t="inlineStr">
        <is>
          <t>INE127D01025</t>
        </is>
      </c>
      <c r="D47" t="inlineStr">
        <is>
          <t>Capital Markets</t>
        </is>
      </c>
      <c r="E47" t="n">
        <v>487786</v>
      </c>
      <c r="F47" t="n">
        <v>13038.52</v>
      </c>
      <c r="G47" t="n">
        <v>0.9399999999999999</v>
      </c>
      <c r="I47" t="inlineStr">
        <is>
          <t>Mid Cap</t>
        </is>
      </c>
    </row>
    <row r="48">
      <c r="B48" t="inlineStr">
        <is>
          <t>FSN E-Commerce Ventures Ltd</t>
        </is>
      </c>
      <c r="C48" t="inlineStr">
        <is>
          <t>INE388Y01029</t>
        </is>
      </c>
      <c r="D48" t="inlineStr">
        <is>
          <t>Retailing</t>
        </is>
      </c>
      <c r="E48" t="n">
        <v>4872698</v>
      </c>
      <c r="F48" t="n">
        <v>13025.21</v>
      </c>
      <c r="G48" t="n">
        <v>0.9399999999999999</v>
      </c>
      <c r="I48" t="inlineStr">
        <is>
          <t>Mid Cap</t>
        </is>
      </c>
    </row>
    <row r="49">
      <c r="B49" t="inlineStr">
        <is>
          <t>CG Power and Industrial Solutions Ltd</t>
        </is>
      </c>
      <c r="C49" t="inlineStr">
        <is>
          <t>INE067A01029</t>
        </is>
      </c>
      <c r="D49" t="inlineStr">
        <is>
          <t>Electrical Equipment</t>
        </is>
      </c>
      <c r="E49" t="n">
        <v>1934326</v>
      </c>
      <c r="F49" t="n">
        <v>13016.08</v>
      </c>
      <c r="G49" t="n">
        <v>0.93</v>
      </c>
      <c r="I49" t="inlineStr">
        <is>
          <t>Large Cap</t>
        </is>
      </c>
    </row>
    <row r="50">
      <c r="B50" t="inlineStr">
        <is>
          <t>Tata Power Co Ltd</t>
        </is>
      </c>
      <c r="C50" t="inlineStr">
        <is>
          <t>INE245A01021</t>
        </is>
      </c>
      <c r="D50" t="inlineStr">
        <is>
          <t>Power</t>
        </is>
      </c>
      <c r="E50" t="n">
        <v>3328673</v>
      </c>
      <c r="F50" t="n">
        <v>12985.15</v>
      </c>
      <c r="G50" t="n">
        <v>0.93</v>
      </c>
      <c r="I50" t="inlineStr">
        <is>
          <t>Large Cap</t>
        </is>
      </c>
    </row>
    <row r="51">
      <c r="B51" t="inlineStr">
        <is>
          <t>Samvardhana Motherson International Ltd</t>
        </is>
      </c>
      <c r="C51" t="inlineStr">
        <is>
          <t>INE775A01035</t>
        </is>
      </c>
      <c r="D51" t="inlineStr">
        <is>
          <t>Auto Components</t>
        </is>
      </c>
      <c r="E51" t="n">
        <v>10370017</v>
      </c>
      <c r="F51" t="n">
        <v>12061.37</v>
      </c>
      <c r="G51" t="n">
        <v>0.87</v>
      </c>
      <c r="I51" t="inlineStr">
        <is>
          <t>Large Cap</t>
        </is>
      </c>
    </row>
    <row r="52">
      <c r="B52" t="inlineStr">
        <is>
          <t>Max Financial Services Ltd</t>
        </is>
      </c>
      <c r="C52" t="inlineStr">
        <is>
          <t>INE180A01020</t>
        </is>
      </c>
      <c r="D52" t="inlineStr">
        <is>
          <t>Insurance</t>
        </is>
      </c>
      <c r="E52" t="n">
        <v>695034</v>
      </c>
      <c r="F52" t="n">
        <v>11830.17</v>
      </c>
      <c r="G52" t="n">
        <v>0.85</v>
      </c>
      <c r="I52" t="inlineStr">
        <is>
          <t>Mid Cap</t>
        </is>
      </c>
    </row>
    <row r="53">
      <c r="B53" t="inlineStr">
        <is>
          <t>Cummins India Ltd</t>
        </is>
      </c>
      <c r="C53" t="inlineStr">
        <is>
          <t>INE298A01020</t>
        </is>
      </c>
      <c r="D53" t="inlineStr">
        <is>
          <t>Industrial Products</t>
        </is>
      </c>
      <c r="E53" t="n">
        <v>258000</v>
      </c>
      <c r="F53" t="n">
        <v>11556.59</v>
      </c>
      <c r="G53" t="n">
        <v>0.83</v>
      </c>
      <c r="I53" t="inlineStr">
        <is>
          <t>Mid Cap</t>
        </is>
      </c>
    </row>
    <row r="54">
      <c r="B54" t="inlineStr">
        <is>
          <t>Vinati Organics Ltd</t>
        </is>
      </c>
      <c r="C54" t="inlineStr">
        <is>
          <t>INE410B01037</t>
        </is>
      </c>
      <c r="D54" t="inlineStr">
        <is>
          <t>Chemicals &amp; Petrochemicals</t>
        </is>
      </c>
      <c r="E54" t="n">
        <v>718956</v>
      </c>
      <c r="F54" t="n">
        <v>11357.35</v>
      </c>
      <c r="G54" t="n">
        <v>0.82</v>
      </c>
      <c r="I54" t="inlineStr">
        <is>
          <t>Small Cap</t>
        </is>
      </c>
    </row>
    <row r="55">
      <c r="B55" t="inlineStr">
        <is>
          <t>Hindustan Aeronautics Ltd</t>
        </is>
      </c>
      <c r="C55" t="inlineStr">
        <is>
          <t>INE066F01020</t>
        </is>
      </c>
      <c r="D55" t="inlineStr">
        <is>
          <t>Aerospace &amp; Defense</t>
        </is>
      </c>
      <c r="E55" t="n">
        <v>221969</v>
      </c>
      <c r="F55" t="n">
        <v>10082.72</v>
      </c>
      <c r="G55" t="n">
        <v>0.72</v>
      </c>
      <c r="I55" t="inlineStr">
        <is>
          <t>Large Cap</t>
        </is>
      </c>
    </row>
    <row r="56">
      <c r="B56" t="inlineStr">
        <is>
          <t>Abbott India Ltd</t>
        </is>
      </c>
      <c r="C56" t="inlineStr">
        <is>
          <t>INE358A01014</t>
        </is>
      </c>
      <c r="D56" t="inlineStr">
        <is>
          <t>Pharmaceuticals &amp; Biotechnology</t>
        </is>
      </c>
      <c r="E56" t="n">
        <v>32022</v>
      </c>
      <c r="F56" t="n">
        <v>9630.620000000001</v>
      </c>
      <c r="G56" t="n">
        <v>0.6899999999999999</v>
      </c>
      <c r="I56" t="inlineStr">
        <is>
          <t>Mid Cap</t>
        </is>
      </c>
    </row>
    <row r="57">
      <c r="B57" t="inlineStr">
        <is>
          <t>Godrej Consumer Products Ltd</t>
        </is>
      </c>
      <c r="C57" t="inlineStr">
        <is>
          <t>INE102D01028</t>
        </is>
      </c>
      <c r="D57" t="inlineStr">
        <is>
          <t>Personal Products</t>
        </is>
      </c>
      <c r="E57" t="n">
        <v>835468</v>
      </c>
      <c r="F57" t="n">
        <v>9571.120000000001</v>
      </c>
      <c r="G57" t="n">
        <v>0.6899999999999999</v>
      </c>
      <c r="I57" t="inlineStr">
        <is>
          <t>Large Cap</t>
        </is>
      </c>
    </row>
    <row r="58">
      <c r="B58" t="inlineStr">
        <is>
          <t>Info Edge (India) Ltd</t>
        </is>
      </c>
      <c r="C58" t="inlineStr">
        <is>
          <t>INE663F01032</t>
        </is>
      </c>
      <c r="D58" t="inlineStr">
        <is>
          <t>Retailing</t>
        </is>
      </c>
      <c r="E58" t="n">
        <v>694050</v>
      </c>
      <c r="F58" t="n">
        <v>9232.25</v>
      </c>
      <c r="G58" t="n">
        <v>0.66</v>
      </c>
      <c r="I58" t="inlineStr">
        <is>
          <t>Large Cap</t>
        </is>
      </c>
    </row>
    <row r="59">
      <c r="B59" t="inlineStr">
        <is>
          <t>Hindustan Unilever Ltd</t>
        </is>
      </c>
      <c r="C59" t="inlineStr">
        <is>
          <t>INE030A01027</t>
        </is>
      </c>
      <c r="D59" t="inlineStr">
        <is>
          <t>Diversified Fmcg</t>
        </is>
      </c>
      <c r="E59" t="n">
        <v>339400</v>
      </c>
      <c r="F59" t="n">
        <v>8371.639999999999</v>
      </c>
      <c r="G59" t="n">
        <v>0.6</v>
      </c>
      <c r="I59" t="inlineStr">
        <is>
          <t>Large Cap</t>
        </is>
      </c>
    </row>
    <row r="60">
      <c r="B60" t="inlineStr">
        <is>
          <t>Coforge Ltd</t>
        </is>
      </c>
      <c r="C60" t="inlineStr">
        <is>
          <t>INE591G01025</t>
        </is>
      </c>
      <c r="D60" t="inlineStr">
        <is>
          <t>IT - Software</t>
        </is>
      </c>
      <c r="E60" t="n">
        <v>430929</v>
      </c>
      <c r="F60" t="n">
        <v>8225.139999999999</v>
      </c>
      <c r="G60" t="n">
        <v>0.59</v>
      </c>
      <c r="I60" t="inlineStr">
        <is>
          <t>Mid Cap</t>
        </is>
      </c>
    </row>
    <row r="61">
      <c r="B61" t="inlineStr">
        <is>
          <t>Hindalco Industries Ltd</t>
        </is>
      </c>
      <c r="C61" t="inlineStr">
        <is>
          <t>INE038A01020</t>
        </is>
      </c>
      <c r="D61" t="inlineStr">
        <is>
          <t>Non - Ferrous Metals</t>
        </is>
      </c>
      <c r="E61" t="n">
        <v>995331</v>
      </c>
      <c r="F61" t="n">
        <v>8046.26</v>
      </c>
      <c r="G61" t="n">
        <v>0.58</v>
      </c>
      <c r="I61" t="inlineStr">
        <is>
          <t>Large Cap</t>
        </is>
      </c>
    </row>
    <row r="62">
      <c r="B62" t="inlineStr">
        <is>
          <t>KPIT Technologies Ltd</t>
        </is>
      </c>
      <c r="C62" t="inlineStr">
        <is>
          <t>INE04I401011</t>
        </is>
      </c>
      <c r="D62" t="inlineStr">
        <is>
          <t>IT - Software</t>
        </is>
      </c>
      <c r="E62" t="n">
        <v>639978</v>
      </c>
      <c r="F62" t="n">
        <v>7823.09</v>
      </c>
      <c r="G62" t="n">
        <v>0.5600000000000001</v>
      </c>
      <c r="I62" t="inlineStr">
        <is>
          <t>Mid Cap</t>
        </is>
      </c>
    </row>
    <row r="63">
      <c r="B63" t="inlineStr">
        <is>
          <t>Crompton Greaves Consumer Electricals Ltd</t>
        </is>
      </c>
      <c r="C63" t="inlineStr">
        <is>
          <t>INE299U01018</t>
        </is>
      </c>
      <c r="D63" t="inlineStr">
        <is>
          <t>Consumer Durables</t>
        </is>
      </c>
      <c r="E63" t="n">
        <v>2830000</v>
      </c>
      <c r="F63" t="n">
        <v>7509.41</v>
      </c>
      <c r="G63" t="n">
        <v>0.54</v>
      </c>
      <c r="I63" t="inlineStr">
        <is>
          <t>Small Cap</t>
        </is>
      </c>
    </row>
    <row r="64">
      <c r="B64" t="inlineStr">
        <is>
          <t>HCL Technologies Ltd</t>
        </is>
      </c>
      <c r="C64" t="inlineStr">
        <is>
          <t>INE860A01027</t>
        </is>
      </c>
      <c r="D64" t="inlineStr">
        <is>
          <t>IT - Software</t>
        </is>
      </c>
      <c r="E64" t="n">
        <v>453422</v>
      </c>
      <c r="F64" t="n">
        <v>7364.48</v>
      </c>
      <c r="G64" t="n">
        <v>0.53</v>
      </c>
      <c r="I64" t="inlineStr">
        <is>
          <t>Large Cap</t>
        </is>
      </c>
    </row>
    <row r="65">
      <c r="B65" t="inlineStr">
        <is>
          <t>Jyothy Labs Ltd</t>
        </is>
      </c>
      <c r="C65" t="inlineStr">
        <is>
          <t>INE668F01031</t>
        </is>
      </c>
      <c r="D65" t="inlineStr">
        <is>
          <t>Household Products</t>
        </is>
      </c>
      <c r="E65" t="n">
        <v>2293683</v>
      </c>
      <c r="F65" t="n">
        <v>6882.2</v>
      </c>
      <c r="G65" t="n">
        <v>0.49</v>
      </c>
      <c r="I65" t="inlineStr">
        <is>
          <t>Small Cap</t>
        </is>
      </c>
    </row>
    <row r="66">
      <c r="B66" t="inlineStr">
        <is>
          <t>Computer Age Management Services Ltd</t>
        </is>
      </c>
      <c r="C66" t="inlineStr">
        <is>
          <t>INE596I01012</t>
        </is>
      </c>
      <c r="D66" t="inlineStr">
        <is>
          <t>Capital Markets</t>
        </is>
      </c>
      <c r="E66" t="n">
        <v>175035</v>
      </c>
      <c r="F66" t="n">
        <v>6774.38</v>
      </c>
      <c r="G66" t="n">
        <v>0.49</v>
      </c>
      <c r="I66" t="inlineStr">
        <is>
          <t>Small Cap</t>
        </is>
      </c>
    </row>
    <row r="67">
      <c r="B67" t="inlineStr">
        <is>
          <t>Solar Industries India Ltd</t>
        </is>
      </c>
      <c r="C67" t="inlineStr">
        <is>
          <t>INE343H01029</t>
        </is>
      </c>
      <c r="D67" t="inlineStr">
        <is>
          <t>Chemicals &amp; Petrochemicals</t>
        </is>
      </c>
      <c r="E67" t="n">
        <v>51000</v>
      </c>
      <c r="F67" t="n">
        <v>6768.72</v>
      </c>
      <c r="G67" t="n">
        <v>0.49</v>
      </c>
      <c r="I67" t="inlineStr">
        <is>
          <t>Large Cap</t>
        </is>
      </c>
    </row>
    <row r="68">
      <c r="B68" t="inlineStr">
        <is>
          <t>Dixon Technologies (India) Ltd</t>
        </is>
      </c>
      <c r="C68" t="inlineStr">
        <is>
          <t>INE935N01020</t>
        </is>
      </c>
      <c r="D68" t="inlineStr">
        <is>
          <t>Consumer Durables</t>
        </is>
      </c>
      <c r="E68" t="n">
        <v>46000</v>
      </c>
      <c r="F68" t="n">
        <v>6716.46</v>
      </c>
      <c r="G68" t="n">
        <v>0.48</v>
      </c>
      <c r="I68" t="inlineStr">
        <is>
          <t>Mid Cap</t>
        </is>
      </c>
    </row>
    <row r="69">
      <c r="B69" t="inlineStr">
        <is>
          <t>APL Apollo Tubes Ltd</t>
        </is>
      </c>
      <c r="C69" t="inlineStr">
        <is>
          <t>INE702C01027</t>
        </is>
      </c>
      <c r="D69" t="inlineStr">
        <is>
          <t>Industrial Products</t>
        </is>
      </c>
      <c r="E69" t="n">
        <v>386896</v>
      </c>
      <c r="F69" t="n">
        <v>6650.36</v>
      </c>
      <c r="G69" t="n">
        <v>0.48</v>
      </c>
      <c r="I69" t="inlineStr">
        <is>
          <t>Mid Cap</t>
        </is>
      </c>
    </row>
    <row r="70">
      <c r="B70" t="inlineStr">
        <is>
          <t>J.B. Chemicals &amp; Pharmaceuticals Ltd</t>
        </is>
      </c>
      <c r="C70" t="inlineStr">
        <is>
          <t>INE572A01036</t>
        </is>
      </c>
      <c r="D70" t="inlineStr">
        <is>
          <t>Pharmaceuticals &amp; Biotechnology</t>
        </is>
      </c>
      <c r="E70" t="n">
        <v>321317</v>
      </c>
      <c r="F70" t="n">
        <v>5691.49</v>
      </c>
      <c r="G70" t="n">
        <v>0.41</v>
      </c>
      <c r="I70" t="inlineStr">
        <is>
          <t>Small Cap</t>
        </is>
      </c>
    </row>
    <row r="71">
      <c r="B71" t="inlineStr">
        <is>
          <t>K.P.R. Mill Ltd</t>
        </is>
      </c>
      <c r="C71" t="inlineStr">
        <is>
          <t>INE930H01031</t>
        </is>
      </c>
      <c r="D71" t="inlineStr">
        <is>
          <t>Textiles &amp; Apparels</t>
        </is>
      </c>
      <c r="E71" t="n">
        <v>520112</v>
      </c>
      <c r="F71" t="n">
        <v>5614.61</v>
      </c>
      <c r="G71" t="n">
        <v>0.4</v>
      </c>
      <c r="I71" t="inlineStr">
        <is>
          <t>Mid Cap</t>
        </is>
      </c>
    </row>
    <row r="72">
      <c r="B72" t="inlineStr">
        <is>
          <t>Avenue Supermarts Ltd</t>
        </is>
      </c>
      <c r="C72" t="inlineStr">
        <is>
          <t>INE192R01011</t>
        </is>
      </c>
      <c r="D72" t="inlineStr">
        <is>
          <t>Retailing</t>
        </is>
      </c>
      <c r="E72" t="n">
        <v>126416</v>
      </c>
      <c r="F72" t="n">
        <v>5052.22</v>
      </c>
      <c r="G72" t="n">
        <v>0.36</v>
      </c>
      <c r="I72" t="inlineStr">
        <is>
          <t>Large Cap</t>
        </is>
      </c>
    </row>
    <row r="73">
      <c r="B73" t="inlineStr">
        <is>
          <t>Suzlon Energy Ltd</t>
        </is>
      </c>
      <c r="C73" t="inlineStr">
        <is>
          <t>INE040H01021</t>
        </is>
      </c>
      <c r="D73" t="inlineStr">
        <is>
          <t>Electrical Equipment</t>
        </is>
      </c>
      <c r="E73" t="n">
        <v>8648517</v>
      </c>
      <c r="F73" t="n">
        <v>4671.06</v>
      </c>
      <c r="G73" t="n">
        <v>0.34</v>
      </c>
      <c r="I73" t="inlineStr">
        <is>
          <t>Mid Cap</t>
        </is>
      </c>
    </row>
    <row r="74">
      <c r="B74" t="inlineStr">
        <is>
          <t>One 97 Communications Ltd</t>
        </is>
      </c>
      <c r="C74" t="inlineStr">
        <is>
          <t>INE982J01020</t>
        </is>
      </c>
      <c r="D74" t="inlineStr">
        <is>
          <t>Financial Technology (Fintech)</t>
        </is>
      </c>
      <c r="E74" t="n">
        <v>305000</v>
      </c>
      <c r="F74" t="n">
        <v>4027.83</v>
      </c>
      <c r="G74" t="n">
        <v>0.29</v>
      </c>
      <c r="I74" t="inlineStr">
        <is>
          <t>Mid Cap</t>
        </is>
      </c>
    </row>
    <row r="75">
      <c r="B75" t="inlineStr">
        <is>
          <t>Linde India Ltd</t>
        </is>
      </c>
      <c r="C75" t="inlineStr">
        <is>
          <t>INE473A01011</t>
        </is>
      </c>
      <c r="D75" t="inlineStr">
        <is>
          <t>Chemicals &amp; Petrochemicals</t>
        </is>
      </c>
      <c r="E75" t="n">
        <v>48546</v>
      </c>
      <c r="F75" t="n">
        <v>2896.25</v>
      </c>
      <c r="G75" t="n">
        <v>0.21</v>
      </c>
      <c r="I75" t="inlineStr">
        <is>
          <t>Mid Cap</t>
        </is>
      </c>
    </row>
    <row r="76">
      <c r="B76" t="inlineStr">
        <is>
          <t>Bajaj Auto Ltd</t>
        </is>
      </c>
      <c r="C76" t="inlineStr">
        <is>
          <t>INE917I01010</t>
        </is>
      </c>
      <c r="D76" t="inlineStr">
        <is>
          <t>Automobiles</t>
        </is>
      </c>
      <c r="E76" t="n">
        <v>29117</v>
      </c>
      <c r="F76" t="n">
        <v>2641.93</v>
      </c>
      <c r="G76" t="n">
        <v>0.19</v>
      </c>
      <c r="I76" t="inlineStr">
        <is>
          <t>Large Cap</t>
        </is>
      </c>
    </row>
    <row r="77">
      <c r="B77" t="inlineStr">
        <is>
          <t>Power Finance Corporation Ltd</t>
        </is>
      </c>
      <c r="C77" t="inlineStr">
        <is>
          <t>INE134E01011</t>
        </is>
      </c>
      <c r="D77" t="inlineStr">
        <is>
          <t>Finance</t>
        </is>
      </c>
      <c r="E77" t="n">
        <v>676286</v>
      </c>
      <c r="F77" t="n">
        <v>2452.89</v>
      </c>
      <c r="G77" t="n">
        <v>0.18</v>
      </c>
      <c r="I77" t="inlineStr">
        <is>
          <t>Large Cap</t>
        </is>
      </c>
    </row>
    <row r="78">
      <c r="B78" t="inlineStr">
        <is>
          <t>Persistent Systems Ltd</t>
        </is>
      </c>
      <c r="C78" t="inlineStr">
        <is>
          <t>INE262H01021</t>
        </is>
      </c>
      <c r="D78" t="inlineStr">
        <is>
          <t>IT - Software</t>
        </is>
      </c>
      <c r="E78" t="n">
        <v>25000</v>
      </c>
      <c r="F78" t="n">
        <v>1588.25</v>
      </c>
      <c r="G78" t="n">
        <v>0.11</v>
      </c>
      <c r="I78" t="inlineStr">
        <is>
          <t>Mid Cap</t>
        </is>
      </c>
    </row>
    <row r="79">
      <c r="B79" t="inlineStr">
        <is>
          <t>Vedant Fashions Ltd</t>
        </is>
      </c>
      <c r="C79" t="inlineStr">
        <is>
          <t>INE825V01034</t>
        </is>
      </c>
      <c r="D79" t="inlineStr">
        <is>
          <t>Retailing</t>
        </is>
      </c>
      <c r="E79" t="n">
        <v>237424</v>
      </c>
      <c r="F79" t="n">
        <v>1443.89</v>
      </c>
      <c r="G79" t="n">
        <v>0.1</v>
      </c>
      <c r="I79" t="inlineStr">
        <is>
          <t>Small Cap</t>
        </is>
      </c>
    </row>
    <row r="80">
      <c r="B80" t="inlineStr">
        <is>
          <t>Piramal Pharma Ltd</t>
        </is>
      </c>
      <c r="C80" t="inlineStr">
        <is>
          <t>INE0DK501011</t>
        </is>
      </c>
      <c r="D80" t="inlineStr">
        <is>
          <t>Pharmaceuticals &amp; Biotechnology</t>
        </is>
      </c>
      <c r="E80" t="n">
        <v>662441</v>
      </c>
      <c r="F80" t="n">
        <v>1240.16</v>
      </c>
      <c r="G80" t="n">
        <v>0.09</v>
      </c>
      <c r="I80" t="inlineStr">
        <is>
          <t>Small Cap</t>
        </is>
      </c>
    </row>
    <row r="81">
      <c r="B81" t="inlineStr">
        <is>
          <t>Sub Total</t>
        </is>
      </c>
      <c r="F81">
        <f>SUM(F7:F80)</f>
        <v/>
      </c>
      <c r="G81">
        <f>SUM(G7:G80)</f>
        <v/>
      </c>
    </row>
    <row r="82">
      <c r="B82" t="inlineStr">
        <is>
          <t>Total</t>
        </is>
      </c>
      <c r="F82">
        <f>F81</f>
        <v/>
      </c>
      <c r="G82">
        <f>G81</f>
        <v/>
      </c>
    </row>
    <row r="83">
      <c r="B83" t="inlineStr">
        <is>
          <t>Debt Instruments</t>
        </is>
      </c>
    </row>
    <row r="84">
      <c r="B84" t="inlineStr">
        <is>
          <t>(a) Listed / awaiting listing on Stock Exchanges</t>
        </is>
      </c>
    </row>
    <row r="85">
      <c r="B85" t="inlineStr">
        <is>
          <t>6.00% TVS Motor Co Ltd NCRPS **</t>
        </is>
      </c>
      <c r="C85" t="inlineStr">
        <is>
          <t>INE494B04019</t>
        </is>
      </c>
      <c r="D85" t="inlineStr">
        <is>
          <t>CARE A1+</t>
        </is>
      </c>
      <c r="E85" t="n">
        <v>2797532</v>
      </c>
      <c r="F85" t="n">
        <v>283.69</v>
      </c>
      <c r="G85" t="n">
        <v>0.02</v>
      </c>
      <c r="H85" t="n">
        <v>6.035</v>
      </c>
    </row>
    <row r="86">
      <c r="B86" t="inlineStr">
        <is>
          <t>Sub Total</t>
        </is>
      </c>
      <c r="F86" t="n">
        <v>283.69</v>
      </c>
      <c r="G86" t="n">
        <v>0.02</v>
      </c>
    </row>
    <row r="87">
      <c r="B87" t="inlineStr">
        <is>
          <t>Total</t>
        </is>
      </c>
      <c r="F87" t="n">
        <v>283.69</v>
      </c>
      <c r="G87" t="n">
        <v>0.02</v>
      </c>
    </row>
    <row r="88">
      <c r="B88" t="inlineStr">
        <is>
          <t>TREPS</t>
        </is>
      </c>
    </row>
    <row r="89">
      <c r="B89" t="inlineStr">
        <is>
          <t>TREPS</t>
        </is>
      </c>
      <c r="F89" t="n">
        <v>38417.2</v>
      </c>
      <c r="G89" t="n">
        <v>2.76</v>
      </c>
    </row>
    <row r="90">
      <c r="B90" t="inlineStr">
        <is>
          <t>Sub Total</t>
        </is>
      </c>
      <c r="F90">
        <f>SUM(F88:F89)</f>
        <v/>
      </c>
      <c r="G90">
        <f>SUM(G88:G89)</f>
        <v/>
      </c>
    </row>
    <row r="91">
      <c r="B91" t="inlineStr">
        <is>
          <t>Total</t>
        </is>
      </c>
      <c r="F91">
        <f>F90</f>
        <v/>
      </c>
      <c r="G91">
        <f>G90</f>
        <v/>
      </c>
    </row>
    <row r="92">
      <c r="B92" t="inlineStr">
        <is>
          <t>Net Receivables / (Payables)</t>
        </is>
      </c>
      <c r="F92">
        <f>F93-(+F82+F91+F87)</f>
        <v/>
      </c>
      <c r="G92">
        <f>G93-(+G82+G91+G87)</f>
        <v/>
      </c>
    </row>
    <row r="93">
      <c r="B93" t="inlineStr">
        <is>
          <t>Grand Total</t>
        </is>
      </c>
      <c r="F93" t="n">
        <v>1392637.62</v>
      </c>
      <c r="G93" t="n">
        <v>100</v>
      </c>
    </row>
    <row r="94"/>
    <row r="95">
      <c r="B95" t="inlineStr">
        <is>
          <t>** Non Traded Security</t>
        </is>
      </c>
    </row>
    <row r="96"/>
    <row r="97">
      <c r="B97" t="inlineStr">
        <is>
          <t>Residual Maturity</t>
        </is>
      </c>
      <c r="C97" t="inlineStr">
        <is>
          <t>0.0027 Years</t>
        </is>
      </c>
    </row>
    <row r="98"/>
    <row r="99">
      <c r="B99" t="inlineStr">
        <is>
          <t>Please refer the below link for the performance of the Schemes managed by Canara Robeco Mutual Fund</t>
        </is>
      </c>
    </row>
    <row r="100"/>
    <row r="101">
      <c r="B101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MULTI CAP FUND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>Yield %</t>
        </is>
      </c>
      <c r="I4" t="inlineStr">
        <is>
          <t xml:space="preserve">Market Capitalization </t>
        </is>
      </c>
      <c r="L4" t="inlineStr">
        <is>
          <t>Scheme Risk-O-Meter Level- November'25</t>
        </is>
      </c>
      <c r="M4" t="inlineStr">
        <is>
          <t>Benchmark Risk-O-Meter Level- November'25</t>
        </is>
      </c>
      <c r="N4" t="inlineStr">
        <is>
          <t>Scheme Risk-O-Meter Level- October'25</t>
        </is>
      </c>
      <c r="O4" t="inlineStr">
        <is>
          <t>Benchmark Risk-O-Meter Level- October'25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2600000</v>
      </c>
      <c r="F7" t="n">
        <v>26197.6</v>
      </c>
      <c r="G7" t="n">
        <v>5.19</v>
      </c>
      <c r="I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1415000</v>
      </c>
      <c r="F8" t="n">
        <v>19651.52</v>
      </c>
      <c r="G8" t="n">
        <v>3.89</v>
      </c>
      <c r="I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1010000</v>
      </c>
      <c r="F9" t="n">
        <v>15831.75</v>
      </c>
      <c r="G9" t="n">
        <v>3.14</v>
      </c>
      <c r="I9" t="inlineStr">
        <is>
          <t>Large Cap</t>
        </is>
      </c>
    </row>
    <row r="10">
      <c r="B10" t="inlineStr">
        <is>
          <t>Infosys Ltd</t>
        </is>
      </c>
      <c r="C10" t="inlineStr">
        <is>
          <t>INE009A01021</t>
        </is>
      </c>
      <c r="D10" t="inlineStr">
        <is>
          <t>IT - Software</t>
        </is>
      </c>
      <c r="E10" t="n">
        <v>820000</v>
      </c>
      <c r="F10" t="n">
        <v>12792.82</v>
      </c>
      <c r="G10" t="n">
        <v>2.53</v>
      </c>
      <c r="I10" t="inlineStr">
        <is>
          <t>Large Cap</t>
        </is>
      </c>
    </row>
    <row r="11">
      <c r="B11" t="inlineStr">
        <is>
          <t>Bharti Airtel Ltd</t>
        </is>
      </c>
      <c r="C11" t="inlineStr">
        <is>
          <t>INE397D01024</t>
        </is>
      </c>
      <c r="D11" t="inlineStr">
        <is>
          <t>Telecom - Services</t>
        </is>
      </c>
      <c r="E11" t="n">
        <v>504000</v>
      </c>
      <c r="F11" t="n">
        <v>10592.06</v>
      </c>
      <c r="G11" t="n">
        <v>2.1</v>
      </c>
      <c r="I11" t="inlineStr">
        <is>
          <t>Large Cap</t>
        </is>
      </c>
    </row>
    <row r="12">
      <c r="B12" t="inlineStr">
        <is>
          <t>Larsen &amp; Toubro Ltd</t>
        </is>
      </c>
      <c r="C12" t="inlineStr">
        <is>
          <t>INE018A01030</t>
        </is>
      </c>
      <c r="D12" t="inlineStr">
        <is>
          <t>Construction</t>
        </is>
      </c>
      <c r="E12" t="n">
        <v>244221</v>
      </c>
      <c r="F12" t="n">
        <v>9938.82</v>
      </c>
      <c r="G12" t="n">
        <v>1.97</v>
      </c>
      <c r="I12" t="inlineStr">
        <is>
          <t>Large Cap</t>
        </is>
      </c>
    </row>
    <row r="13">
      <c r="B13" t="inlineStr">
        <is>
          <t>State Bank of India</t>
        </is>
      </c>
      <c r="C13" t="inlineStr">
        <is>
          <t>INE062A01020</t>
        </is>
      </c>
      <c r="D13" t="inlineStr">
        <is>
          <t>Banks</t>
        </is>
      </c>
      <c r="E13" t="n">
        <v>1013598</v>
      </c>
      <c r="F13" t="n">
        <v>9923.120000000001</v>
      </c>
      <c r="G13" t="n">
        <v>1.97</v>
      </c>
      <c r="I13" t="inlineStr">
        <is>
          <t>Large Cap</t>
        </is>
      </c>
      <c r="M13" t="inlineStr">
        <is>
          <t>Benchmark: NIFTY 500 Multicap 50:25:25 Index TRI</t>
        </is>
      </c>
    </row>
    <row r="14">
      <c r="B14" t="inlineStr">
        <is>
          <t>TBO Tek Ltd</t>
        </is>
      </c>
      <c r="C14" t="inlineStr">
        <is>
          <t>INE673O01025</t>
        </is>
      </c>
      <c r="D14" t="inlineStr">
        <is>
          <t>Leisure Services</t>
        </is>
      </c>
      <c r="E14" t="n">
        <v>557664</v>
      </c>
      <c r="F14" t="n">
        <v>9214.280000000001</v>
      </c>
      <c r="G14" t="n">
        <v>1.83</v>
      </c>
      <c r="I14" t="inlineStr">
        <is>
          <t>Small Cap</t>
        </is>
      </c>
    </row>
    <row r="15">
      <c r="B15" t="inlineStr">
        <is>
          <t>Ajanta Pharma Ltd</t>
        </is>
      </c>
      <c r="C15" t="inlineStr">
        <is>
          <t>INE031B01049</t>
        </is>
      </c>
      <c r="D15" t="inlineStr">
        <is>
          <t>Pharmaceuticals &amp; Biotechnology</t>
        </is>
      </c>
      <c r="E15" t="n">
        <v>338307</v>
      </c>
      <c r="F15" t="n">
        <v>8663.370000000001</v>
      </c>
      <c r="G15" t="n">
        <v>1.72</v>
      </c>
      <c r="I15" t="inlineStr">
        <is>
          <t>Mid Cap</t>
        </is>
      </c>
    </row>
    <row r="16">
      <c r="B16" t="inlineStr">
        <is>
          <t>Mahindra &amp; Mahindra Ltd</t>
        </is>
      </c>
      <c r="C16" t="inlineStr">
        <is>
          <t>INE101A01026</t>
        </is>
      </c>
      <c r="D16" t="inlineStr">
        <is>
          <t>Automobiles</t>
        </is>
      </c>
      <c r="E16" t="n">
        <v>209500</v>
      </c>
      <c r="F16" t="n">
        <v>7871.54</v>
      </c>
      <c r="G16" t="n">
        <v>1.56</v>
      </c>
      <c r="I16" t="inlineStr">
        <is>
          <t>Large Cap</t>
        </is>
      </c>
    </row>
    <row r="17">
      <c r="B17" t="inlineStr">
        <is>
          <t>Ge Vernova T&amp;D India Ltd</t>
        </is>
      </c>
      <c r="C17" t="inlineStr">
        <is>
          <t>INE200A01026</t>
        </is>
      </c>
      <c r="D17" t="inlineStr">
        <is>
          <t>Electrical Equipment</t>
        </is>
      </c>
      <c r="E17" t="n">
        <v>268926</v>
      </c>
      <c r="F17" t="n">
        <v>7748.83</v>
      </c>
      <c r="G17" t="n">
        <v>1.54</v>
      </c>
      <c r="I17" t="inlineStr">
        <is>
          <t>Mid Cap</t>
        </is>
      </c>
    </row>
    <row r="18">
      <c r="B18" t="inlineStr">
        <is>
          <t>ITC Ltd</t>
        </is>
      </c>
      <c r="C18" t="inlineStr">
        <is>
          <t>INE154A01025</t>
        </is>
      </c>
      <c r="D18" t="inlineStr">
        <is>
          <t>Diversified Fmcg</t>
        </is>
      </c>
      <c r="E18" t="n">
        <v>1775000</v>
      </c>
      <c r="F18" t="n">
        <v>7175.44</v>
      </c>
      <c r="G18" t="n">
        <v>1.42</v>
      </c>
      <c r="I18" t="inlineStr">
        <is>
          <t>Large Cap</t>
        </is>
      </c>
    </row>
    <row r="19">
      <c r="B19" t="inlineStr">
        <is>
          <t>Eternal Ltd</t>
        </is>
      </c>
      <c r="C19" t="inlineStr">
        <is>
          <t>INE758T01015</t>
        </is>
      </c>
      <c r="D19" t="inlineStr">
        <is>
          <t>Retailing</t>
        </is>
      </c>
      <c r="E19" t="n">
        <v>2383867</v>
      </c>
      <c r="F19" t="n">
        <v>7153.98</v>
      </c>
      <c r="G19" t="n">
        <v>1.42</v>
      </c>
      <c r="I19" t="inlineStr">
        <is>
          <t>Large Cap</t>
        </is>
      </c>
    </row>
    <row r="20">
      <c r="B20" t="inlineStr">
        <is>
          <t>Federal Bank Ltd</t>
        </is>
      </c>
      <c r="C20" t="inlineStr">
        <is>
          <t>INE171A01029</t>
        </is>
      </c>
      <c r="D20" t="inlineStr">
        <is>
          <t>Banks</t>
        </is>
      </c>
      <c r="E20" t="n">
        <v>2700000</v>
      </c>
      <c r="F20" t="n">
        <v>6963.84</v>
      </c>
      <c r="G20" t="n">
        <v>1.38</v>
      </c>
      <c r="I20" t="inlineStr">
        <is>
          <t>Mid Cap</t>
        </is>
      </c>
    </row>
    <row r="21">
      <c r="B21" t="inlineStr">
        <is>
          <t>Uno Minda Ltd</t>
        </is>
      </c>
      <c r="C21" t="inlineStr">
        <is>
          <t>INE405E01023</t>
        </is>
      </c>
      <c r="D21" t="inlineStr">
        <is>
          <t>Auto Components</t>
        </is>
      </c>
      <c r="E21" t="n">
        <v>518434</v>
      </c>
      <c r="F21" t="n">
        <v>6774.9</v>
      </c>
      <c r="G21" t="n">
        <v>1.34</v>
      </c>
      <c r="I21" t="inlineStr">
        <is>
          <t>Mid Cap</t>
        </is>
      </c>
    </row>
    <row r="22">
      <c r="B22" t="inlineStr">
        <is>
          <t>Bharat Electronics Ltd</t>
        </is>
      </c>
      <c r="C22" t="inlineStr">
        <is>
          <t>INE263A01024</t>
        </is>
      </c>
      <c r="D22" t="inlineStr">
        <is>
          <t>Aerospace &amp; Defense</t>
        </is>
      </c>
      <c r="E22" t="n">
        <v>1620000</v>
      </c>
      <c r="F22" t="n">
        <v>6670.35</v>
      </c>
      <c r="G22" t="n">
        <v>1.32</v>
      </c>
      <c r="I22" t="inlineStr">
        <is>
          <t>Large Cap</t>
        </is>
      </c>
    </row>
    <row r="23">
      <c r="B23" t="inlineStr">
        <is>
          <t>Sun Pharmaceutical Industries Ltd</t>
        </is>
      </c>
      <c r="C23" t="inlineStr">
        <is>
          <t>INE044A01036</t>
        </is>
      </c>
      <c r="D23" t="inlineStr">
        <is>
          <t>Pharmaceuticals &amp; Biotechnology</t>
        </is>
      </c>
      <c r="E23" t="n">
        <v>360000</v>
      </c>
      <c r="F23" t="n">
        <v>6593.76</v>
      </c>
      <c r="G23" t="n">
        <v>1.31</v>
      </c>
      <c r="I23" t="inlineStr">
        <is>
          <t>Large Cap</t>
        </is>
      </c>
    </row>
    <row r="24">
      <c r="B24" t="inlineStr">
        <is>
          <t>J.B. Chemicals &amp; Pharmaceuticals Ltd</t>
        </is>
      </c>
      <c r="C24" t="inlineStr">
        <is>
          <t>INE572A01036</t>
        </is>
      </c>
      <c r="D24" t="inlineStr">
        <is>
          <t>Pharmaceuticals &amp; Biotechnology</t>
        </is>
      </c>
      <c r="E24" t="n">
        <v>369649</v>
      </c>
      <c r="F24" t="n">
        <v>6547.59</v>
      </c>
      <c r="G24" t="n">
        <v>1.3</v>
      </c>
      <c r="I24" t="inlineStr">
        <is>
          <t>Small Cap</t>
        </is>
      </c>
    </row>
    <row r="25">
      <c r="B25" t="inlineStr">
        <is>
          <t>Tata Consumer Products Ltd</t>
        </is>
      </c>
      <c r="C25" t="inlineStr">
        <is>
          <t>INE192A01025</t>
        </is>
      </c>
      <c r="D25" t="inlineStr">
        <is>
          <t>Agricultural Food &amp; Other Products</t>
        </is>
      </c>
      <c r="E25" t="n">
        <v>541889</v>
      </c>
      <c r="F25" t="n">
        <v>6353.11</v>
      </c>
      <c r="G25" t="n">
        <v>1.26</v>
      </c>
      <c r="I25" t="inlineStr">
        <is>
          <t>Large Cap</t>
        </is>
      </c>
    </row>
    <row r="26">
      <c r="B26" t="inlineStr">
        <is>
          <t>Max Financial Services Ltd</t>
        </is>
      </c>
      <c r="C26" t="inlineStr">
        <is>
          <t>INE180A01020</t>
        </is>
      </c>
      <c r="D26" t="inlineStr">
        <is>
          <t>Insurance</t>
        </is>
      </c>
      <c r="E26" t="n">
        <v>369500</v>
      </c>
      <c r="F26" t="n">
        <v>6289.26</v>
      </c>
      <c r="G26" t="n">
        <v>1.25</v>
      </c>
      <c r="I26" t="inlineStr">
        <is>
          <t>Mid Cap</t>
        </is>
      </c>
    </row>
    <row r="27">
      <c r="B27" t="inlineStr">
        <is>
          <t>TVS Motor Co Ltd</t>
        </is>
      </c>
      <c r="C27" t="inlineStr">
        <is>
          <t>INE494B01023</t>
        </is>
      </c>
      <c r="D27" t="inlineStr">
        <is>
          <t>Automobiles</t>
        </is>
      </c>
      <c r="E27" t="n">
        <v>174661</v>
      </c>
      <c r="F27" t="n">
        <v>6168.15</v>
      </c>
      <c r="G27" t="n">
        <v>1.22</v>
      </c>
      <c r="I27" t="inlineStr">
        <is>
          <t>Large Cap</t>
        </is>
      </c>
    </row>
    <row r="28">
      <c r="B28" t="inlineStr">
        <is>
          <t>KEI Industries Ltd</t>
        </is>
      </c>
      <c r="C28" t="inlineStr">
        <is>
          <t>INE878B01027</t>
        </is>
      </c>
      <c r="D28" t="inlineStr">
        <is>
          <t>Industrial Products</t>
        </is>
      </c>
      <c r="E28" t="n">
        <v>142339</v>
      </c>
      <c r="F28" t="n">
        <v>5900.81</v>
      </c>
      <c r="G28" t="n">
        <v>1.17</v>
      </c>
      <c r="I28" t="inlineStr">
        <is>
          <t>Mid Cap</t>
        </is>
      </c>
    </row>
    <row r="29">
      <c r="B29" t="inlineStr">
        <is>
          <t>Max Healthcare Institute Ltd</t>
        </is>
      </c>
      <c r="C29" t="inlineStr">
        <is>
          <t>INE027H01010</t>
        </is>
      </c>
      <c r="D29" t="inlineStr">
        <is>
          <t>Healthcare Services</t>
        </is>
      </c>
      <c r="E29" t="n">
        <v>502500</v>
      </c>
      <c r="F29" t="n">
        <v>5843.07</v>
      </c>
      <c r="G29" t="n">
        <v>1.16</v>
      </c>
      <c r="I29" t="inlineStr">
        <is>
          <t>Large Cap</t>
        </is>
      </c>
    </row>
    <row r="30">
      <c r="B30" t="inlineStr">
        <is>
          <t>EIH Ltd</t>
        </is>
      </c>
      <c r="C30" t="inlineStr">
        <is>
          <t>INE230A01023</t>
        </is>
      </c>
      <c r="D30" t="inlineStr">
        <is>
          <t>Leisure Services</t>
        </is>
      </c>
      <c r="E30" t="n">
        <v>1547895</v>
      </c>
      <c r="F30" t="n">
        <v>5788.35</v>
      </c>
      <c r="G30" t="n">
        <v>1.15</v>
      </c>
      <c r="I30" t="inlineStr">
        <is>
          <t>Small Cap</t>
        </is>
      </c>
    </row>
    <row r="31">
      <c r="B31" t="inlineStr">
        <is>
          <t>J.K. Cement Ltd</t>
        </is>
      </c>
      <c r="C31" t="inlineStr">
        <is>
          <t>INE823G01014</t>
        </is>
      </c>
      <c r="D31" t="inlineStr">
        <is>
          <t>Cement &amp; Cement Products</t>
        </is>
      </c>
      <c r="E31" t="n">
        <v>100111</v>
      </c>
      <c r="F31" t="n">
        <v>5764.39</v>
      </c>
      <c r="G31" t="n">
        <v>1.14</v>
      </c>
      <c r="I31" t="inlineStr">
        <is>
          <t>Mid Cap</t>
        </is>
      </c>
    </row>
    <row r="32">
      <c r="B32" t="inlineStr">
        <is>
          <t>Doms Industries Ltd</t>
        </is>
      </c>
      <c r="C32" t="inlineStr">
        <is>
          <t>INE321T01012</t>
        </is>
      </c>
      <c r="D32" t="inlineStr">
        <is>
          <t>Household Products</t>
        </is>
      </c>
      <c r="E32" t="n">
        <v>228924</v>
      </c>
      <c r="F32" t="n">
        <v>5745.99</v>
      </c>
      <c r="G32" t="n">
        <v>1.14</v>
      </c>
      <c r="I32" t="inlineStr">
        <is>
          <t>Small Cap</t>
        </is>
      </c>
    </row>
    <row r="33">
      <c r="B33" t="inlineStr">
        <is>
          <t>Tech Mahindra Ltd</t>
        </is>
      </c>
      <c r="C33" t="inlineStr">
        <is>
          <t>INE669C01036</t>
        </is>
      </c>
      <c r="D33" t="inlineStr">
        <is>
          <t>IT - Software</t>
        </is>
      </c>
      <c r="E33" t="n">
        <v>375000</v>
      </c>
      <c r="F33" t="n">
        <v>5689.88</v>
      </c>
      <c r="G33" t="n">
        <v>1.13</v>
      </c>
      <c r="I33" t="inlineStr">
        <is>
          <t>Large Cap</t>
        </is>
      </c>
    </row>
    <row r="34">
      <c r="B34" t="inlineStr">
        <is>
          <t>Multi Commodity Exchange Of India Ltd</t>
        </is>
      </c>
      <c r="C34" t="inlineStr">
        <is>
          <t>INE745G01035</t>
        </is>
      </c>
      <c r="D34" t="inlineStr">
        <is>
          <t>Capital Markets</t>
        </is>
      </c>
      <c r="E34" t="n">
        <v>55112</v>
      </c>
      <c r="F34" t="n">
        <v>5551.71</v>
      </c>
      <c r="G34" t="n">
        <v>1.1</v>
      </c>
      <c r="I34" t="inlineStr">
        <is>
          <t>Mid Cap</t>
        </is>
      </c>
    </row>
    <row r="35">
      <c r="B35" t="inlineStr">
        <is>
          <t>Bajaj Finance Ltd</t>
        </is>
      </c>
      <c r="C35" t="inlineStr">
        <is>
          <t>INE296A01032</t>
        </is>
      </c>
      <c r="D35" t="inlineStr">
        <is>
          <t>Finance</t>
        </is>
      </c>
      <c r="E35" t="n">
        <v>530090</v>
      </c>
      <c r="F35" t="n">
        <v>5499.68</v>
      </c>
      <c r="G35" t="n">
        <v>1.09</v>
      </c>
      <c r="I35" t="inlineStr">
        <is>
          <t>Large Cap</t>
        </is>
      </c>
    </row>
    <row r="36">
      <c r="B36" t="inlineStr">
        <is>
          <t>Motherson Sumi Wiring India Ltd</t>
        </is>
      </c>
      <c r="C36" t="inlineStr">
        <is>
          <t>INE0FS801015</t>
        </is>
      </c>
      <c r="D36" t="inlineStr">
        <is>
          <t>Auto Components</t>
        </is>
      </c>
      <c r="E36" t="n">
        <v>11600000</v>
      </c>
      <c r="F36" t="n">
        <v>5296.56</v>
      </c>
      <c r="G36" t="n">
        <v>1.05</v>
      </c>
      <c r="I36" t="inlineStr">
        <is>
          <t>Small Cap</t>
        </is>
      </c>
    </row>
    <row r="37">
      <c r="B37" t="inlineStr">
        <is>
          <t>Axis Bank Ltd</t>
        </is>
      </c>
      <c r="C37" t="inlineStr">
        <is>
          <t>INE238A01034</t>
        </is>
      </c>
      <c r="D37" t="inlineStr">
        <is>
          <t>Banks</t>
        </is>
      </c>
      <c r="E37" t="n">
        <v>410000</v>
      </c>
      <c r="F37" t="n">
        <v>5246.77</v>
      </c>
      <c r="G37" t="n">
        <v>1.04</v>
      </c>
      <c r="I37" t="inlineStr">
        <is>
          <t>Large Cap</t>
        </is>
      </c>
    </row>
    <row r="38">
      <c r="B38" t="inlineStr">
        <is>
          <t>PB Fintech Ltd</t>
        </is>
      </c>
      <c r="C38" t="inlineStr">
        <is>
          <t>INE417T01026</t>
        </is>
      </c>
      <c r="D38" t="inlineStr">
        <is>
          <t>Financial Technology (Fintech)</t>
        </is>
      </c>
      <c r="E38" t="n">
        <v>285000</v>
      </c>
      <c r="F38" t="n">
        <v>5183.87</v>
      </c>
      <c r="G38" t="n">
        <v>1.03</v>
      </c>
      <c r="I38" t="inlineStr">
        <is>
          <t>Mid Cap</t>
        </is>
      </c>
    </row>
    <row r="39">
      <c r="B39" t="inlineStr">
        <is>
          <t>Kotak Mahindra Bank Ltd</t>
        </is>
      </c>
      <c r="C39" t="inlineStr">
        <is>
          <t>INE237A01028</t>
        </is>
      </c>
      <c r="D39" t="inlineStr">
        <is>
          <t>Banks</t>
        </is>
      </c>
      <c r="E39" t="n">
        <v>240000</v>
      </c>
      <c r="F39" t="n">
        <v>5098.56</v>
      </c>
      <c r="G39" t="n">
        <v>1.01</v>
      </c>
      <c r="I39" t="inlineStr">
        <is>
          <t>Large Cap</t>
        </is>
      </c>
    </row>
    <row r="40">
      <c r="B40" t="inlineStr">
        <is>
          <t>Crompton Greaves Consumer Electricals Ltd</t>
        </is>
      </c>
      <c r="C40" t="inlineStr">
        <is>
          <t>INE299U01018</t>
        </is>
      </c>
      <c r="D40" t="inlineStr">
        <is>
          <t>Consumer Durables</t>
        </is>
      </c>
      <c r="E40" t="n">
        <v>1915000</v>
      </c>
      <c r="F40" t="n">
        <v>5081.45</v>
      </c>
      <c r="G40" t="n">
        <v>1.01</v>
      </c>
      <c r="I40" t="inlineStr">
        <is>
          <t>Small Cap</t>
        </is>
      </c>
    </row>
    <row r="41">
      <c r="B41" t="inlineStr">
        <is>
          <t>WeWork India Management Ltd</t>
        </is>
      </c>
      <c r="C41" t="inlineStr">
        <is>
          <t>INE085001019</t>
        </is>
      </c>
      <c r="D41" t="inlineStr">
        <is>
          <t>Commercial Services &amp; Supplies</t>
        </is>
      </c>
      <c r="E41" t="n">
        <v>846286</v>
      </c>
      <c r="F41" t="n">
        <v>5063.75</v>
      </c>
      <c r="G41" t="n">
        <v>1</v>
      </c>
      <c r="I41" t="inlineStr">
        <is>
          <t>Small Cap</t>
        </is>
      </c>
    </row>
    <row r="42">
      <c r="B42" t="inlineStr">
        <is>
          <t>Varun Beverages Ltd</t>
        </is>
      </c>
      <c r="C42" t="inlineStr">
        <is>
          <t>INE200M01039</t>
        </is>
      </c>
      <c r="D42" t="inlineStr">
        <is>
          <t>Beverages</t>
        </is>
      </c>
      <c r="E42" t="n">
        <v>1037139</v>
      </c>
      <c r="F42" t="n">
        <v>4994.34</v>
      </c>
      <c r="G42" t="n">
        <v>0.99</v>
      </c>
      <c r="I42" t="inlineStr">
        <is>
          <t>Large Cap</t>
        </is>
      </c>
    </row>
    <row r="43">
      <c r="B43" t="inlineStr">
        <is>
          <t>Mphasis Ltd</t>
        </is>
      </c>
      <c r="C43" t="inlineStr">
        <is>
          <t>INE356A01018</t>
        </is>
      </c>
      <c r="D43" t="inlineStr">
        <is>
          <t>IT - Software</t>
        </is>
      </c>
      <c r="E43" t="n">
        <v>177500</v>
      </c>
      <c r="F43" t="n">
        <v>4990.24</v>
      </c>
      <c r="G43" t="n">
        <v>0.99</v>
      </c>
      <c r="I43" t="inlineStr">
        <is>
          <t>Mid Cap</t>
        </is>
      </c>
    </row>
    <row r="44">
      <c r="B44" t="inlineStr">
        <is>
          <t>Affle 3i Ltd</t>
        </is>
      </c>
      <c r="C44" t="inlineStr">
        <is>
          <t>INE00WC01027</t>
        </is>
      </c>
      <c r="D44" t="inlineStr">
        <is>
          <t>IT - Services</t>
        </is>
      </c>
      <c r="E44" t="n">
        <v>289907</v>
      </c>
      <c r="F44" t="n">
        <v>4815.07</v>
      </c>
      <c r="G44" t="n">
        <v>0.95</v>
      </c>
      <c r="I44" t="inlineStr">
        <is>
          <t>Small Cap</t>
        </is>
      </c>
    </row>
    <row r="45">
      <c r="B45" t="inlineStr">
        <is>
          <t>Aditya Birla Real Estate Ltd</t>
        </is>
      </c>
      <c r="C45" t="inlineStr">
        <is>
          <t>INE055A01016</t>
        </is>
      </c>
      <c r="D45" t="inlineStr">
        <is>
          <t>Paper, Forest &amp; Jute Products</t>
        </is>
      </c>
      <c r="E45" t="n">
        <v>264794</v>
      </c>
      <c r="F45" t="n">
        <v>4696.39</v>
      </c>
      <c r="G45" t="n">
        <v>0.93</v>
      </c>
      <c r="I45" t="inlineStr">
        <is>
          <t>Small Cap</t>
        </is>
      </c>
    </row>
    <row r="46">
      <c r="B46" t="inlineStr">
        <is>
          <t>Computer Age Management Services Ltd</t>
        </is>
      </c>
      <c r="C46" t="inlineStr">
        <is>
          <t>INE596I01012</t>
        </is>
      </c>
      <c r="D46" t="inlineStr">
        <is>
          <t>Capital Markets</t>
        </is>
      </c>
      <c r="E46" t="n">
        <v>119928</v>
      </c>
      <c r="F46" t="n">
        <v>4641.57</v>
      </c>
      <c r="G46" t="n">
        <v>0.92</v>
      </c>
      <c r="I46" t="inlineStr">
        <is>
          <t>Small Cap</t>
        </is>
      </c>
    </row>
    <row r="47">
      <c r="B47" t="inlineStr">
        <is>
          <t>FSN E-Commerce Ventures Ltd</t>
        </is>
      </c>
      <c r="C47" t="inlineStr">
        <is>
          <t>INE388Y01029</t>
        </is>
      </c>
      <c r="D47" t="inlineStr">
        <is>
          <t>Retailing</t>
        </is>
      </c>
      <c r="E47" t="n">
        <v>1700000</v>
      </c>
      <c r="F47" t="n">
        <v>4544.27</v>
      </c>
      <c r="G47" t="n">
        <v>0.9</v>
      </c>
      <c r="I47" t="inlineStr">
        <is>
          <t>Mid Cap</t>
        </is>
      </c>
    </row>
    <row r="48">
      <c r="B48" t="inlineStr">
        <is>
          <t>PNB Housing Finance Ltd</t>
        </is>
      </c>
      <c r="C48" t="inlineStr">
        <is>
          <t>INE572E01012</t>
        </is>
      </c>
      <c r="D48" t="inlineStr">
        <is>
          <t>Finance</t>
        </is>
      </c>
      <c r="E48" t="n">
        <v>488950</v>
      </c>
      <c r="F48" t="n">
        <v>4426.46</v>
      </c>
      <c r="G48" t="n">
        <v>0.88</v>
      </c>
      <c r="I48" t="inlineStr">
        <is>
          <t>Small Cap</t>
        </is>
      </c>
    </row>
    <row r="49">
      <c r="B49" t="inlineStr">
        <is>
          <t>HDFC Asset Management Co Ltd</t>
        </is>
      </c>
      <c r="C49" t="inlineStr">
        <is>
          <t>INE127D01025</t>
        </is>
      </c>
      <c r="D49" t="inlineStr">
        <is>
          <t>Capital Markets</t>
        </is>
      </c>
      <c r="E49" t="n">
        <v>165250</v>
      </c>
      <c r="F49" t="n">
        <v>4417.13</v>
      </c>
      <c r="G49" t="n">
        <v>0.88</v>
      </c>
      <c r="I49" t="inlineStr">
        <is>
          <t>Mid Cap</t>
        </is>
      </c>
    </row>
    <row r="50">
      <c r="B50" t="inlineStr">
        <is>
          <t>Dr. Lal Path Labs Ltd</t>
        </is>
      </c>
      <c r="C50" t="inlineStr">
        <is>
          <t>INE600L01024</t>
        </is>
      </c>
      <c r="D50" t="inlineStr">
        <is>
          <t>Healthcare Services</t>
        </is>
      </c>
      <c r="E50" t="n">
        <v>144601</v>
      </c>
      <c r="F50" t="n">
        <v>4412.93</v>
      </c>
      <c r="G50" t="n">
        <v>0.87</v>
      </c>
      <c r="I50" t="inlineStr">
        <is>
          <t>Small Cap</t>
        </is>
      </c>
    </row>
    <row r="51">
      <c r="B51" t="inlineStr">
        <is>
          <t>Karur Vysya Bank Ltd</t>
        </is>
      </c>
      <c r="C51" t="inlineStr">
        <is>
          <t>INE036D01028</t>
        </is>
      </c>
      <c r="D51" t="inlineStr">
        <is>
          <t>Banks</t>
        </is>
      </c>
      <c r="E51" t="n">
        <v>1732833</v>
      </c>
      <c r="F51" t="n">
        <v>4296.91</v>
      </c>
      <c r="G51" t="n">
        <v>0.85</v>
      </c>
      <c r="I51" t="inlineStr">
        <is>
          <t>Small Cap</t>
        </is>
      </c>
    </row>
    <row r="52">
      <c r="B52" t="inlineStr">
        <is>
          <t>K.P.R. Mill Ltd</t>
        </is>
      </c>
      <c r="C52" t="inlineStr">
        <is>
          <t>INE930H01031</t>
        </is>
      </c>
      <c r="D52" t="inlineStr">
        <is>
          <t>Textiles &amp; Apparels</t>
        </is>
      </c>
      <c r="E52" t="n">
        <v>395000</v>
      </c>
      <c r="F52" t="n">
        <v>4264.03</v>
      </c>
      <c r="G52" t="n">
        <v>0.84</v>
      </c>
      <c r="I52" t="inlineStr">
        <is>
          <t>Mid Cap</t>
        </is>
      </c>
    </row>
    <row r="53">
      <c r="B53" t="inlineStr">
        <is>
          <t>Shriram Finance Ltd</t>
        </is>
      </c>
      <c r="C53" t="inlineStr">
        <is>
          <t>INE721A01047</t>
        </is>
      </c>
      <c r="D53" t="inlineStr">
        <is>
          <t>Finance</t>
        </is>
      </c>
      <c r="E53" t="n">
        <v>500000</v>
      </c>
      <c r="F53" t="n">
        <v>4258.25</v>
      </c>
      <c r="G53" t="n">
        <v>0.84</v>
      </c>
      <c r="I53" t="inlineStr">
        <is>
          <t>Large Cap</t>
        </is>
      </c>
    </row>
    <row r="54">
      <c r="B54" t="inlineStr">
        <is>
          <t>Mrs Bectors Food Specialities Ltd</t>
        </is>
      </c>
      <c r="C54" t="inlineStr">
        <is>
          <t>INE495P01012</t>
        </is>
      </c>
      <c r="D54" t="inlineStr">
        <is>
          <t>Food Products</t>
        </is>
      </c>
      <c r="E54" t="n">
        <v>326888</v>
      </c>
      <c r="F54" t="n">
        <v>4250.52</v>
      </c>
      <c r="G54" t="n">
        <v>0.84</v>
      </c>
      <c r="I54" t="inlineStr">
        <is>
          <t>Small Cap</t>
        </is>
      </c>
    </row>
    <row r="55">
      <c r="B55" t="inlineStr">
        <is>
          <t>Coforge Ltd</t>
        </is>
      </c>
      <c r="C55" t="inlineStr">
        <is>
          <t>INE591G01025</t>
        </is>
      </c>
      <c r="D55" t="inlineStr">
        <is>
          <t>IT - Software</t>
        </is>
      </c>
      <c r="E55" t="n">
        <v>220000</v>
      </c>
      <c r="F55" t="n">
        <v>4199.14</v>
      </c>
      <c r="G55" t="n">
        <v>0.83</v>
      </c>
      <c r="I55" t="inlineStr">
        <is>
          <t>Mid Cap</t>
        </is>
      </c>
    </row>
    <row r="56">
      <c r="B56" t="inlineStr">
        <is>
          <t>Vishal Mega Mart Ltd</t>
        </is>
      </c>
      <c r="C56" t="inlineStr">
        <is>
          <t>INE01EA01019</t>
        </is>
      </c>
      <c r="D56" t="inlineStr">
        <is>
          <t>Retailing</t>
        </is>
      </c>
      <c r="E56" t="n">
        <v>3079256</v>
      </c>
      <c r="F56" t="n">
        <v>4181.63</v>
      </c>
      <c r="G56" t="n">
        <v>0.83</v>
      </c>
      <c r="I56" t="inlineStr">
        <is>
          <t>Mid Cap</t>
        </is>
      </c>
    </row>
    <row r="57">
      <c r="B57" t="inlineStr">
        <is>
          <t>Cera Sanitaryware Ltd</t>
        </is>
      </c>
      <c r="C57" t="inlineStr">
        <is>
          <t>INE739E01017</t>
        </is>
      </c>
      <c r="D57" t="inlineStr">
        <is>
          <t>Consumer Durables</t>
        </is>
      </c>
      <c r="E57" t="n">
        <v>74675</v>
      </c>
      <c r="F57" t="n">
        <v>4134.75</v>
      </c>
      <c r="G57" t="n">
        <v>0.82</v>
      </c>
      <c r="I57" t="inlineStr">
        <is>
          <t>Small Cap</t>
        </is>
      </c>
    </row>
    <row r="58">
      <c r="B58" t="inlineStr">
        <is>
          <t>Indian Bank</t>
        </is>
      </c>
      <c r="C58" t="inlineStr">
        <is>
          <t>INE562A01011</t>
        </is>
      </c>
      <c r="D58" t="inlineStr">
        <is>
          <t>Banks</t>
        </is>
      </c>
      <c r="E58" t="n">
        <v>473431</v>
      </c>
      <c r="F58" t="n">
        <v>4120.03</v>
      </c>
      <c r="G58" t="n">
        <v>0.82</v>
      </c>
      <c r="I58" t="inlineStr">
        <is>
          <t>Mid Cap</t>
        </is>
      </c>
    </row>
    <row r="59">
      <c r="B59" t="inlineStr">
        <is>
          <t>Tata Power Co Ltd</t>
        </is>
      </c>
      <c r="C59" t="inlineStr">
        <is>
          <t>INE245A01021</t>
        </is>
      </c>
      <c r="D59" t="inlineStr">
        <is>
          <t>Power</t>
        </is>
      </c>
      <c r="E59" t="n">
        <v>1050000</v>
      </c>
      <c r="F59" t="n">
        <v>4096.05</v>
      </c>
      <c r="G59" t="n">
        <v>0.8100000000000001</v>
      </c>
      <c r="I59" t="inlineStr">
        <is>
          <t>Large Cap</t>
        </is>
      </c>
    </row>
    <row r="60">
      <c r="B60" t="inlineStr">
        <is>
          <t>KPIT Technologies Ltd</t>
        </is>
      </c>
      <c r="C60" t="inlineStr">
        <is>
          <t>INE04I401011</t>
        </is>
      </c>
      <c r="D60" t="inlineStr">
        <is>
          <t>IT - Software</t>
        </is>
      </c>
      <c r="E60" t="n">
        <v>334092</v>
      </c>
      <c r="F60" t="n">
        <v>4083.94</v>
      </c>
      <c r="G60" t="n">
        <v>0.8100000000000001</v>
      </c>
      <c r="I60" t="inlineStr">
        <is>
          <t>Mid Cap</t>
        </is>
      </c>
    </row>
    <row r="61">
      <c r="B61" t="inlineStr">
        <is>
          <t>Safari Industries (India) Ltd</t>
        </is>
      </c>
      <c r="C61" t="inlineStr">
        <is>
          <t>INE429E01023</t>
        </is>
      </c>
      <c r="D61" t="inlineStr">
        <is>
          <t>Consumer Durables</t>
        </is>
      </c>
      <c r="E61" t="n">
        <v>164933</v>
      </c>
      <c r="F61" t="n">
        <v>4007.54</v>
      </c>
      <c r="G61" t="n">
        <v>0.79</v>
      </c>
      <c r="I61" t="inlineStr">
        <is>
          <t>Small Cap</t>
        </is>
      </c>
    </row>
    <row r="62">
      <c r="B62" t="inlineStr">
        <is>
          <t>Cholamandalam Investment and Finance Co Ltd</t>
        </is>
      </c>
      <c r="C62" t="inlineStr">
        <is>
          <t>INE121A01024</t>
        </is>
      </c>
      <c r="D62" t="inlineStr">
        <is>
          <t>Finance</t>
        </is>
      </c>
      <c r="E62" t="n">
        <v>230000</v>
      </c>
      <c r="F62" t="n">
        <v>3992.8</v>
      </c>
      <c r="G62" t="n">
        <v>0.79</v>
      </c>
      <c r="I62" t="inlineStr">
        <is>
          <t>Large Cap</t>
        </is>
      </c>
    </row>
    <row r="63">
      <c r="B63" t="inlineStr">
        <is>
          <t>Brigade Enterprises Ltd</t>
        </is>
      </c>
      <c r="C63" t="inlineStr">
        <is>
          <t>INE791I01019</t>
        </is>
      </c>
      <c r="D63" t="inlineStr">
        <is>
          <t>Realty</t>
        </is>
      </c>
      <c r="E63" t="n">
        <v>442712</v>
      </c>
      <c r="F63" t="n">
        <v>3962.72</v>
      </c>
      <c r="G63" t="n">
        <v>0.79</v>
      </c>
      <c r="I63" t="inlineStr">
        <is>
          <t>Small Cap</t>
        </is>
      </c>
    </row>
    <row r="64">
      <c r="B64" t="inlineStr">
        <is>
          <t>V-Guard Industries Ltd</t>
        </is>
      </c>
      <c r="C64" t="inlineStr">
        <is>
          <t>INE951I01027</t>
        </is>
      </c>
      <c r="D64" t="inlineStr">
        <is>
          <t>Consumer Durables</t>
        </is>
      </c>
      <c r="E64" t="n">
        <v>1143177</v>
      </c>
      <c r="F64" t="n">
        <v>3935.96</v>
      </c>
      <c r="G64" t="n">
        <v>0.78</v>
      </c>
      <c r="I64" t="inlineStr">
        <is>
          <t>Small Cap</t>
        </is>
      </c>
    </row>
    <row r="65">
      <c r="B65" t="inlineStr">
        <is>
          <t>Cummins India Ltd</t>
        </is>
      </c>
      <c r="C65" t="inlineStr">
        <is>
          <t>INE298A01020</t>
        </is>
      </c>
      <c r="D65" t="inlineStr">
        <is>
          <t>Industrial Products</t>
        </is>
      </c>
      <c r="E65" t="n">
        <v>86271</v>
      </c>
      <c r="F65" t="n">
        <v>3864.34</v>
      </c>
      <c r="G65" t="n">
        <v>0.77</v>
      </c>
      <c r="I65" t="inlineStr">
        <is>
          <t>Mid Cap</t>
        </is>
      </c>
    </row>
    <row r="66">
      <c r="B66" t="inlineStr">
        <is>
          <t>Mankind Pharma Ltd</t>
        </is>
      </c>
      <c r="C66" t="inlineStr">
        <is>
          <t>INE634S01028</t>
        </is>
      </c>
      <c r="D66" t="inlineStr">
        <is>
          <t>Pharmaceuticals &amp; Biotechnology</t>
        </is>
      </c>
      <c r="E66" t="n">
        <v>170397</v>
      </c>
      <c r="F66" t="n">
        <v>3835.64</v>
      </c>
      <c r="G66" t="n">
        <v>0.76</v>
      </c>
      <c r="I66" t="inlineStr">
        <is>
          <t>Large Cap</t>
        </is>
      </c>
    </row>
    <row r="67">
      <c r="B67" t="inlineStr">
        <is>
          <t>Global Health Ltd</t>
        </is>
      </c>
      <c r="C67" t="inlineStr">
        <is>
          <t>INE474Q01031</t>
        </is>
      </c>
      <c r="D67" t="inlineStr">
        <is>
          <t>Healthcare Services</t>
        </is>
      </c>
      <c r="E67" t="n">
        <v>286528</v>
      </c>
      <c r="F67" t="n">
        <v>3570.14</v>
      </c>
      <c r="G67" t="n">
        <v>0.71</v>
      </c>
      <c r="I67" t="inlineStr">
        <is>
          <t>Mid Cap</t>
        </is>
      </c>
    </row>
    <row r="68">
      <c r="B68" t="inlineStr">
        <is>
          <t>City Union Bank Ltd</t>
        </is>
      </c>
      <c r="C68" t="inlineStr">
        <is>
          <t>INE491A01021</t>
        </is>
      </c>
      <c r="D68" t="inlineStr">
        <is>
          <t>Banks</t>
        </is>
      </c>
      <c r="E68" t="n">
        <v>1316669</v>
      </c>
      <c r="F68" t="n">
        <v>3569.23</v>
      </c>
      <c r="G68" t="n">
        <v>0.71</v>
      </c>
      <c r="I68" t="inlineStr">
        <is>
          <t>Small Cap</t>
        </is>
      </c>
    </row>
    <row r="69">
      <c r="B69" t="inlineStr">
        <is>
          <t>CG Power and Industrial Solutions Ltd</t>
        </is>
      </c>
      <c r="C69" t="inlineStr">
        <is>
          <t>INE067A01029</t>
        </is>
      </c>
      <c r="D69" t="inlineStr">
        <is>
          <t>Electrical Equipment</t>
        </is>
      </c>
      <c r="E69" t="n">
        <v>518392</v>
      </c>
      <c r="F69" t="n">
        <v>3488.26</v>
      </c>
      <c r="G69" t="n">
        <v>0.6899999999999999</v>
      </c>
      <c r="I69" t="inlineStr">
        <is>
          <t>Large Cap</t>
        </is>
      </c>
    </row>
    <row r="70">
      <c r="B70" t="inlineStr">
        <is>
          <t>Torrent Pharmaceuticals Ltd</t>
        </is>
      </c>
      <c r="C70" t="inlineStr">
        <is>
          <t>INE685A01028</t>
        </is>
      </c>
      <c r="D70" t="inlineStr">
        <is>
          <t>Pharmaceuticals &amp; Biotechnology</t>
        </is>
      </c>
      <c r="E70" t="n">
        <v>92951</v>
      </c>
      <c r="F70" t="n">
        <v>3458.33</v>
      </c>
      <c r="G70" t="n">
        <v>0.6899999999999999</v>
      </c>
      <c r="I70" t="inlineStr">
        <is>
          <t>Large Cap</t>
        </is>
      </c>
    </row>
    <row r="71">
      <c r="B71" t="inlineStr">
        <is>
          <t>Britannia Industries Ltd</t>
        </is>
      </c>
      <c r="C71" t="inlineStr">
        <is>
          <t>INE216A01030</t>
        </is>
      </c>
      <c r="D71" t="inlineStr">
        <is>
          <t>Food Products</t>
        </is>
      </c>
      <c r="E71" t="n">
        <v>58787</v>
      </c>
      <c r="F71" t="n">
        <v>3436.69</v>
      </c>
      <c r="G71" t="n">
        <v>0.68</v>
      </c>
      <c r="I71" t="inlineStr">
        <is>
          <t>Large Cap</t>
        </is>
      </c>
    </row>
    <row r="72">
      <c r="B72" t="inlineStr">
        <is>
          <t>BSE Ltd</t>
        </is>
      </c>
      <c r="C72" t="inlineStr">
        <is>
          <t>INE118H01025</t>
        </is>
      </c>
      <c r="D72" t="inlineStr">
        <is>
          <t>Capital Markets</t>
        </is>
      </c>
      <c r="E72" t="n">
        <v>117500</v>
      </c>
      <c r="F72" t="n">
        <v>3410.32</v>
      </c>
      <c r="G72" t="n">
        <v>0.68</v>
      </c>
      <c r="I72" t="inlineStr">
        <is>
          <t>Mid Cap</t>
        </is>
      </c>
    </row>
    <row r="73">
      <c r="B73" t="inlineStr">
        <is>
          <t>ICRA Ltd</t>
        </is>
      </c>
      <c r="C73" t="inlineStr">
        <is>
          <t>INE725G01011</t>
        </is>
      </c>
      <c r="D73" t="inlineStr">
        <is>
          <t>Capital Markets</t>
        </is>
      </c>
      <c r="E73" t="n">
        <v>54811</v>
      </c>
      <c r="F73" t="n">
        <v>3397.19</v>
      </c>
      <c r="G73" t="n">
        <v>0.67</v>
      </c>
      <c r="I73" t="inlineStr">
        <is>
          <t>Small Cap</t>
        </is>
      </c>
    </row>
    <row r="74">
      <c r="B74" t="inlineStr">
        <is>
          <t>Can Fin Homes Ltd</t>
        </is>
      </c>
      <c r="C74" t="inlineStr">
        <is>
          <t>INE477A01020</t>
        </is>
      </c>
      <c r="D74" t="inlineStr">
        <is>
          <t>Finance</t>
        </is>
      </c>
      <c r="E74" t="n">
        <v>375000</v>
      </c>
      <c r="F74" t="n">
        <v>3317.06</v>
      </c>
      <c r="G74" t="n">
        <v>0.66</v>
      </c>
      <c r="I74" t="inlineStr">
        <is>
          <t>Small Cap</t>
        </is>
      </c>
    </row>
    <row r="75">
      <c r="B75" t="inlineStr">
        <is>
          <t>Vinati Organics Ltd</t>
        </is>
      </c>
      <c r="C75" t="inlineStr">
        <is>
          <t>INE410B01037</t>
        </is>
      </c>
      <c r="D75" t="inlineStr">
        <is>
          <t>Chemicals &amp; Petrochemicals</t>
        </is>
      </c>
      <c r="E75" t="n">
        <v>209325</v>
      </c>
      <c r="F75" t="n">
        <v>3306.71</v>
      </c>
      <c r="G75" t="n">
        <v>0.66</v>
      </c>
      <c r="I75" t="inlineStr">
        <is>
          <t>Small Cap</t>
        </is>
      </c>
    </row>
    <row r="76">
      <c r="B76" t="inlineStr">
        <is>
          <t>PI Industries Ltd</t>
        </is>
      </c>
      <c r="C76" t="inlineStr">
        <is>
          <t>INE603J01030</t>
        </is>
      </c>
      <c r="D76" t="inlineStr">
        <is>
          <t>Fertilizers &amp; Agrochemicals</t>
        </is>
      </c>
      <c r="E76" t="n">
        <v>96709</v>
      </c>
      <c r="F76" t="n">
        <v>3283.85</v>
      </c>
      <c r="G76" t="n">
        <v>0.65</v>
      </c>
      <c r="I76" t="inlineStr">
        <is>
          <t>Mid Cap</t>
        </is>
      </c>
    </row>
    <row r="77">
      <c r="B77" t="inlineStr">
        <is>
          <t>Jubilant Foodworks Ltd</t>
        </is>
      </c>
      <c r="C77" t="inlineStr">
        <is>
          <t>INE797F01020</t>
        </is>
      </c>
      <c r="D77" t="inlineStr">
        <is>
          <t>Leisure Services</t>
        </is>
      </c>
      <c r="E77" t="n">
        <v>530000</v>
      </c>
      <c r="F77" t="n">
        <v>3187.95</v>
      </c>
      <c r="G77" t="n">
        <v>0.63</v>
      </c>
      <c r="I77" t="inlineStr">
        <is>
          <t>Mid Cap</t>
        </is>
      </c>
    </row>
    <row r="78">
      <c r="B78" t="inlineStr">
        <is>
          <t>Jyothy Labs Ltd</t>
        </is>
      </c>
      <c r="C78" t="inlineStr">
        <is>
          <t>INE668F01031</t>
        </is>
      </c>
      <c r="D78" t="inlineStr">
        <is>
          <t>Household Products</t>
        </is>
      </c>
      <c r="E78" t="n">
        <v>1060000</v>
      </c>
      <c r="F78" t="n">
        <v>3180.53</v>
      </c>
      <c r="G78" t="n">
        <v>0.63</v>
      </c>
      <c r="I78" t="inlineStr">
        <is>
          <t>Small Cap</t>
        </is>
      </c>
    </row>
    <row r="79">
      <c r="B79" t="inlineStr">
        <is>
          <t>Trent Ltd</t>
        </is>
      </c>
      <c r="C79" t="inlineStr">
        <is>
          <t>INE849A01020</t>
        </is>
      </c>
      <c r="D79" t="inlineStr">
        <is>
          <t>Retailing</t>
        </is>
      </c>
      <c r="E79" t="n">
        <v>74697</v>
      </c>
      <c r="F79" t="n">
        <v>3174.92</v>
      </c>
      <c r="G79" t="n">
        <v>0.63</v>
      </c>
      <c r="I79" t="inlineStr">
        <is>
          <t>Large Cap</t>
        </is>
      </c>
    </row>
    <row r="80">
      <c r="B80" t="inlineStr">
        <is>
          <t>Kajaria Ceramics Ltd</t>
        </is>
      </c>
      <c r="C80" t="inlineStr">
        <is>
          <t>INE217B01036</t>
        </is>
      </c>
      <c r="D80" t="inlineStr">
        <is>
          <t>Consumer Durables</t>
        </is>
      </c>
      <c r="E80" t="n">
        <v>285374</v>
      </c>
      <c r="F80" t="n">
        <v>3045.51</v>
      </c>
      <c r="G80" t="n">
        <v>0.6</v>
      </c>
      <c r="I80" t="inlineStr">
        <is>
          <t>Small Cap</t>
        </is>
      </c>
    </row>
    <row r="81">
      <c r="B81" t="inlineStr">
        <is>
          <t>Westlife Foodworld Ltd</t>
        </is>
      </c>
      <c r="C81" t="inlineStr">
        <is>
          <t>INE274F01020</t>
        </is>
      </c>
      <c r="D81" t="inlineStr">
        <is>
          <t>Leisure Services</t>
        </is>
      </c>
      <c r="E81" t="n">
        <v>533644</v>
      </c>
      <c r="F81" t="n">
        <v>3026.83</v>
      </c>
      <c r="G81" t="n">
        <v>0.6</v>
      </c>
      <c r="I81" t="inlineStr">
        <is>
          <t>Small Cap</t>
        </is>
      </c>
    </row>
    <row r="82">
      <c r="B82" t="inlineStr">
        <is>
          <t>APL Apollo Tubes Ltd</t>
        </is>
      </c>
      <c r="C82" t="inlineStr">
        <is>
          <t>INE702C01027</t>
        </is>
      </c>
      <c r="D82" t="inlineStr">
        <is>
          <t>Industrial Products</t>
        </is>
      </c>
      <c r="E82" t="n">
        <v>174735</v>
      </c>
      <c r="F82" t="n">
        <v>3003.52</v>
      </c>
      <c r="G82" t="n">
        <v>0.6</v>
      </c>
      <c r="I82" t="inlineStr">
        <is>
          <t>Mid Cap</t>
        </is>
      </c>
    </row>
    <row r="83">
      <c r="B83" t="inlineStr">
        <is>
          <t>Dixon Technologies (India) Ltd</t>
        </is>
      </c>
      <c r="C83" t="inlineStr">
        <is>
          <t>INE935N01020</t>
        </is>
      </c>
      <c r="D83" t="inlineStr">
        <is>
          <t>Consumer Durables</t>
        </is>
      </c>
      <c r="E83" t="n">
        <v>20500</v>
      </c>
      <c r="F83" t="n">
        <v>2993.21</v>
      </c>
      <c r="G83" t="n">
        <v>0.59</v>
      </c>
      <c r="I83" t="inlineStr">
        <is>
          <t>Mid Cap</t>
        </is>
      </c>
    </row>
    <row r="84">
      <c r="B84" t="inlineStr">
        <is>
          <t>Equitas Small Finance Bank Ltd</t>
        </is>
      </c>
      <c r="C84" t="inlineStr">
        <is>
          <t>INE063P01018</t>
        </is>
      </c>
      <c r="D84" t="inlineStr">
        <is>
          <t>Banks</t>
        </is>
      </c>
      <c r="E84" t="n">
        <v>4345287</v>
      </c>
      <c r="F84" t="n">
        <v>2787.94</v>
      </c>
      <c r="G84" t="n">
        <v>0.55</v>
      </c>
      <c r="I84" t="inlineStr">
        <is>
          <t>Small Cap</t>
        </is>
      </c>
    </row>
    <row r="85">
      <c r="B85" t="inlineStr">
        <is>
          <t>LG Electronics India Ltd</t>
        </is>
      </c>
      <c r="C85" t="inlineStr">
        <is>
          <t>INE324D01010</t>
        </is>
      </c>
      <c r="D85" t="inlineStr">
        <is>
          <t>Consumer Durables</t>
        </is>
      </c>
      <c r="E85" t="n">
        <v>165646</v>
      </c>
      <c r="F85" t="n">
        <v>2748.56</v>
      </c>
      <c r="G85" t="n">
        <v>0.54</v>
      </c>
      <c r="I85" t="inlineStr">
        <is>
          <t>Large Cap</t>
        </is>
      </c>
    </row>
    <row r="86">
      <c r="B86" t="inlineStr">
        <is>
          <t>Praj Industries Ltd</t>
        </is>
      </c>
      <c r="C86" t="inlineStr">
        <is>
          <t>INE074A01025</t>
        </is>
      </c>
      <c r="D86" t="inlineStr">
        <is>
          <t>Industrial Manufacturing</t>
        </is>
      </c>
      <c r="E86" t="n">
        <v>841741</v>
      </c>
      <c r="F86" t="n">
        <v>2661.59</v>
      </c>
      <c r="G86" t="n">
        <v>0.53</v>
      </c>
      <c r="I86" t="inlineStr">
        <is>
          <t>Small Cap</t>
        </is>
      </c>
    </row>
    <row r="87">
      <c r="B87" t="inlineStr">
        <is>
          <t>National Aluminium Co Ltd</t>
        </is>
      </c>
      <c r="C87" t="inlineStr">
        <is>
          <t>INE139A01034</t>
        </is>
      </c>
      <c r="D87" t="inlineStr">
        <is>
          <t>Non - Ferrous Metals</t>
        </is>
      </c>
      <c r="E87" t="n">
        <v>1000000</v>
      </c>
      <c r="F87" t="n">
        <v>2599.8</v>
      </c>
      <c r="G87" t="n">
        <v>0.52</v>
      </c>
      <c r="I87" t="inlineStr">
        <is>
          <t>Mid Cap</t>
        </is>
      </c>
    </row>
    <row r="88">
      <c r="B88" t="inlineStr">
        <is>
          <t>Deepak Nitrite Ltd</t>
        </is>
      </c>
      <c r="C88" t="inlineStr">
        <is>
          <t>INE288B01029</t>
        </is>
      </c>
      <c r="D88" t="inlineStr">
        <is>
          <t>Chemicals &amp; Petrochemicals</t>
        </is>
      </c>
      <c r="E88" t="n">
        <v>166324</v>
      </c>
      <c r="F88" t="n">
        <v>2592.33</v>
      </c>
      <c r="G88" t="n">
        <v>0.51</v>
      </c>
      <c r="I88" t="inlineStr">
        <is>
          <t>Small Cap</t>
        </is>
      </c>
    </row>
    <row r="89">
      <c r="B89" t="inlineStr">
        <is>
          <t>Interglobe Aviation Ltd</t>
        </is>
      </c>
      <c r="C89" t="inlineStr">
        <is>
          <t>INE646L01027</t>
        </is>
      </c>
      <c r="D89" t="inlineStr">
        <is>
          <t>Transport Services</t>
        </is>
      </c>
      <c r="E89" t="n">
        <v>40853</v>
      </c>
      <c r="F89" t="n">
        <v>2410.94</v>
      </c>
      <c r="G89" t="n">
        <v>0.48</v>
      </c>
      <c r="I89" t="inlineStr">
        <is>
          <t>Large Cap</t>
        </is>
      </c>
    </row>
    <row r="90">
      <c r="B90" t="inlineStr">
        <is>
          <t>Abbott India Ltd</t>
        </is>
      </c>
      <c r="C90" t="inlineStr">
        <is>
          <t>INE358A01014</t>
        </is>
      </c>
      <c r="D90" t="inlineStr">
        <is>
          <t>Pharmaceuticals &amp; Biotechnology</t>
        </is>
      </c>
      <c r="E90" t="n">
        <v>7930</v>
      </c>
      <c r="F90" t="n">
        <v>2384.95</v>
      </c>
      <c r="G90" t="n">
        <v>0.47</v>
      </c>
      <c r="I90" t="inlineStr">
        <is>
          <t>Mid Cap</t>
        </is>
      </c>
    </row>
    <row r="91">
      <c r="B91" t="inlineStr">
        <is>
          <t>Sagility Ltd</t>
        </is>
      </c>
      <c r="C91" t="inlineStr">
        <is>
          <t>INE0W2G01015</t>
        </is>
      </c>
      <c r="D91" t="inlineStr">
        <is>
          <t>IT - Services</t>
        </is>
      </c>
      <c r="E91" t="n">
        <v>4528904</v>
      </c>
      <c r="F91" t="n">
        <v>2268.08</v>
      </c>
      <c r="G91" t="n">
        <v>0.45</v>
      </c>
      <c r="I91" t="inlineStr">
        <is>
          <t>Small Cap</t>
        </is>
      </c>
    </row>
    <row r="92">
      <c r="B92" t="inlineStr">
        <is>
          <t>CRISIL Ltd</t>
        </is>
      </c>
      <c r="C92" t="inlineStr">
        <is>
          <t>INE007A01025</t>
        </is>
      </c>
      <c r="D92" t="inlineStr">
        <is>
          <t>Finance</t>
        </is>
      </c>
      <c r="E92" t="n">
        <v>48884</v>
      </c>
      <c r="F92" t="n">
        <v>2162.48</v>
      </c>
      <c r="G92" t="n">
        <v>0.43</v>
      </c>
      <c r="I92" t="inlineStr">
        <is>
          <t>Mid Cap</t>
        </is>
      </c>
    </row>
    <row r="93">
      <c r="B93" t="inlineStr">
        <is>
          <t>Schaeffler India Ltd</t>
        </is>
      </c>
      <c r="C93" t="inlineStr">
        <is>
          <t>INE513A01022</t>
        </is>
      </c>
      <c r="D93" t="inlineStr">
        <is>
          <t>Auto Components</t>
        </is>
      </c>
      <c r="E93" t="n">
        <v>55188</v>
      </c>
      <c r="F93" t="n">
        <v>2152</v>
      </c>
      <c r="G93" t="n">
        <v>0.43</v>
      </c>
      <c r="I93" t="inlineStr">
        <is>
          <t>Mid Cap</t>
        </is>
      </c>
    </row>
    <row r="94">
      <c r="B94" t="inlineStr">
        <is>
          <t>Piramal Pharma Ltd</t>
        </is>
      </c>
      <c r="C94" t="inlineStr">
        <is>
          <t>INE0DK501011</t>
        </is>
      </c>
      <c r="D94" t="inlineStr">
        <is>
          <t>Pharmaceuticals &amp; Biotechnology</t>
        </is>
      </c>
      <c r="E94" t="n">
        <v>1133946</v>
      </c>
      <c r="F94" t="n">
        <v>2122.86</v>
      </c>
      <c r="G94" t="n">
        <v>0.42</v>
      </c>
      <c r="I94" t="inlineStr">
        <is>
          <t>Small Cap</t>
        </is>
      </c>
    </row>
    <row r="95">
      <c r="B95" t="inlineStr">
        <is>
          <t>ZF Commercial Vehicle Control Systems India Ltd</t>
        </is>
      </c>
      <c r="C95" t="inlineStr">
        <is>
          <t>INE342J01019</t>
        </is>
      </c>
      <c r="D95" t="inlineStr">
        <is>
          <t>Auto Components</t>
        </is>
      </c>
      <c r="E95" t="n">
        <v>15308</v>
      </c>
      <c r="F95" t="n">
        <v>2021.27</v>
      </c>
      <c r="G95" t="n">
        <v>0.4</v>
      </c>
      <c r="I95" t="inlineStr">
        <is>
          <t>Small Cap</t>
        </is>
      </c>
    </row>
    <row r="96">
      <c r="B96" t="inlineStr">
        <is>
          <t>United Breweries Ltd</t>
        </is>
      </c>
      <c r="C96" t="inlineStr">
        <is>
          <t>INE686F01025</t>
        </is>
      </c>
      <c r="D96" t="inlineStr">
        <is>
          <t>Beverages</t>
        </is>
      </c>
      <c r="E96" t="n">
        <v>110887</v>
      </c>
      <c r="F96" t="n">
        <v>1874.66</v>
      </c>
      <c r="G96" t="n">
        <v>0.37</v>
      </c>
      <c r="I96" t="inlineStr">
        <is>
          <t>Mid Cap</t>
        </is>
      </c>
    </row>
    <row r="97">
      <c r="B97" t="inlineStr">
        <is>
          <t>Blue Star Ltd</t>
        </is>
      </c>
      <c r="C97" t="inlineStr">
        <is>
          <t>INE472A01039</t>
        </is>
      </c>
      <c r="D97" t="inlineStr">
        <is>
          <t>Consumer Durables</t>
        </is>
      </c>
      <c r="E97" t="n">
        <v>94854</v>
      </c>
      <c r="F97" t="n">
        <v>1674.55</v>
      </c>
      <c r="G97" t="n">
        <v>0.33</v>
      </c>
      <c r="I97" t="inlineStr">
        <is>
          <t>Mid Cap</t>
        </is>
      </c>
    </row>
    <row r="98">
      <c r="B98" t="inlineStr">
        <is>
          <t>Suzlon Energy Ltd</t>
        </is>
      </c>
      <c r="C98" t="inlineStr">
        <is>
          <t>INE040H01021</t>
        </is>
      </c>
      <c r="D98" t="inlineStr">
        <is>
          <t>Electrical Equipment</t>
        </is>
      </c>
      <c r="E98" t="n">
        <v>2978140</v>
      </c>
      <c r="F98" t="n">
        <v>1608.49</v>
      </c>
      <c r="G98" t="n">
        <v>0.32</v>
      </c>
      <c r="I98" t="inlineStr">
        <is>
          <t>Mid Cap</t>
        </is>
      </c>
    </row>
    <row r="99">
      <c r="B99" t="inlineStr">
        <is>
          <t>Persistent Systems Ltd</t>
        </is>
      </c>
      <c r="C99" t="inlineStr">
        <is>
          <t>INE262H01021</t>
        </is>
      </c>
      <c r="D99" t="inlineStr">
        <is>
          <t>IT - Software</t>
        </is>
      </c>
      <c r="E99" t="n">
        <v>25000</v>
      </c>
      <c r="F99" t="n">
        <v>1588.25</v>
      </c>
      <c r="G99" t="n">
        <v>0.31</v>
      </c>
      <c r="I99" t="inlineStr">
        <is>
          <t>Mid Cap</t>
        </is>
      </c>
    </row>
    <row r="100">
      <c r="B100" t="inlineStr">
        <is>
          <t>Phoenix Mills Ltd</t>
        </is>
      </c>
      <c r="C100" t="inlineStr">
        <is>
          <t>INE211B01039</t>
        </is>
      </c>
      <c r="D100" t="inlineStr">
        <is>
          <t>Realty</t>
        </is>
      </c>
      <c r="E100" t="n">
        <v>83700</v>
      </c>
      <c r="F100" t="n">
        <v>1453.7</v>
      </c>
      <c r="G100" t="n">
        <v>0.29</v>
      </c>
      <c r="I100" t="inlineStr">
        <is>
          <t>Mid Cap</t>
        </is>
      </c>
    </row>
    <row r="101">
      <c r="B101" t="inlineStr">
        <is>
          <t>CCL Products (India) Ltd</t>
        </is>
      </c>
      <c r="C101" t="inlineStr">
        <is>
          <t>INE421D01022</t>
        </is>
      </c>
      <c r="D101" t="inlineStr">
        <is>
          <t>Agricultural Food &amp; Other Products</t>
        </is>
      </c>
      <c r="E101" t="n">
        <v>143293</v>
      </c>
      <c r="F101" t="n">
        <v>1445.25</v>
      </c>
      <c r="G101" t="n">
        <v>0.29</v>
      </c>
      <c r="I101" t="inlineStr">
        <is>
          <t>Small Cap</t>
        </is>
      </c>
    </row>
    <row r="102">
      <c r="B102" t="inlineStr">
        <is>
          <t>Tenneco Clean Air India Ltd</t>
        </is>
      </c>
      <c r="C102" t="inlineStr">
        <is>
          <t>INE19RI01016</t>
        </is>
      </c>
      <c r="D102" t="inlineStr">
        <is>
          <t>Auto Components</t>
        </is>
      </c>
      <c r="E102" t="n">
        <v>274604</v>
      </c>
      <c r="F102" t="n">
        <v>1328.95</v>
      </c>
      <c r="G102" t="n">
        <v>0.26</v>
      </c>
      <c r="I102" t="inlineStr">
        <is>
          <t>Small Cap</t>
        </is>
      </c>
    </row>
    <row r="103">
      <c r="B103" t="inlineStr">
        <is>
          <t>Torrent Power Ltd</t>
        </is>
      </c>
      <c r="C103" t="inlineStr">
        <is>
          <t>INE813H01021</t>
        </is>
      </c>
      <c r="D103" t="inlineStr">
        <is>
          <t>Power</t>
        </is>
      </c>
      <c r="E103" t="n">
        <v>74900</v>
      </c>
      <c r="F103" t="n">
        <v>984.5599999999999</v>
      </c>
      <c r="G103" t="n">
        <v>0.2</v>
      </c>
      <c r="I103" t="inlineStr">
        <is>
          <t>Mid Cap</t>
        </is>
      </c>
    </row>
    <row r="104">
      <c r="B104" t="inlineStr">
        <is>
          <t>Creditaccess Grameen Ltd</t>
        </is>
      </c>
      <c r="C104" t="inlineStr">
        <is>
          <t>INE741K01010</t>
        </is>
      </c>
      <c r="D104" t="inlineStr">
        <is>
          <t>Finance</t>
        </is>
      </c>
      <c r="E104" t="n">
        <v>64964</v>
      </c>
      <c r="F104" t="n">
        <v>868.63</v>
      </c>
      <c r="G104" t="n">
        <v>0.17</v>
      </c>
      <c r="I104" t="inlineStr">
        <is>
          <t>Small Cap</t>
        </is>
      </c>
    </row>
    <row r="105">
      <c r="B105" t="inlineStr">
        <is>
          <t>L&amp;T Technology Services Ltd</t>
        </is>
      </c>
      <c r="C105" t="inlineStr">
        <is>
          <t>INE010V01017</t>
        </is>
      </c>
      <c r="D105" t="inlineStr">
        <is>
          <t>IT - Services</t>
        </is>
      </c>
      <c r="E105" t="n">
        <v>15000</v>
      </c>
      <c r="F105" t="n">
        <v>666.0599999999999</v>
      </c>
      <c r="G105" t="n">
        <v>0.13</v>
      </c>
      <c r="I105" t="inlineStr">
        <is>
          <t>Mid Cap</t>
        </is>
      </c>
    </row>
    <row r="106">
      <c r="B106" t="inlineStr">
        <is>
          <t>Sub Total</t>
        </is>
      </c>
      <c r="F106">
        <f>SUM(F7:F105)</f>
        <v/>
      </c>
      <c r="G106">
        <f>SUM(G7:G105)</f>
        <v/>
      </c>
    </row>
    <row r="107">
      <c r="B107" t="inlineStr">
        <is>
          <t>Total</t>
        </is>
      </c>
      <c r="F107">
        <f>F106</f>
        <v/>
      </c>
      <c r="G107">
        <f>G106</f>
        <v/>
      </c>
    </row>
    <row r="108">
      <c r="B108" t="inlineStr">
        <is>
          <t>Debt Instruments</t>
        </is>
      </c>
    </row>
    <row r="109">
      <c r="B109" t="inlineStr">
        <is>
          <t>(a) Listed / awaiting listing on Stock Exchanges</t>
        </is>
      </c>
    </row>
    <row r="110">
      <c r="B110" t="inlineStr">
        <is>
          <t>6.00% TVS Motor Co Ltd NCRPS **</t>
        </is>
      </c>
      <c r="C110" t="inlineStr">
        <is>
          <t>INE494B04019</t>
        </is>
      </c>
      <c r="D110" t="inlineStr">
        <is>
          <t>CARE A1+</t>
        </is>
      </c>
      <c r="E110" t="n">
        <v>732000</v>
      </c>
      <c r="F110" t="n">
        <v>74.23</v>
      </c>
      <c r="G110" t="n">
        <v>0.01</v>
      </c>
      <c r="H110" t="n">
        <v>6.035</v>
      </c>
      <c r="I110" t="n">
        <v>6.035</v>
      </c>
    </row>
    <row r="111">
      <c r="B111" t="inlineStr">
        <is>
          <t>Sub Total</t>
        </is>
      </c>
      <c r="F111" t="n">
        <v>74.23</v>
      </c>
      <c r="G111" t="n">
        <v>0.01</v>
      </c>
    </row>
    <row r="112">
      <c r="B112" t="inlineStr">
        <is>
          <t>Total</t>
        </is>
      </c>
      <c r="F112" t="n">
        <v>74.23</v>
      </c>
      <c r="G112" t="n">
        <v>0.01</v>
      </c>
    </row>
    <row r="113">
      <c r="B113" t="inlineStr">
        <is>
          <t>TREPS</t>
        </is>
      </c>
    </row>
    <row r="114">
      <c r="B114" t="inlineStr">
        <is>
          <t>TREPS</t>
        </is>
      </c>
      <c r="F114" t="n">
        <v>17579.62</v>
      </c>
      <c r="G114" t="n">
        <v>3.48</v>
      </c>
    </row>
    <row r="115">
      <c r="B115" t="inlineStr">
        <is>
          <t>Sub Total</t>
        </is>
      </c>
      <c r="F115">
        <f>SUM(F113:F114)</f>
        <v/>
      </c>
      <c r="G115">
        <f>SUM(G113:G114)</f>
        <v/>
      </c>
    </row>
    <row r="116">
      <c r="B116" t="inlineStr">
        <is>
          <t>Total</t>
        </is>
      </c>
      <c r="F116">
        <f>F115</f>
        <v/>
      </c>
      <c r="G116">
        <f>G115</f>
        <v/>
      </c>
    </row>
    <row r="117">
      <c r="B117" t="inlineStr">
        <is>
          <t>Net Receivables / (Payables)</t>
        </is>
      </c>
      <c r="F117">
        <f>F118-(+F107+F116+F112)</f>
        <v/>
      </c>
      <c r="G117">
        <f>G118-(+G107+G116+G112)</f>
        <v/>
      </c>
    </row>
    <row r="118">
      <c r="B118" t="inlineStr">
        <is>
          <t>Grand Total</t>
        </is>
      </c>
      <c r="F118" t="n">
        <v>504688.28</v>
      </c>
      <c r="G118" t="n">
        <v>100</v>
      </c>
    </row>
    <row r="119"/>
    <row r="120">
      <c r="B120" t="inlineStr">
        <is>
          <t>** Non Traded Security</t>
        </is>
      </c>
    </row>
    <row r="121"/>
    <row r="122">
      <c r="B122" t="inlineStr">
        <is>
          <t>Residual Maturity</t>
        </is>
      </c>
      <c r="C122" t="inlineStr">
        <is>
          <t>0.0027 Years</t>
        </is>
      </c>
    </row>
    <row r="123"/>
    <row r="124">
      <c r="B124" t="inlineStr">
        <is>
          <t>Please refer the below link for the performance of the Schemes managed by Canara Robeco Mutual Fund</t>
        </is>
      </c>
    </row>
    <row r="125"/>
    <row r="126">
      <c r="B126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FOCUSED FUND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>Yield %</t>
        </is>
      </c>
      <c r="I4" t="inlineStr">
        <is>
          <t xml:space="preserve">Market Capitalization </t>
        </is>
      </c>
      <c r="L4" t="inlineStr">
        <is>
          <t>Scheme Risk-O-Meter Level- November'25</t>
        </is>
      </c>
      <c r="M4" t="inlineStr">
        <is>
          <t>Benchmark Risk-O-Meter Level- November'25</t>
        </is>
      </c>
      <c r="N4" t="inlineStr">
        <is>
          <t>Scheme Risk-O-Meter Level- October'25</t>
        </is>
      </c>
      <c r="O4" t="inlineStr">
        <is>
          <t>Benchmark Risk-O-Meter Level- October'25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ICICI Bank Ltd</t>
        </is>
      </c>
      <c r="C7" t="inlineStr">
        <is>
          <t>INE090A01021</t>
        </is>
      </c>
      <c r="D7" t="inlineStr">
        <is>
          <t>Banks</t>
        </is>
      </c>
      <c r="E7" t="n">
        <v>1715000</v>
      </c>
      <c r="F7" t="n">
        <v>23817.92</v>
      </c>
      <c r="G7" t="n">
        <v>8.24</v>
      </c>
      <c r="I7" t="inlineStr">
        <is>
          <t>Large Cap</t>
        </is>
      </c>
    </row>
    <row r="8">
      <c r="B8" t="inlineStr">
        <is>
          <t>HDFC Bank Ltd</t>
        </is>
      </c>
      <c r="C8" t="inlineStr">
        <is>
          <t>INE040A01034</t>
        </is>
      </c>
      <c r="D8" t="inlineStr">
        <is>
          <t>Banks</t>
        </is>
      </c>
      <c r="E8" t="n">
        <v>2215000</v>
      </c>
      <c r="F8" t="n">
        <v>22318.34</v>
      </c>
      <c r="G8" t="n">
        <v>7.72</v>
      </c>
      <c r="I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1029800</v>
      </c>
      <c r="F9" t="n">
        <v>16142.12</v>
      </c>
      <c r="G9" t="n">
        <v>5.59</v>
      </c>
      <c r="I9" t="inlineStr">
        <is>
          <t>Large Cap</t>
        </is>
      </c>
    </row>
    <row r="10">
      <c r="B10" t="inlineStr">
        <is>
          <t>Infosys Ltd</t>
        </is>
      </c>
      <c r="C10" t="inlineStr">
        <is>
          <t>INE009A01021</t>
        </is>
      </c>
      <c r="D10" t="inlineStr">
        <is>
          <t>IT - Software</t>
        </is>
      </c>
      <c r="E10" t="n">
        <v>840000</v>
      </c>
      <c r="F10" t="n">
        <v>13104.84</v>
      </c>
      <c r="G10" t="n">
        <v>4.53</v>
      </c>
      <c r="I10" t="inlineStr">
        <is>
          <t>Large Cap</t>
        </is>
      </c>
    </row>
    <row r="11">
      <c r="B11" t="inlineStr">
        <is>
          <t>Larsen &amp; Toubro Ltd</t>
        </is>
      </c>
      <c r="C11" t="inlineStr">
        <is>
          <t>INE018A01030</t>
        </is>
      </c>
      <c r="D11" t="inlineStr">
        <is>
          <t>Construction</t>
        </is>
      </c>
      <c r="E11" t="n">
        <v>319261</v>
      </c>
      <c r="F11" t="n">
        <v>12992.65</v>
      </c>
      <c r="G11" t="n">
        <v>4.5</v>
      </c>
      <c r="I11" t="inlineStr">
        <is>
          <t>Large Cap</t>
        </is>
      </c>
    </row>
    <row r="12">
      <c r="B12" t="inlineStr">
        <is>
          <t>Bajaj Finance Ltd</t>
        </is>
      </c>
      <c r="C12" t="inlineStr">
        <is>
          <t>INE296A01032</t>
        </is>
      </c>
      <c r="D12" t="inlineStr">
        <is>
          <t>Finance</t>
        </is>
      </c>
      <c r="E12" t="n">
        <v>1185000</v>
      </c>
      <c r="F12" t="n">
        <v>12294.38</v>
      </c>
      <c r="G12" t="n">
        <v>4.25</v>
      </c>
      <c r="I12" t="inlineStr">
        <is>
          <t>Large Cap</t>
        </is>
      </c>
    </row>
    <row r="13">
      <c r="B13" t="inlineStr">
        <is>
          <t>Bharti Airtel Ltd</t>
        </is>
      </c>
      <c r="C13" t="inlineStr">
        <is>
          <t>INE397D01024</t>
        </is>
      </c>
      <c r="D13" t="inlineStr">
        <is>
          <t>Telecom - Services</t>
        </is>
      </c>
      <c r="E13" t="n">
        <v>539800</v>
      </c>
      <c r="F13" t="n">
        <v>11344.44</v>
      </c>
      <c r="G13" t="n">
        <v>3.93</v>
      </c>
      <c r="I13" t="inlineStr">
        <is>
          <t>Large Cap</t>
        </is>
      </c>
      <c r="M13" t="inlineStr">
        <is>
          <t>Benchmark: BSE 500 TRI</t>
        </is>
      </c>
    </row>
    <row r="14">
      <c r="B14" t="inlineStr">
        <is>
          <t>TVS Motor Co Ltd</t>
        </is>
      </c>
      <c r="C14" t="inlineStr">
        <is>
          <t>INE494B01023</t>
        </is>
      </c>
      <c r="D14" t="inlineStr">
        <is>
          <t>Automobiles</t>
        </is>
      </c>
      <c r="E14" t="n">
        <v>310383</v>
      </c>
      <c r="F14" t="n">
        <v>10961.18</v>
      </c>
      <c r="G14" t="n">
        <v>3.79</v>
      </c>
      <c r="I14" t="inlineStr">
        <is>
          <t>Large Cap</t>
        </is>
      </c>
    </row>
    <row r="15">
      <c r="B15" t="inlineStr">
        <is>
          <t>Divi's Laboratories Ltd</t>
        </is>
      </c>
      <c r="C15" t="inlineStr">
        <is>
          <t>INE361B01024</t>
        </is>
      </c>
      <c r="D15" t="inlineStr">
        <is>
          <t>Pharmaceuticals &amp; Biotechnology</t>
        </is>
      </c>
      <c r="E15" t="n">
        <v>162500</v>
      </c>
      <c r="F15" t="n">
        <v>10525.13</v>
      </c>
      <c r="G15" t="n">
        <v>3.64</v>
      </c>
      <c r="I15" t="inlineStr">
        <is>
          <t>Large Cap</t>
        </is>
      </c>
    </row>
    <row r="16">
      <c r="B16" t="inlineStr">
        <is>
          <t>Eternal Ltd</t>
        </is>
      </c>
      <c r="C16" t="inlineStr">
        <is>
          <t>INE758T01015</t>
        </is>
      </c>
      <c r="D16" t="inlineStr">
        <is>
          <t>Retailing</t>
        </is>
      </c>
      <c r="E16" t="n">
        <v>3400000</v>
      </c>
      <c r="F16" t="n">
        <v>10203.4</v>
      </c>
      <c r="G16" t="n">
        <v>3.53</v>
      </c>
      <c r="I16" t="inlineStr">
        <is>
          <t>Large Cap</t>
        </is>
      </c>
    </row>
    <row r="17">
      <c r="B17" t="inlineStr">
        <is>
          <t>State Bank of India</t>
        </is>
      </c>
      <c r="C17" t="inlineStr">
        <is>
          <t>INE062A01020</t>
        </is>
      </c>
      <c r="D17" t="inlineStr">
        <is>
          <t>Banks</t>
        </is>
      </c>
      <c r="E17" t="n">
        <v>1031500</v>
      </c>
      <c r="F17" t="n">
        <v>10098.39</v>
      </c>
      <c r="G17" t="n">
        <v>3.49</v>
      </c>
      <c r="I17" t="inlineStr">
        <is>
          <t>Large Cap</t>
        </is>
      </c>
    </row>
    <row r="18">
      <c r="B18" t="inlineStr">
        <is>
          <t>Max Healthcare Institute Ltd</t>
        </is>
      </c>
      <c r="C18" t="inlineStr">
        <is>
          <t>INE027H01010</t>
        </is>
      </c>
      <c r="D18" t="inlineStr">
        <is>
          <t>Healthcare Services</t>
        </is>
      </c>
      <c r="E18" t="n">
        <v>795059</v>
      </c>
      <c r="F18" t="n">
        <v>9244.950000000001</v>
      </c>
      <c r="G18" t="n">
        <v>3.2</v>
      </c>
      <c r="I18" t="inlineStr">
        <is>
          <t>Large Cap</t>
        </is>
      </c>
    </row>
    <row r="19">
      <c r="B19" t="inlineStr">
        <is>
          <t>Mahindra &amp; Mahindra Ltd</t>
        </is>
      </c>
      <c r="C19" t="inlineStr">
        <is>
          <t>INE101A01026</t>
        </is>
      </c>
      <c r="D19" t="inlineStr">
        <is>
          <t>Automobiles</t>
        </is>
      </c>
      <c r="E19" t="n">
        <v>225500</v>
      </c>
      <c r="F19" t="n">
        <v>8472.709999999999</v>
      </c>
      <c r="G19" t="n">
        <v>2.93</v>
      </c>
      <c r="I19" t="inlineStr">
        <is>
          <t>Large Cap</t>
        </is>
      </c>
    </row>
    <row r="20">
      <c r="B20" t="inlineStr">
        <is>
          <t>SBI Life Insurance Co Ltd</t>
        </is>
      </c>
      <c r="C20" t="inlineStr">
        <is>
          <t>INE123W01016</t>
        </is>
      </c>
      <c r="D20" t="inlineStr">
        <is>
          <t>Insurance</t>
        </is>
      </c>
      <c r="E20" t="n">
        <v>425443</v>
      </c>
      <c r="F20" t="n">
        <v>8364.209999999999</v>
      </c>
      <c r="G20" t="n">
        <v>2.89</v>
      </c>
      <c r="I20" t="inlineStr">
        <is>
          <t>Large Cap</t>
        </is>
      </c>
    </row>
    <row r="21">
      <c r="B21" t="inlineStr">
        <is>
          <t>Bharat Electronics Ltd</t>
        </is>
      </c>
      <c r="C21" t="inlineStr">
        <is>
          <t>INE263A01024</t>
        </is>
      </c>
      <c r="D21" t="inlineStr">
        <is>
          <t>Aerospace &amp; Defense</t>
        </is>
      </c>
      <c r="E21" t="n">
        <v>2005307</v>
      </c>
      <c r="F21" t="n">
        <v>8256.85</v>
      </c>
      <c r="G21" t="n">
        <v>2.86</v>
      </c>
      <c r="I21" t="inlineStr">
        <is>
          <t>Large Cap</t>
        </is>
      </c>
    </row>
    <row r="22">
      <c r="B22" t="inlineStr">
        <is>
          <t>Interglobe Aviation Ltd</t>
        </is>
      </c>
      <c r="C22" t="inlineStr">
        <is>
          <t>INE646L01027</t>
        </is>
      </c>
      <c r="D22" t="inlineStr">
        <is>
          <t>Transport Services</t>
        </is>
      </c>
      <c r="E22" t="n">
        <v>131260</v>
      </c>
      <c r="F22" t="n">
        <v>7746.31</v>
      </c>
      <c r="G22" t="n">
        <v>2.68</v>
      </c>
      <c r="I22" t="inlineStr">
        <is>
          <t>Large Cap</t>
        </is>
      </c>
    </row>
    <row r="23">
      <c r="B23" t="inlineStr">
        <is>
          <t>Ge Vernova T&amp;D India Ltd</t>
        </is>
      </c>
      <c r="C23" t="inlineStr">
        <is>
          <t>INE200A01026</t>
        </is>
      </c>
      <c r="D23" t="inlineStr">
        <is>
          <t>Electrical Equipment</t>
        </is>
      </c>
      <c r="E23" t="n">
        <v>260672</v>
      </c>
      <c r="F23" t="n">
        <v>7511</v>
      </c>
      <c r="G23" t="n">
        <v>2.6</v>
      </c>
      <c r="I23" t="inlineStr">
        <is>
          <t>Mid Cap</t>
        </is>
      </c>
    </row>
    <row r="24">
      <c r="B24" t="inlineStr">
        <is>
          <t>Axis Bank Ltd</t>
        </is>
      </c>
      <c r="C24" t="inlineStr">
        <is>
          <t>INE238A01034</t>
        </is>
      </c>
      <c r="D24" t="inlineStr">
        <is>
          <t>Banks</t>
        </is>
      </c>
      <c r="E24" t="n">
        <v>570000</v>
      </c>
      <c r="F24" t="n">
        <v>7294.29</v>
      </c>
      <c r="G24" t="n">
        <v>2.52</v>
      </c>
      <c r="I24" t="inlineStr">
        <is>
          <t>Large Cap</t>
        </is>
      </c>
    </row>
    <row r="25">
      <c r="B25" t="inlineStr">
        <is>
          <t>Varun Beverages Ltd</t>
        </is>
      </c>
      <c r="C25" t="inlineStr">
        <is>
          <t>INE200M01039</t>
        </is>
      </c>
      <c r="D25" t="inlineStr">
        <is>
          <t>Beverages</t>
        </is>
      </c>
      <c r="E25" t="n">
        <v>1511542</v>
      </c>
      <c r="F25" t="n">
        <v>7278.83</v>
      </c>
      <c r="G25" t="n">
        <v>2.52</v>
      </c>
      <c r="I25" t="inlineStr">
        <is>
          <t>Large Cap</t>
        </is>
      </c>
    </row>
    <row r="26">
      <c r="B26" t="inlineStr">
        <is>
          <t>Ultratech Cement Ltd</t>
        </is>
      </c>
      <c r="C26" t="inlineStr">
        <is>
          <t>INE481G01011</t>
        </is>
      </c>
      <c r="D26" t="inlineStr">
        <is>
          <t>Cement &amp; Cement Products</t>
        </is>
      </c>
      <c r="E26" t="n">
        <v>61000</v>
      </c>
      <c r="F26" t="n">
        <v>7076</v>
      </c>
      <c r="G26" t="n">
        <v>2.45</v>
      </c>
      <c r="I26" t="inlineStr">
        <is>
          <t>Large Cap</t>
        </is>
      </c>
    </row>
    <row r="27">
      <c r="B27" t="inlineStr">
        <is>
          <t>Uno Minda Ltd</t>
        </is>
      </c>
      <c r="C27" t="inlineStr">
        <is>
          <t>INE405E01023</t>
        </is>
      </c>
      <c r="D27" t="inlineStr">
        <is>
          <t>Auto Components</t>
        </is>
      </c>
      <c r="E27" t="n">
        <v>535351</v>
      </c>
      <c r="F27" t="n">
        <v>6995.97</v>
      </c>
      <c r="G27" t="n">
        <v>2.42</v>
      </c>
      <c r="I27" t="inlineStr">
        <is>
          <t>Mid Cap</t>
        </is>
      </c>
    </row>
    <row r="28">
      <c r="B28" t="inlineStr">
        <is>
          <t>Indian Hotels Co Ltd</t>
        </is>
      </c>
      <c r="C28" t="inlineStr">
        <is>
          <t>INE053A01029</t>
        </is>
      </c>
      <c r="D28" t="inlineStr">
        <is>
          <t>Leisure Services</t>
        </is>
      </c>
      <c r="E28" t="n">
        <v>889372</v>
      </c>
      <c r="F28" t="n">
        <v>6619.6</v>
      </c>
      <c r="G28" t="n">
        <v>2.29</v>
      </c>
      <c r="I28" t="inlineStr">
        <is>
          <t>Large Cap</t>
        </is>
      </c>
    </row>
    <row r="29">
      <c r="B29" t="inlineStr">
        <is>
          <t>Mankind Pharma Ltd</t>
        </is>
      </c>
      <c r="C29" t="inlineStr">
        <is>
          <t>INE634S01028</t>
        </is>
      </c>
      <c r="D29" t="inlineStr">
        <is>
          <t>Pharmaceuticals &amp; Biotechnology</t>
        </is>
      </c>
      <c r="E29" t="n">
        <v>280483</v>
      </c>
      <c r="F29" t="n">
        <v>6313.67</v>
      </c>
      <c r="G29" t="n">
        <v>2.18</v>
      </c>
      <c r="I29" t="inlineStr">
        <is>
          <t>Large Cap</t>
        </is>
      </c>
    </row>
    <row r="30">
      <c r="B30" t="inlineStr">
        <is>
          <t>Torrent Pharmaceuticals Ltd</t>
        </is>
      </c>
      <c r="C30" t="inlineStr">
        <is>
          <t>INE685A01028</t>
        </is>
      </c>
      <c r="D30" t="inlineStr">
        <is>
          <t>Pharmaceuticals &amp; Biotechnology</t>
        </is>
      </c>
      <c r="E30" t="n">
        <v>165569</v>
      </c>
      <c r="F30" t="n">
        <v>6160.16</v>
      </c>
      <c r="G30" t="n">
        <v>2.13</v>
      </c>
      <c r="I30" t="inlineStr">
        <is>
          <t>Large Cap</t>
        </is>
      </c>
    </row>
    <row r="31">
      <c r="B31" t="inlineStr">
        <is>
          <t>Aditya Birla Real Estate Ltd</t>
        </is>
      </c>
      <c r="C31" t="inlineStr">
        <is>
          <t>INE055A01016</t>
        </is>
      </c>
      <c r="D31" t="inlineStr">
        <is>
          <t>Paper, Forest &amp; Jute Products</t>
        </is>
      </c>
      <c r="E31" t="n">
        <v>311428</v>
      </c>
      <c r="F31" t="n">
        <v>5523.49</v>
      </c>
      <c r="G31" t="n">
        <v>1.91</v>
      </c>
      <c r="I31" t="inlineStr">
        <is>
          <t>Small Cap</t>
        </is>
      </c>
    </row>
    <row r="32">
      <c r="B32" t="inlineStr">
        <is>
          <t>Info Edge (India) Ltd</t>
        </is>
      </c>
      <c r="C32" t="inlineStr">
        <is>
          <t>INE663F01032</t>
        </is>
      </c>
      <c r="D32" t="inlineStr">
        <is>
          <t>Retailing</t>
        </is>
      </c>
      <c r="E32" t="n">
        <v>379124</v>
      </c>
      <c r="F32" t="n">
        <v>5043.11</v>
      </c>
      <c r="G32" t="n">
        <v>1.75</v>
      </c>
      <c r="I32" t="inlineStr">
        <is>
          <t>Large Cap</t>
        </is>
      </c>
    </row>
    <row r="33">
      <c r="B33" t="inlineStr">
        <is>
          <t>Trent Ltd</t>
        </is>
      </c>
      <c r="C33" t="inlineStr">
        <is>
          <t>INE849A01020</t>
        </is>
      </c>
      <c r="D33" t="inlineStr">
        <is>
          <t>Retailing</t>
        </is>
      </c>
      <c r="E33" t="n">
        <v>110998</v>
      </c>
      <c r="F33" t="n">
        <v>4717.86</v>
      </c>
      <c r="G33" t="n">
        <v>1.63</v>
      </c>
      <c r="I33" t="inlineStr">
        <is>
          <t>Large Cap</t>
        </is>
      </c>
    </row>
    <row r="34">
      <c r="B34" t="inlineStr">
        <is>
          <t>CRISIL Ltd</t>
        </is>
      </c>
      <c r="C34" t="inlineStr">
        <is>
          <t>INE007A01025</t>
        </is>
      </c>
      <c r="D34" t="inlineStr">
        <is>
          <t>Finance</t>
        </is>
      </c>
      <c r="E34" t="n">
        <v>68537</v>
      </c>
      <c r="F34" t="n">
        <v>3031.87</v>
      </c>
      <c r="G34" t="n">
        <v>1.05</v>
      </c>
      <c r="I34" t="inlineStr">
        <is>
          <t>Mid Cap</t>
        </is>
      </c>
    </row>
    <row r="35">
      <c r="B35" t="inlineStr">
        <is>
          <t>Dr. Agarwals Health Care Ltd</t>
        </is>
      </c>
      <c r="C35" t="inlineStr">
        <is>
          <t>INE943P01029</t>
        </is>
      </c>
      <c r="D35" t="inlineStr">
        <is>
          <t>Healthcare Services</t>
        </is>
      </c>
      <c r="E35" t="n">
        <v>489344</v>
      </c>
      <c r="F35" t="n">
        <v>2611.87</v>
      </c>
      <c r="G35" t="n">
        <v>0.9</v>
      </c>
      <c r="I35" t="inlineStr">
        <is>
          <t>Small Cap</t>
        </is>
      </c>
    </row>
    <row r="36">
      <c r="B36" t="inlineStr">
        <is>
          <t>Vishal Mega Mart Ltd</t>
        </is>
      </c>
      <c r="C36" t="inlineStr">
        <is>
          <t>INE01EA01019</t>
        </is>
      </c>
      <c r="D36" t="inlineStr">
        <is>
          <t>Retailing</t>
        </is>
      </c>
      <c r="E36" t="n">
        <v>1400000</v>
      </c>
      <c r="F36" t="n">
        <v>1901.2</v>
      </c>
      <c r="G36" t="n">
        <v>0.66</v>
      </c>
      <c r="I36" t="inlineStr">
        <is>
          <t>Mid Cap</t>
        </is>
      </c>
    </row>
    <row r="37">
      <c r="B37" t="inlineStr">
        <is>
          <t>Sub Total</t>
        </is>
      </c>
      <c r="F37">
        <f>SUM(F7:F36)</f>
        <v/>
      </c>
      <c r="G37">
        <f>SUM(G7:G36)</f>
        <v/>
      </c>
    </row>
    <row r="38">
      <c r="B38" t="inlineStr">
        <is>
          <t>Total</t>
        </is>
      </c>
      <c r="F38">
        <f>F37</f>
        <v/>
      </c>
      <c r="G38">
        <f>G37</f>
        <v/>
      </c>
    </row>
    <row r="39">
      <c r="B39" t="inlineStr">
        <is>
          <t>Debt Instruments</t>
        </is>
      </c>
    </row>
    <row r="40">
      <c r="B40" t="inlineStr">
        <is>
          <t>(a) Listed / awaiting listing on Stock Exchanges</t>
        </is>
      </c>
    </row>
    <row r="41">
      <c r="B41" t="inlineStr">
        <is>
          <t>6.00% TVS Motor Co Ltd NCRPS **</t>
        </is>
      </c>
      <c r="C41" t="inlineStr">
        <is>
          <t>INE494B04019</t>
        </is>
      </c>
      <c r="D41" t="inlineStr">
        <is>
          <t>CARE A1+</t>
        </is>
      </c>
      <c r="E41" t="n">
        <v>1493532</v>
      </c>
      <c r="F41" t="n">
        <v>151.45</v>
      </c>
      <c r="G41" t="n">
        <v>0.05</v>
      </c>
      <c r="H41" t="n">
        <v>6.035</v>
      </c>
    </row>
    <row r="42">
      <c r="B42" t="inlineStr">
        <is>
          <t>Sub Total</t>
        </is>
      </c>
      <c r="F42" t="n">
        <v>151.45</v>
      </c>
      <c r="G42" t="n">
        <v>0.05</v>
      </c>
    </row>
    <row r="43">
      <c r="B43" t="inlineStr">
        <is>
          <t>Total</t>
        </is>
      </c>
      <c r="F43" t="n">
        <v>151.45</v>
      </c>
      <c r="G43" t="n">
        <v>0.05</v>
      </c>
    </row>
    <row r="44">
      <c r="B44" t="inlineStr">
        <is>
          <t>TREPS</t>
        </is>
      </c>
    </row>
    <row r="45">
      <c r="B45" t="inlineStr">
        <is>
          <t>TREPS</t>
        </is>
      </c>
      <c r="F45" t="n">
        <v>15246.7</v>
      </c>
      <c r="G45" t="n">
        <v>5.28</v>
      </c>
    </row>
    <row r="46">
      <c r="B46" t="inlineStr">
        <is>
          <t>Sub Total</t>
        </is>
      </c>
      <c r="F46">
        <f>SUM(F44:F45)</f>
        <v/>
      </c>
      <c r="G46">
        <f>SUM(G44:G45)</f>
        <v/>
      </c>
    </row>
    <row r="47">
      <c r="B47" t="inlineStr">
        <is>
          <t>Total</t>
        </is>
      </c>
      <c r="F47">
        <f>F46</f>
        <v/>
      </c>
      <c r="G47">
        <f>G46</f>
        <v/>
      </c>
    </row>
    <row r="48">
      <c r="B48" t="inlineStr">
        <is>
          <t>Net Receivables / (Payables)</t>
        </is>
      </c>
      <c r="F48">
        <f>F49-(+F38+F47+F43)</f>
        <v/>
      </c>
      <c r="G48">
        <f>G49-(+G38+G47+G43)</f>
        <v/>
      </c>
    </row>
    <row r="49">
      <c r="B49" t="inlineStr">
        <is>
          <t>Grand Total</t>
        </is>
      </c>
      <c r="F49" t="n">
        <v>288974.77</v>
      </c>
      <c r="G49" t="n">
        <v>100</v>
      </c>
    </row>
    <row r="50"/>
    <row r="51">
      <c r="B51" t="inlineStr">
        <is>
          <t>** Non Traded Security</t>
        </is>
      </c>
    </row>
    <row r="52"/>
    <row r="53">
      <c r="B53" t="inlineStr">
        <is>
          <t>Residual Maturity</t>
        </is>
      </c>
      <c r="C53" t="inlineStr">
        <is>
          <t>0.0027 Years</t>
        </is>
      </c>
    </row>
    <row r="54"/>
    <row r="55">
      <c r="B55" t="inlineStr">
        <is>
          <t>Please refer the below link for the performance of the Schemes managed by Canara Robeco Mutual Fund</t>
        </is>
      </c>
    </row>
    <row r="56"/>
    <row r="57">
      <c r="B57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ELSS TAX SAVER</t>
        </is>
      </c>
    </row>
    <row r="2"/>
    <row r="3"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>Yield %</t>
        </is>
      </c>
      <c r="I4" t="inlineStr">
        <is>
          <t xml:space="preserve">Market Capitalization </t>
        </is>
      </c>
      <c r="L4" t="inlineStr">
        <is>
          <t>Scheme Risk-O-Meter Level- November'25</t>
        </is>
      </c>
      <c r="M4" t="inlineStr">
        <is>
          <t>Benchmark Risk-O-Meter Level- November'25</t>
        </is>
      </c>
      <c r="N4" t="inlineStr">
        <is>
          <t>Scheme Risk-O-Meter Level- October'25</t>
        </is>
      </c>
      <c r="O4" t="inlineStr">
        <is>
          <t>Benchmark Risk-O-Meter Level- October'25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7125168</v>
      </c>
      <c r="F7" t="n">
        <v>71793.19</v>
      </c>
      <c r="G7" t="n">
        <v>7.87</v>
      </c>
      <c r="I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4361000</v>
      </c>
      <c r="F8" t="n">
        <v>60565.57</v>
      </c>
      <c r="G8" t="n">
        <v>6.64</v>
      </c>
      <c r="I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2512000</v>
      </c>
      <c r="F9" t="n">
        <v>39375.6</v>
      </c>
      <c r="G9" t="n">
        <v>4.32</v>
      </c>
      <c r="I9" t="inlineStr">
        <is>
          <t>Large Cap</t>
        </is>
      </c>
    </row>
    <row r="10">
      <c r="B10" t="inlineStr">
        <is>
          <t>Infosys Ltd</t>
        </is>
      </c>
      <c r="C10" t="inlineStr">
        <is>
          <t>INE009A01021</t>
        </is>
      </c>
      <c r="D10" t="inlineStr">
        <is>
          <t>IT - Software</t>
        </is>
      </c>
      <c r="E10" t="n">
        <v>2241310</v>
      </c>
      <c r="F10" t="n">
        <v>34966.68</v>
      </c>
      <c r="G10" t="n">
        <v>3.83</v>
      </c>
      <c r="I10" t="inlineStr">
        <is>
          <t>Large Cap</t>
        </is>
      </c>
    </row>
    <row r="11">
      <c r="B11" t="inlineStr">
        <is>
          <t>Bharti Airtel Ltd</t>
        </is>
      </c>
      <c r="C11" t="inlineStr">
        <is>
          <t>INE397D01024</t>
        </is>
      </c>
      <c r="D11" t="inlineStr">
        <is>
          <t>Telecom - Services</t>
        </is>
      </c>
      <c r="E11" t="n">
        <v>1460000</v>
      </c>
      <c r="F11" t="n">
        <v>30683.36</v>
      </c>
      <c r="G11" t="n">
        <v>3.37</v>
      </c>
      <c r="I11" t="inlineStr">
        <is>
          <t>Large Cap</t>
        </is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3000000</v>
      </c>
      <c r="F12" t="n">
        <v>29370</v>
      </c>
      <c r="G12" t="n">
        <v>3.22</v>
      </c>
      <c r="I12" t="inlineStr">
        <is>
          <t>Large Cap</t>
        </is>
      </c>
    </row>
    <row r="13">
      <c r="B13" t="inlineStr">
        <is>
          <t>Larsen &amp; Toubro Ltd</t>
        </is>
      </c>
      <c r="C13" t="inlineStr">
        <is>
          <t>INE018A01030</t>
        </is>
      </c>
      <c r="D13" t="inlineStr">
        <is>
          <t>Construction</t>
        </is>
      </c>
      <c r="E13" t="n">
        <v>704369</v>
      </c>
      <c r="F13" t="n">
        <v>28665</v>
      </c>
      <c r="G13" t="n">
        <v>3.14</v>
      </c>
      <c r="I13" t="inlineStr">
        <is>
          <t>Large Cap</t>
        </is>
      </c>
      <c r="M13" t="inlineStr">
        <is>
          <t>Benchmark: BSE 500 TRI</t>
        </is>
      </c>
    </row>
    <row r="14">
      <c r="B14" t="inlineStr">
        <is>
          <t>Bajaj Finance Ltd</t>
        </is>
      </c>
      <c r="C14" t="inlineStr">
        <is>
          <t>INE296A01032</t>
        </is>
      </c>
      <c r="D14" t="inlineStr">
        <is>
          <t>Finance</t>
        </is>
      </c>
      <c r="E14" t="n">
        <v>2329500</v>
      </c>
      <c r="F14" t="n">
        <v>24168.56</v>
      </c>
      <c r="G14" t="n">
        <v>2.65</v>
      </c>
      <c r="I14" t="inlineStr">
        <is>
          <t>Large Cap</t>
        </is>
      </c>
    </row>
    <row r="15">
      <c r="B15" t="inlineStr">
        <is>
          <t>Axis Bank Ltd</t>
        </is>
      </c>
      <c r="C15" t="inlineStr">
        <is>
          <t>INE238A01034</t>
        </is>
      </c>
      <c r="D15" t="inlineStr">
        <is>
          <t>Banks</t>
        </is>
      </c>
      <c r="E15" t="n">
        <v>1753000</v>
      </c>
      <c r="F15" t="n">
        <v>22433.14</v>
      </c>
      <c r="G15" t="n">
        <v>2.46</v>
      </c>
      <c r="I15" t="inlineStr">
        <is>
          <t>Large Cap</t>
        </is>
      </c>
    </row>
    <row r="16">
      <c r="B16" t="inlineStr">
        <is>
          <t>Ge Vernova T&amp;D India Ltd</t>
        </is>
      </c>
      <c r="C16" t="inlineStr">
        <is>
          <t>INE200A01026</t>
        </is>
      </c>
      <c r="D16" t="inlineStr">
        <is>
          <t>Electrical Equipment</t>
        </is>
      </c>
      <c r="E16" t="n">
        <v>698742</v>
      </c>
      <c r="F16" t="n">
        <v>20133.55</v>
      </c>
      <c r="G16" t="n">
        <v>2.21</v>
      </c>
      <c r="I16" t="inlineStr">
        <is>
          <t>Mid Cap</t>
        </is>
      </c>
    </row>
    <row r="17">
      <c r="B17" t="inlineStr">
        <is>
          <t>Eternal Ltd</t>
        </is>
      </c>
      <c r="C17" t="inlineStr">
        <is>
          <t>INE758T01015</t>
        </is>
      </c>
      <c r="D17" t="inlineStr">
        <is>
          <t>Retailing</t>
        </is>
      </c>
      <c r="E17" t="n">
        <v>5825000</v>
      </c>
      <c r="F17" t="n">
        <v>17480.83</v>
      </c>
      <c r="G17" t="n">
        <v>1.92</v>
      </c>
      <c r="I17" t="inlineStr">
        <is>
          <t>Large Cap</t>
        </is>
      </c>
    </row>
    <row r="18">
      <c r="B18" t="inlineStr">
        <is>
          <t>Sun Pharmaceutical Industries Ltd</t>
        </is>
      </c>
      <c r="C18" t="inlineStr">
        <is>
          <t>INE044A01036</t>
        </is>
      </c>
      <c r="D18" t="inlineStr">
        <is>
          <t>Pharmaceuticals &amp; Biotechnology</t>
        </is>
      </c>
      <c r="E18" t="n">
        <v>930000</v>
      </c>
      <c r="F18" t="n">
        <v>17033.88</v>
      </c>
      <c r="G18" t="n">
        <v>1.87</v>
      </c>
      <c r="I18" t="inlineStr">
        <is>
          <t>Large Cap</t>
        </is>
      </c>
    </row>
    <row r="19">
      <c r="B19" t="inlineStr">
        <is>
          <t>Divi's Laboratories Ltd</t>
        </is>
      </c>
      <c r="C19" t="inlineStr">
        <is>
          <t>INE361B01024</t>
        </is>
      </c>
      <c r="D19" t="inlineStr">
        <is>
          <t>Pharmaceuticals &amp; Biotechnology</t>
        </is>
      </c>
      <c r="E19" t="n">
        <v>250000</v>
      </c>
      <c r="F19" t="n">
        <v>16192.5</v>
      </c>
      <c r="G19" t="n">
        <v>1.78</v>
      </c>
      <c r="I19" t="inlineStr">
        <is>
          <t>Large Cap</t>
        </is>
      </c>
    </row>
    <row r="20">
      <c r="B20" t="inlineStr">
        <is>
          <t>Interglobe Aviation Ltd</t>
        </is>
      </c>
      <c r="C20" t="inlineStr">
        <is>
          <t>INE646L01027</t>
        </is>
      </c>
      <c r="D20" t="inlineStr">
        <is>
          <t>Transport Services</t>
        </is>
      </c>
      <c r="E20" t="n">
        <v>263000</v>
      </c>
      <c r="F20" t="n">
        <v>15520.95</v>
      </c>
      <c r="G20" t="n">
        <v>1.7</v>
      </c>
      <c r="I20" t="inlineStr">
        <is>
          <t>Large Cap</t>
        </is>
      </c>
    </row>
    <row r="21">
      <c r="B21" t="inlineStr">
        <is>
          <t>Samvardhana Motherson International Ltd</t>
        </is>
      </c>
      <c r="C21" t="inlineStr">
        <is>
          <t>INE775A01035</t>
        </is>
      </c>
      <c r="D21" t="inlineStr">
        <is>
          <t>Auto Components</t>
        </is>
      </c>
      <c r="E21" t="n">
        <v>13200000</v>
      </c>
      <c r="F21" t="n">
        <v>15352.92</v>
      </c>
      <c r="G21" t="n">
        <v>1.68</v>
      </c>
      <c r="I21" t="inlineStr">
        <is>
          <t>Large Cap</t>
        </is>
      </c>
    </row>
    <row r="22">
      <c r="B22" t="inlineStr">
        <is>
          <t>Ultratech Cement Ltd</t>
        </is>
      </c>
      <c r="C22" t="inlineStr">
        <is>
          <t>INE481G01011</t>
        </is>
      </c>
      <c r="D22" t="inlineStr">
        <is>
          <t>Cement &amp; Cement Products</t>
        </is>
      </c>
      <c r="E22" t="n">
        <v>122500</v>
      </c>
      <c r="F22" t="n">
        <v>14210</v>
      </c>
      <c r="G22" t="n">
        <v>1.56</v>
      </c>
      <c r="I22" t="inlineStr">
        <is>
          <t>Large Cap</t>
        </is>
      </c>
    </row>
    <row r="23">
      <c r="B23" t="inlineStr">
        <is>
          <t>NTPC Ltd</t>
        </is>
      </c>
      <c r="C23" t="inlineStr">
        <is>
          <t>INE733E01010</t>
        </is>
      </c>
      <c r="D23" t="inlineStr">
        <is>
          <t>Power</t>
        </is>
      </c>
      <c r="E23" t="n">
        <v>4024449</v>
      </c>
      <c r="F23" t="n">
        <v>13137.81</v>
      </c>
      <c r="G23" t="n">
        <v>1.44</v>
      </c>
      <c r="I23" t="inlineStr">
        <is>
          <t>Large Cap</t>
        </is>
      </c>
    </row>
    <row r="24">
      <c r="B24" t="inlineStr">
        <is>
          <t>BSE Ltd</t>
        </is>
      </c>
      <c r="C24" t="inlineStr">
        <is>
          <t>INE118H01025</t>
        </is>
      </c>
      <c r="D24" t="inlineStr">
        <is>
          <t>Capital Markets</t>
        </is>
      </c>
      <c r="E24" t="n">
        <v>438000</v>
      </c>
      <c r="F24" t="n">
        <v>12712.51</v>
      </c>
      <c r="G24" t="n">
        <v>1.39</v>
      </c>
      <c r="I24" t="inlineStr">
        <is>
          <t>Mid Cap</t>
        </is>
      </c>
    </row>
    <row r="25">
      <c r="B25" t="inlineStr">
        <is>
          <t>ITC Ltd</t>
        </is>
      </c>
      <c r="C25" t="inlineStr">
        <is>
          <t>INE154A01025</t>
        </is>
      </c>
      <c r="D25" t="inlineStr">
        <is>
          <t>Diversified Fmcg</t>
        </is>
      </c>
      <c r="E25" t="n">
        <v>3125000</v>
      </c>
      <c r="F25" t="n">
        <v>12632.81</v>
      </c>
      <c r="G25" t="n">
        <v>1.39</v>
      </c>
      <c r="I25" t="inlineStr">
        <is>
          <t>Large Cap</t>
        </is>
      </c>
    </row>
    <row r="26">
      <c r="B26" t="inlineStr">
        <is>
          <t>Mahindra &amp; Mahindra Ltd</t>
        </is>
      </c>
      <c r="C26" t="inlineStr">
        <is>
          <t>INE101A01026</t>
        </is>
      </c>
      <c r="D26" t="inlineStr">
        <is>
          <t>Automobiles</t>
        </is>
      </c>
      <c r="E26" t="n">
        <v>320000</v>
      </c>
      <c r="F26" t="n">
        <v>12023.36</v>
      </c>
      <c r="G26" t="n">
        <v>1.32</v>
      </c>
      <c r="I26" t="inlineStr">
        <is>
          <t>Large Cap</t>
        </is>
      </c>
    </row>
    <row r="27">
      <c r="B27" t="inlineStr">
        <is>
          <t>TVS Motor Co Ltd</t>
        </is>
      </c>
      <c r="C27" t="inlineStr">
        <is>
          <t>INE494B01023</t>
        </is>
      </c>
      <c r="D27" t="inlineStr">
        <is>
          <t>Automobiles</t>
        </is>
      </c>
      <c r="E27" t="n">
        <v>335000</v>
      </c>
      <c r="F27" t="n">
        <v>11830.53</v>
      </c>
      <c r="G27" t="n">
        <v>1.3</v>
      </c>
      <c r="I27" t="inlineStr">
        <is>
          <t>Large Cap</t>
        </is>
      </c>
    </row>
    <row r="28">
      <c r="B28" t="inlineStr">
        <is>
          <t>Max Financial Services Ltd</t>
        </is>
      </c>
      <c r="C28" t="inlineStr">
        <is>
          <t>INE180A01020</t>
        </is>
      </c>
      <c r="D28" t="inlineStr">
        <is>
          <t>Insurance</t>
        </is>
      </c>
      <c r="E28" t="n">
        <v>660005</v>
      </c>
      <c r="F28" t="n">
        <v>11233.95</v>
      </c>
      <c r="G28" t="n">
        <v>1.23</v>
      </c>
      <c r="I28" t="inlineStr">
        <is>
          <t>Mid Cap</t>
        </is>
      </c>
    </row>
    <row r="29">
      <c r="B29" t="inlineStr">
        <is>
          <t>CG Power and Industrial Solutions Ltd</t>
        </is>
      </c>
      <c r="C29" t="inlineStr">
        <is>
          <t>INE067A01029</t>
        </is>
      </c>
      <c r="D29" t="inlineStr">
        <is>
          <t>Electrical Equipment</t>
        </is>
      </c>
      <c r="E29" t="n">
        <v>1633637</v>
      </c>
      <c r="F29" t="n">
        <v>10992.74</v>
      </c>
      <c r="G29" t="n">
        <v>1.21</v>
      </c>
      <c r="I29" t="inlineStr">
        <is>
          <t>Large Cap</t>
        </is>
      </c>
    </row>
    <row r="30">
      <c r="B30" t="inlineStr">
        <is>
          <t>Coal India Ltd</t>
        </is>
      </c>
      <c r="C30" t="inlineStr">
        <is>
          <t>INE522F01014</t>
        </is>
      </c>
      <c r="D30" t="inlineStr">
        <is>
          <t>Consumable Fuels</t>
        </is>
      </c>
      <c r="E30" t="n">
        <v>2850000</v>
      </c>
      <c r="F30" t="n">
        <v>10720.28</v>
      </c>
      <c r="G30" t="n">
        <v>1.18</v>
      </c>
      <c r="I30" t="inlineStr">
        <is>
          <t>Large Cap</t>
        </is>
      </c>
    </row>
    <row r="31">
      <c r="B31" t="inlineStr">
        <is>
          <t>FSN E-Commerce Ventures Ltd</t>
        </is>
      </c>
      <c r="C31" t="inlineStr">
        <is>
          <t>INE388Y01029</t>
        </is>
      </c>
      <c r="D31" t="inlineStr">
        <is>
          <t>Retailing</t>
        </is>
      </c>
      <c r="E31" t="n">
        <v>3941765</v>
      </c>
      <c r="F31" t="n">
        <v>10536.73</v>
      </c>
      <c r="G31" t="n">
        <v>1.16</v>
      </c>
      <c r="I31" t="inlineStr">
        <is>
          <t>Mid Cap</t>
        </is>
      </c>
    </row>
    <row r="32">
      <c r="B32" t="inlineStr">
        <is>
          <t>Maruti Suzuki India Ltd</t>
        </is>
      </c>
      <c r="C32" t="inlineStr">
        <is>
          <t>INE585B01010</t>
        </is>
      </c>
      <c r="D32" t="inlineStr">
        <is>
          <t>Automobiles</t>
        </is>
      </c>
      <c r="E32" t="n">
        <v>65000</v>
      </c>
      <c r="F32" t="n">
        <v>10335</v>
      </c>
      <c r="G32" t="n">
        <v>1.13</v>
      </c>
      <c r="I32" t="inlineStr">
        <is>
          <t>Large Cap</t>
        </is>
      </c>
    </row>
    <row r="33">
      <c r="B33" t="inlineStr">
        <is>
          <t>J.B. Chemicals &amp; Pharmaceuticals Ltd</t>
        </is>
      </c>
      <c r="C33" t="inlineStr">
        <is>
          <t>INE572A01036</t>
        </is>
      </c>
      <c r="D33" t="inlineStr">
        <is>
          <t>Pharmaceuticals &amp; Biotechnology</t>
        </is>
      </c>
      <c r="E33" t="n">
        <v>574213</v>
      </c>
      <c r="F33" t="n">
        <v>10171.03</v>
      </c>
      <c r="G33" t="n">
        <v>1.12</v>
      </c>
      <c r="I33" t="inlineStr">
        <is>
          <t>Small Cap</t>
        </is>
      </c>
    </row>
    <row r="34">
      <c r="B34" t="inlineStr">
        <is>
          <t>Uno Minda Ltd</t>
        </is>
      </c>
      <c r="C34" t="inlineStr">
        <is>
          <t>INE405E01023</t>
        </is>
      </c>
      <c r="D34" t="inlineStr">
        <is>
          <t>Auto Components</t>
        </is>
      </c>
      <c r="E34" t="n">
        <v>751832</v>
      </c>
      <c r="F34" t="n">
        <v>9824.940000000001</v>
      </c>
      <c r="G34" t="n">
        <v>1.08</v>
      </c>
      <c r="I34" t="inlineStr">
        <is>
          <t>Mid Cap</t>
        </is>
      </c>
    </row>
    <row r="35">
      <c r="B35" t="inlineStr">
        <is>
          <t>Varun Beverages Ltd</t>
        </is>
      </c>
      <c r="C35" t="inlineStr">
        <is>
          <t>INE200M01039</t>
        </is>
      </c>
      <c r="D35" t="inlineStr">
        <is>
          <t>Beverages</t>
        </is>
      </c>
      <c r="E35" t="n">
        <v>1984021</v>
      </c>
      <c r="F35" t="n">
        <v>9554.049999999999</v>
      </c>
      <c r="G35" t="n">
        <v>1.05</v>
      </c>
      <c r="I35" t="inlineStr">
        <is>
          <t>Large Cap</t>
        </is>
      </c>
    </row>
    <row r="36">
      <c r="B36" t="inlineStr">
        <is>
          <t>PNB Housing Finance Ltd</t>
        </is>
      </c>
      <c r="C36" t="inlineStr">
        <is>
          <t>INE572E01012</t>
        </is>
      </c>
      <c r="D36" t="inlineStr">
        <is>
          <t>Finance</t>
        </is>
      </c>
      <c r="E36" t="n">
        <v>1041412</v>
      </c>
      <c r="F36" t="n">
        <v>9427.9</v>
      </c>
      <c r="G36" t="n">
        <v>1.03</v>
      </c>
      <c r="I36" t="inlineStr">
        <is>
          <t>Small Cap</t>
        </is>
      </c>
    </row>
    <row r="37">
      <c r="B37" t="inlineStr">
        <is>
          <t>KEI Industries Ltd</t>
        </is>
      </c>
      <c r="C37" t="inlineStr">
        <is>
          <t>INE878B01027</t>
        </is>
      </c>
      <c r="D37" t="inlineStr">
        <is>
          <t>Industrial Products</t>
        </is>
      </c>
      <c r="E37" t="n">
        <v>222083</v>
      </c>
      <c r="F37" t="n">
        <v>9206.67</v>
      </c>
      <c r="G37" t="n">
        <v>1.01</v>
      </c>
      <c r="I37" t="inlineStr">
        <is>
          <t>Mid Cap</t>
        </is>
      </c>
    </row>
    <row r="38">
      <c r="B38" t="inlineStr">
        <is>
          <t>Titan Co Ltd</t>
        </is>
      </c>
      <c r="C38" t="inlineStr">
        <is>
          <t>INE280A01028</t>
        </is>
      </c>
      <c r="D38" t="inlineStr">
        <is>
          <t>Consumer Durables</t>
        </is>
      </c>
      <c r="E38" t="n">
        <v>232500</v>
      </c>
      <c r="F38" t="n">
        <v>9085.4</v>
      </c>
      <c r="G38" t="n">
        <v>1</v>
      </c>
      <c r="I38" t="inlineStr">
        <is>
          <t>Large Cap</t>
        </is>
      </c>
    </row>
    <row r="39">
      <c r="B39" t="inlineStr">
        <is>
          <t>Doms Industries Ltd</t>
        </is>
      </c>
      <c r="C39" t="inlineStr">
        <is>
          <t>INE321T01012</t>
        </is>
      </c>
      <c r="D39" t="inlineStr">
        <is>
          <t>Household Products</t>
        </is>
      </c>
      <c r="E39" t="n">
        <v>360575</v>
      </c>
      <c r="F39" t="n">
        <v>9050.43</v>
      </c>
      <c r="G39" t="n">
        <v>0.99</v>
      </c>
      <c r="I39" t="inlineStr">
        <is>
          <t>Small Cap</t>
        </is>
      </c>
    </row>
    <row r="40">
      <c r="B40" t="inlineStr">
        <is>
          <t>Tata Consultancy Services Ltd</t>
        </is>
      </c>
      <c r="C40" t="inlineStr">
        <is>
          <t>INE467B01029</t>
        </is>
      </c>
      <c r="D40" t="inlineStr">
        <is>
          <t>IT - Software</t>
        </is>
      </c>
      <c r="E40" t="n">
        <v>288073</v>
      </c>
      <c r="F40" t="n">
        <v>9038.290000000001</v>
      </c>
      <c r="G40" t="n">
        <v>0.99</v>
      </c>
      <c r="I40" t="inlineStr">
        <is>
          <t>Large Cap</t>
        </is>
      </c>
    </row>
    <row r="41">
      <c r="B41" t="inlineStr">
        <is>
          <t>Schaeffler India Ltd</t>
        </is>
      </c>
      <c r="C41" t="inlineStr">
        <is>
          <t>INE513A01022</t>
        </is>
      </c>
      <c r="D41" t="inlineStr">
        <is>
          <t>Auto Components</t>
        </is>
      </c>
      <c r="E41" t="n">
        <v>227865</v>
      </c>
      <c r="F41" t="n">
        <v>8885.370000000001</v>
      </c>
      <c r="G41" t="n">
        <v>0.97</v>
      </c>
      <c r="I41" t="inlineStr">
        <is>
          <t>Mid Cap</t>
        </is>
      </c>
    </row>
    <row r="42">
      <c r="B42" t="inlineStr">
        <is>
          <t>Tata Power Co Ltd</t>
        </is>
      </c>
      <c r="C42" t="inlineStr">
        <is>
          <t>INE245A01021</t>
        </is>
      </c>
      <c r="D42" t="inlineStr">
        <is>
          <t>Power</t>
        </is>
      </c>
      <c r="E42" t="n">
        <v>2275000</v>
      </c>
      <c r="F42" t="n">
        <v>8874.780000000001</v>
      </c>
      <c r="G42" t="n">
        <v>0.97</v>
      </c>
      <c r="I42" t="inlineStr">
        <is>
          <t>Large Cap</t>
        </is>
      </c>
    </row>
    <row r="43">
      <c r="B43" t="inlineStr">
        <is>
          <t>Cummins India Ltd</t>
        </is>
      </c>
      <c r="C43" t="inlineStr">
        <is>
          <t>INE298A01020</t>
        </is>
      </c>
      <c r="D43" t="inlineStr">
        <is>
          <t>Industrial Products</t>
        </is>
      </c>
      <c r="E43" t="n">
        <v>196200</v>
      </c>
      <c r="F43" t="n">
        <v>8788.389999999999</v>
      </c>
      <c r="G43" t="n">
        <v>0.96</v>
      </c>
      <c r="I43" t="inlineStr">
        <is>
          <t>Mid Cap</t>
        </is>
      </c>
    </row>
    <row r="44">
      <c r="B44" t="inlineStr">
        <is>
          <t>J.K. Cement Ltd</t>
        </is>
      </c>
      <c r="C44" t="inlineStr">
        <is>
          <t>INE823G01014</t>
        </is>
      </c>
      <c r="D44" t="inlineStr">
        <is>
          <t>Cement &amp; Cement Products</t>
        </is>
      </c>
      <c r="E44" t="n">
        <v>152261</v>
      </c>
      <c r="F44" t="n">
        <v>8767.190000000001</v>
      </c>
      <c r="G44" t="n">
        <v>0.96</v>
      </c>
      <c r="I44" t="inlineStr">
        <is>
          <t>Mid Cap</t>
        </is>
      </c>
    </row>
    <row r="45">
      <c r="B45" t="inlineStr">
        <is>
          <t>Bharat Electronics Ltd</t>
        </is>
      </c>
      <c r="C45" t="inlineStr">
        <is>
          <t>INE263A01024</t>
        </is>
      </c>
      <c r="D45" t="inlineStr">
        <is>
          <t>Aerospace &amp; Defense</t>
        </is>
      </c>
      <c r="E45" t="n">
        <v>2125000</v>
      </c>
      <c r="F45" t="n">
        <v>8749.690000000001</v>
      </c>
      <c r="G45" t="n">
        <v>0.96</v>
      </c>
      <c r="I45" t="inlineStr">
        <is>
          <t>Large Cap</t>
        </is>
      </c>
    </row>
    <row r="46">
      <c r="B46" t="inlineStr">
        <is>
          <t>Hindustan Aeronautics Ltd</t>
        </is>
      </c>
      <c r="C46" t="inlineStr">
        <is>
          <t>INE066F01020</t>
        </is>
      </c>
      <c r="D46" t="inlineStr">
        <is>
          <t>Aerospace &amp; Defense</t>
        </is>
      </c>
      <c r="E46" t="n">
        <v>192000</v>
      </c>
      <c r="F46" t="n">
        <v>8721.41</v>
      </c>
      <c r="G46" t="n">
        <v>0.96</v>
      </c>
      <c r="I46" t="inlineStr">
        <is>
          <t>Large Cap</t>
        </is>
      </c>
    </row>
    <row r="47">
      <c r="B47" t="inlineStr">
        <is>
          <t>HCL Technologies Ltd</t>
        </is>
      </c>
      <c r="C47" t="inlineStr">
        <is>
          <t>INE860A01027</t>
        </is>
      </c>
      <c r="D47" t="inlineStr">
        <is>
          <t>IT - Software</t>
        </is>
      </c>
      <c r="E47" t="n">
        <v>530000</v>
      </c>
      <c r="F47" t="n">
        <v>8608.26</v>
      </c>
      <c r="G47" t="n">
        <v>0.9399999999999999</v>
      </c>
      <c r="I47" t="inlineStr">
        <is>
          <t>Large Cap</t>
        </is>
      </c>
    </row>
    <row r="48">
      <c r="B48" t="inlineStr">
        <is>
          <t>Medi Assist Healthcare Services Ltd</t>
        </is>
      </c>
      <c r="C48" t="inlineStr">
        <is>
          <t>INE456Z01021</t>
        </is>
      </c>
      <c r="D48" t="inlineStr">
        <is>
          <t>Insurance</t>
        </is>
      </c>
      <c r="E48" t="n">
        <v>1805019</v>
      </c>
      <c r="F48" t="n">
        <v>8572.940000000001</v>
      </c>
      <c r="G48" t="n">
        <v>0.9399999999999999</v>
      </c>
      <c r="I48" t="inlineStr">
        <is>
          <t>Small Cap</t>
        </is>
      </c>
    </row>
    <row r="49">
      <c r="B49" t="inlineStr">
        <is>
          <t>Oberoi Realty Ltd</t>
        </is>
      </c>
      <c r="C49" t="inlineStr">
        <is>
          <t>INE093I01010</t>
        </is>
      </c>
      <c r="D49" t="inlineStr">
        <is>
          <t>Realty</t>
        </is>
      </c>
      <c r="E49" t="n">
        <v>518758</v>
      </c>
      <c r="F49" t="n">
        <v>8544.98</v>
      </c>
      <c r="G49" t="n">
        <v>0.9399999999999999</v>
      </c>
      <c r="I49" t="inlineStr">
        <is>
          <t>Mid Cap</t>
        </is>
      </c>
    </row>
    <row r="50">
      <c r="B50" t="inlineStr">
        <is>
          <t>CCL Products (India) Ltd</t>
        </is>
      </c>
      <c r="C50" t="inlineStr">
        <is>
          <t>INE421D01022</t>
        </is>
      </c>
      <c r="D50" t="inlineStr">
        <is>
          <t>Agricultural Food &amp; Other Products</t>
        </is>
      </c>
      <c r="E50" t="n">
        <v>846204</v>
      </c>
      <c r="F50" t="n">
        <v>8534.809999999999</v>
      </c>
      <c r="G50" t="n">
        <v>0.9399999999999999</v>
      </c>
      <c r="I50" t="inlineStr">
        <is>
          <t>Small Cap</t>
        </is>
      </c>
    </row>
    <row r="51">
      <c r="B51" t="inlineStr">
        <is>
          <t>Phoenix Mills Ltd</t>
        </is>
      </c>
      <c r="C51" t="inlineStr">
        <is>
          <t>INE211B01039</t>
        </is>
      </c>
      <c r="D51" t="inlineStr">
        <is>
          <t>Realty</t>
        </is>
      </c>
      <c r="E51" t="n">
        <v>480077</v>
      </c>
      <c r="F51" t="n">
        <v>8337.98</v>
      </c>
      <c r="G51" t="n">
        <v>0.91</v>
      </c>
      <c r="I51" t="inlineStr">
        <is>
          <t>Mid Cap</t>
        </is>
      </c>
    </row>
    <row r="52">
      <c r="B52" t="inlineStr">
        <is>
          <t>United Spirits Ltd</t>
        </is>
      </c>
      <c r="C52" t="inlineStr">
        <is>
          <t>INE854D01024</t>
        </is>
      </c>
      <c r="D52" t="inlineStr">
        <is>
          <t>Beverages</t>
        </is>
      </c>
      <c r="E52" t="n">
        <v>566000</v>
      </c>
      <c r="F52" t="n">
        <v>8216.059999999999</v>
      </c>
      <c r="G52" t="n">
        <v>0.9</v>
      </c>
      <c r="I52" t="inlineStr">
        <is>
          <t>Large Cap</t>
        </is>
      </c>
    </row>
    <row r="53">
      <c r="B53" t="inlineStr">
        <is>
          <t>HDFC Life Insurance Co Ltd</t>
        </is>
      </c>
      <c r="C53" t="inlineStr">
        <is>
          <t>INE795G01014</t>
        </is>
      </c>
      <c r="D53" t="inlineStr">
        <is>
          <t>Insurance</t>
        </is>
      </c>
      <c r="E53" t="n">
        <v>1040000</v>
      </c>
      <c r="F53" t="n">
        <v>7948.72</v>
      </c>
      <c r="G53" t="n">
        <v>0.87</v>
      </c>
      <c r="I53" t="inlineStr">
        <is>
          <t>Large Cap</t>
        </is>
      </c>
    </row>
    <row r="54">
      <c r="B54" t="inlineStr">
        <is>
          <t>Godrej Consumer Products Ltd</t>
        </is>
      </c>
      <c r="C54" t="inlineStr">
        <is>
          <t>INE102D01028</t>
        </is>
      </c>
      <c r="D54" t="inlineStr">
        <is>
          <t>Personal Products</t>
        </is>
      </c>
      <c r="E54" t="n">
        <v>680640</v>
      </c>
      <c r="F54" t="n">
        <v>7797.41</v>
      </c>
      <c r="G54" t="n">
        <v>0.86</v>
      </c>
      <c r="I54" t="inlineStr">
        <is>
          <t>Large Cap</t>
        </is>
      </c>
    </row>
    <row r="55">
      <c r="B55" t="inlineStr">
        <is>
          <t>Vinati Organics Ltd</t>
        </is>
      </c>
      <c r="C55" t="inlineStr">
        <is>
          <t>INE410B01037</t>
        </is>
      </c>
      <c r="D55" t="inlineStr">
        <is>
          <t>Chemicals &amp; Petrochemicals</t>
        </is>
      </c>
      <c r="E55" t="n">
        <v>490300</v>
      </c>
      <c r="F55" t="n">
        <v>7745.27</v>
      </c>
      <c r="G55" t="n">
        <v>0.85</v>
      </c>
      <c r="I55" t="inlineStr">
        <is>
          <t>Small Cap</t>
        </is>
      </c>
    </row>
    <row r="56">
      <c r="B56" t="inlineStr">
        <is>
          <t>Info Edge (India) Ltd</t>
        </is>
      </c>
      <c r="C56" t="inlineStr">
        <is>
          <t>INE663F01032</t>
        </is>
      </c>
      <c r="D56" t="inlineStr">
        <is>
          <t>Retailing</t>
        </is>
      </c>
      <c r="E56" t="n">
        <v>569833</v>
      </c>
      <c r="F56" t="n">
        <v>7579.92</v>
      </c>
      <c r="G56" t="n">
        <v>0.83</v>
      </c>
      <c r="I56" t="inlineStr">
        <is>
          <t>Large Cap</t>
        </is>
      </c>
    </row>
    <row r="57">
      <c r="B57" t="inlineStr">
        <is>
          <t>Power Finance Corporation Ltd</t>
        </is>
      </c>
      <c r="C57" t="inlineStr">
        <is>
          <t>INE134E01011</t>
        </is>
      </c>
      <c r="D57" t="inlineStr">
        <is>
          <t>Finance</t>
        </is>
      </c>
      <c r="E57" t="n">
        <v>2050000</v>
      </c>
      <c r="F57" t="n">
        <v>7435.35</v>
      </c>
      <c r="G57" t="n">
        <v>0.82</v>
      </c>
      <c r="I57" t="inlineStr">
        <is>
          <t>Large Cap</t>
        </is>
      </c>
    </row>
    <row r="58">
      <c r="B58" t="inlineStr">
        <is>
          <t>Tech Mahindra Ltd</t>
        </is>
      </c>
      <c r="C58" t="inlineStr">
        <is>
          <t>INE669C01036</t>
        </is>
      </c>
      <c r="D58" t="inlineStr">
        <is>
          <t>IT - Software</t>
        </is>
      </c>
      <c r="E58" t="n">
        <v>455000</v>
      </c>
      <c r="F58" t="n">
        <v>6903.72</v>
      </c>
      <c r="G58" t="n">
        <v>0.76</v>
      </c>
      <c r="I58" t="inlineStr">
        <is>
          <t>Large Cap</t>
        </is>
      </c>
    </row>
    <row r="59">
      <c r="B59" t="inlineStr">
        <is>
          <t>Cholamandalam Investment and Finance Co Ltd</t>
        </is>
      </c>
      <c r="C59" t="inlineStr">
        <is>
          <t>INE121A01024</t>
        </is>
      </c>
      <c r="D59" t="inlineStr">
        <is>
          <t>Finance</t>
        </is>
      </c>
      <c r="E59" t="n">
        <v>383000</v>
      </c>
      <c r="F59" t="n">
        <v>6648.88</v>
      </c>
      <c r="G59" t="n">
        <v>0.73</v>
      </c>
      <c r="I59" t="inlineStr">
        <is>
          <t>Large Cap</t>
        </is>
      </c>
    </row>
    <row r="60">
      <c r="B60" t="inlineStr">
        <is>
          <t>Bajaj Auto Ltd</t>
        </is>
      </c>
      <c r="C60" t="inlineStr">
        <is>
          <t>INE917I01010</t>
        </is>
      </c>
      <c r="D60" t="inlineStr">
        <is>
          <t>Automobiles</t>
        </is>
      </c>
      <c r="E60" t="n">
        <v>72979</v>
      </c>
      <c r="F60" t="n">
        <v>6621.75</v>
      </c>
      <c r="G60" t="n">
        <v>0.73</v>
      </c>
      <c r="I60" t="inlineStr">
        <is>
          <t>Large Cap</t>
        </is>
      </c>
    </row>
    <row r="61">
      <c r="B61" t="inlineStr">
        <is>
          <t>Max Healthcare Institute Ltd</t>
        </is>
      </c>
      <c r="C61" t="inlineStr">
        <is>
          <t>INE027H01010</t>
        </is>
      </c>
      <c r="D61" t="inlineStr">
        <is>
          <t>Healthcare Services</t>
        </is>
      </c>
      <c r="E61" t="n">
        <v>564549</v>
      </c>
      <c r="F61" t="n">
        <v>6564.58</v>
      </c>
      <c r="G61" t="n">
        <v>0.72</v>
      </c>
      <c r="I61" t="inlineStr">
        <is>
          <t>Large Cap</t>
        </is>
      </c>
    </row>
    <row r="62">
      <c r="B62" t="inlineStr">
        <is>
          <t>K.P.R. Mill Ltd</t>
        </is>
      </c>
      <c r="C62" t="inlineStr">
        <is>
          <t>INE930H01031</t>
        </is>
      </c>
      <c r="D62" t="inlineStr">
        <is>
          <t>Textiles &amp; Apparels</t>
        </is>
      </c>
      <c r="E62" t="n">
        <v>597737</v>
      </c>
      <c r="F62" t="n">
        <v>6452.57</v>
      </c>
      <c r="G62" t="n">
        <v>0.71</v>
      </c>
      <c r="I62" t="inlineStr">
        <is>
          <t>Mid Cap</t>
        </is>
      </c>
    </row>
    <row r="63">
      <c r="B63" t="inlineStr">
        <is>
          <t>Deepak Nitrite Ltd</t>
        </is>
      </c>
      <c r="C63" t="inlineStr">
        <is>
          <t>INE288B01029</t>
        </is>
      </c>
      <c r="D63" t="inlineStr">
        <is>
          <t>Chemicals &amp; Petrochemicals</t>
        </is>
      </c>
      <c r="E63" t="n">
        <v>410000</v>
      </c>
      <c r="F63" t="n">
        <v>6390.26</v>
      </c>
      <c r="G63" t="n">
        <v>0.7</v>
      </c>
      <c r="I63" t="inlineStr">
        <is>
          <t>Small Cap</t>
        </is>
      </c>
    </row>
    <row r="64">
      <c r="B64" t="inlineStr">
        <is>
          <t>Trent Ltd</t>
        </is>
      </c>
      <c r="C64" t="inlineStr">
        <is>
          <t>INE849A01020</t>
        </is>
      </c>
      <c r="D64" t="inlineStr">
        <is>
          <t>Retailing</t>
        </is>
      </c>
      <c r="E64" t="n">
        <v>147626</v>
      </c>
      <c r="F64" t="n">
        <v>6274.7</v>
      </c>
      <c r="G64" t="n">
        <v>0.6899999999999999</v>
      </c>
      <c r="I64" t="inlineStr">
        <is>
          <t>Large Cap</t>
        </is>
      </c>
    </row>
    <row r="65">
      <c r="B65" t="inlineStr">
        <is>
          <t>Vishal Mega Mart Ltd</t>
        </is>
      </c>
      <c r="C65" t="inlineStr">
        <is>
          <t>INE01EA01019</t>
        </is>
      </c>
      <c r="D65" t="inlineStr">
        <is>
          <t>Retailing</t>
        </is>
      </c>
      <c r="E65" t="n">
        <v>4606179</v>
      </c>
      <c r="F65" t="n">
        <v>6255.19</v>
      </c>
      <c r="G65" t="n">
        <v>0.6899999999999999</v>
      </c>
      <c r="I65" t="inlineStr">
        <is>
          <t>Mid Cap</t>
        </is>
      </c>
    </row>
    <row r="66">
      <c r="B66" t="inlineStr">
        <is>
          <t>Linde India Ltd</t>
        </is>
      </c>
      <c r="C66" t="inlineStr">
        <is>
          <t>INE473A01011</t>
        </is>
      </c>
      <c r="D66" t="inlineStr">
        <is>
          <t>Chemicals &amp; Petrochemicals</t>
        </is>
      </c>
      <c r="E66" t="n">
        <v>100761</v>
      </c>
      <c r="F66" t="n">
        <v>6011.4</v>
      </c>
      <c r="G66" t="n">
        <v>0.66</v>
      </c>
      <c r="I66" t="inlineStr">
        <is>
          <t>Mid Cap</t>
        </is>
      </c>
    </row>
    <row r="67">
      <c r="B67" t="inlineStr">
        <is>
          <t>Crompton Greaves Consumer Electricals Ltd</t>
        </is>
      </c>
      <c r="C67" t="inlineStr">
        <is>
          <t>INE299U01018</t>
        </is>
      </c>
      <c r="D67" t="inlineStr">
        <is>
          <t>Consumer Durables</t>
        </is>
      </c>
      <c r="E67" t="n">
        <v>2150000</v>
      </c>
      <c r="F67" t="n">
        <v>5705.03</v>
      </c>
      <c r="G67" t="n">
        <v>0.63</v>
      </c>
      <c r="I67" t="inlineStr">
        <is>
          <t>Small Cap</t>
        </is>
      </c>
    </row>
    <row r="68">
      <c r="B68" t="inlineStr">
        <is>
          <t>Jyothy Labs Ltd</t>
        </is>
      </c>
      <c r="C68" t="inlineStr">
        <is>
          <t>INE668F01031</t>
        </is>
      </c>
      <c r="D68" t="inlineStr">
        <is>
          <t>Household Products</t>
        </is>
      </c>
      <c r="E68" t="n">
        <v>1896100</v>
      </c>
      <c r="F68" t="n">
        <v>5689.25</v>
      </c>
      <c r="G68" t="n">
        <v>0.62</v>
      </c>
      <c r="I68" t="inlineStr">
        <is>
          <t>Small Cap</t>
        </is>
      </c>
    </row>
    <row r="69">
      <c r="B69" t="inlineStr">
        <is>
          <t>Piramal Pharma Ltd</t>
        </is>
      </c>
      <c r="C69" t="inlineStr">
        <is>
          <t>INE0DK501011</t>
        </is>
      </c>
      <c r="D69" t="inlineStr">
        <is>
          <t>Pharmaceuticals &amp; Biotechnology</t>
        </is>
      </c>
      <c r="E69" t="n">
        <v>2900000</v>
      </c>
      <c r="F69" t="n">
        <v>5429.09</v>
      </c>
      <c r="G69" t="n">
        <v>0.6</v>
      </c>
      <c r="I69" t="inlineStr">
        <is>
          <t>Small Cap</t>
        </is>
      </c>
    </row>
    <row r="70">
      <c r="B70" t="inlineStr">
        <is>
          <t>NTPC Green Energy Ltd</t>
        </is>
      </c>
      <c r="C70" t="inlineStr">
        <is>
          <t>INE0ONG01011</t>
        </is>
      </c>
      <c r="D70" t="inlineStr">
        <is>
          <t>Power</t>
        </is>
      </c>
      <c r="E70" t="n">
        <v>5662942</v>
      </c>
      <c r="F70" t="n">
        <v>5376.96</v>
      </c>
      <c r="G70" t="n">
        <v>0.59</v>
      </c>
      <c r="I70" t="inlineStr">
        <is>
          <t>Mid Cap</t>
        </is>
      </c>
    </row>
    <row r="71">
      <c r="B71" t="inlineStr">
        <is>
          <t>Karur Vysya Bank Ltd</t>
        </is>
      </c>
      <c r="C71" t="inlineStr">
        <is>
          <t>INE036D01028</t>
        </is>
      </c>
      <c r="D71" t="inlineStr">
        <is>
          <t>Banks</t>
        </is>
      </c>
      <c r="E71" t="n">
        <v>1981061</v>
      </c>
      <c r="F71" t="n">
        <v>4912.44</v>
      </c>
      <c r="G71" t="n">
        <v>0.54</v>
      </c>
      <c r="I71" t="inlineStr">
        <is>
          <t>Small Cap</t>
        </is>
      </c>
    </row>
    <row r="72">
      <c r="B72" t="inlineStr">
        <is>
          <t>Solar Industries India Ltd</t>
        </is>
      </c>
      <c r="C72" t="inlineStr">
        <is>
          <t>INE343H01029</t>
        </is>
      </c>
      <c r="D72" t="inlineStr">
        <is>
          <t>Chemicals &amp; Petrochemicals</t>
        </is>
      </c>
      <c r="E72" t="n">
        <v>35233</v>
      </c>
      <c r="F72" t="n">
        <v>4676.12</v>
      </c>
      <c r="G72" t="n">
        <v>0.51</v>
      </c>
      <c r="I72" t="inlineStr">
        <is>
          <t>Large Cap</t>
        </is>
      </c>
    </row>
    <row r="73">
      <c r="B73" t="inlineStr">
        <is>
          <t>WeWork India Management Ltd</t>
        </is>
      </c>
      <c r="C73" t="inlineStr">
        <is>
          <t>INE085001019</t>
        </is>
      </c>
      <c r="D73" t="inlineStr">
        <is>
          <t>Commercial Services &amp; Supplies</t>
        </is>
      </c>
      <c r="E73" t="n">
        <v>754475</v>
      </c>
      <c r="F73" t="n">
        <v>4514.4</v>
      </c>
      <c r="G73" t="n">
        <v>0.5</v>
      </c>
      <c r="I73" t="inlineStr">
        <is>
          <t>Small Cap</t>
        </is>
      </c>
    </row>
    <row r="74">
      <c r="B74" t="inlineStr">
        <is>
          <t>Britannia Industries Ltd</t>
        </is>
      </c>
      <c r="C74" t="inlineStr">
        <is>
          <t>INE216A01030</t>
        </is>
      </c>
      <c r="D74" t="inlineStr">
        <is>
          <t>Food Products</t>
        </is>
      </c>
      <c r="E74" t="n">
        <v>71151</v>
      </c>
      <c r="F74" t="n">
        <v>4159.49</v>
      </c>
      <c r="G74" t="n">
        <v>0.46</v>
      </c>
      <c r="I74" t="inlineStr">
        <is>
          <t>Large Cap</t>
        </is>
      </c>
    </row>
    <row r="75">
      <c r="B75" t="inlineStr">
        <is>
          <t>Sonata Software Ltd</t>
        </is>
      </c>
      <c r="C75" t="inlineStr">
        <is>
          <t>INE269A01021</t>
        </is>
      </c>
      <c r="D75" t="inlineStr">
        <is>
          <t>IT - Software</t>
        </is>
      </c>
      <c r="E75" t="n">
        <v>727405</v>
      </c>
      <c r="F75" t="n">
        <v>2599.75</v>
      </c>
      <c r="G75" t="n">
        <v>0.29</v>
      </c>
      <c r="I75" t="inlineStr">
        <is>
          <t>Small Cap</t>
        </is>
      </c>
    </row>
    <row r="76">
      <c r="B76" t="inlineStr">
        <is>
          <t>Sub Total</t>
        </is>
      </c>
      <c r="F76">
        <f>SUM(F7:F75)</f>
        <v/>
      </c>
      <c r="G76">
        <f>SUM(G7:G75)</f>
        <v/>
      </c>
    </row>
    <row r="77">
      <c r="B77" t="inlineStr">
        <is>
          <t>Total</t>
        </is>
      </c>
      <c r="F77">
        <f>F76</f>
        <v/>
      </c>
      <c r="G77">
        <f>G76</f>
        <v/>
      </c>
    </row>
    <row r="78">
      <c r="B78" t="inlineStr">
        <is>
          <t>Debt Instruments</t>
        </is>
      </c>
    </row>
    <row r="79">
      <c r="B79" t="inlineStr">
        <is>
          <t>(a) Listed / awaiting listing on Stock Exchanges</t>
        </is>
      </c>
    </row>
    <row r="80">
      <c r="B80" t="inlineStr">
        <is>
          <t>6.00% TVS Motor Co Ltd NCRPS **</t>
        </is>
      </c>
      <c r="C80" t="inlineStr">
        <is>
          <t>INE494B04019</t>
        </is>
      </c>
      <c r="D80" t="inlineStr">
        <is>
          <t>CARE A1+</t>
        </is>
      </c>
      <c r="E80" t="n">
        <v>1340000</v>
      </c>
      <c r="F80" t="n">
        <v>135.88</v>
      </c>
      <c r="G80" t="n">
        <v>0.01</v>
      </c>
      <c r="H80" t="n">
        <v>6.035</v>
      </c>
    </row>
    <row r="81">
      <c r="B81" t="inlineStr">
        <is>
          <t>Sub Total</t>
        </is>
      </c>
      <c r="F81" t="n">
        <v>135.88</v>
      </c>
      <c r="G81" t="n">
        <v>0.01</v>
      </c>
    </row>
    <row r="82">
      <c r="B82" t="inlineStr">
        <is>
          <t>Total</t>
        </is>
      </c>
      <c r="F82" t="n">
        <v>135.88</v>
      </c>
      <c r="G82" t="n">
        <v>0.01</v>
      </c>
    </row>
    <row r="83">
      <c r="B83" t="inlineStr">
        <is>
          <t>TREPS</t>
        </is>
      </c>
    </row>
    <row r="84">
      <c r="B84" t="inlineStr">
        <is>
          <t>TREPS</t>
        </is>
      </c>
      <c r="F84" t="n">
        <v>21178.79</v>
      </c>
      <c r="G84" t="n">
        <v>2.32</v>
      </c>
    </row>
    <row r="85">
      <c r="B85" t="inlineStr">
        <is>
          <t>Sub Total</t>
        </is>
      </c>
      <c r="F85">
        <f>SUM(F83:F84)</f>
        <v/>
      </c>
      <c r="G85">
        <f>SUM(G83:G84)</f>
        <v/>
      </c>
    </row>
    <row r="86">
      <c r="B86" t="inlineStr">
        <is>
          <t>Total</t>
        </is>
      </c>
      <c r="F86">
        <f>F85</f>
        <v/>
      </c>
      <c r="G86">
        <f>G85</f>
        <v/>
      </c>
    </row>
    <row r="87">
      <c r="B87" t="inlineStr">
        <is>
          <t>Net Receivables / (Payables)</t>
        </is>
      </c>
      <c r="F87">
        <f>F88-(+F77+F86+F82)</f>
        <v/>
      </c>
      <c r="G87">
        <f>G88-(+G77+G86+G82)</f>
        <v/>
      </c>
    </row>
    <row r="88">
      <c r="B88" t="inlineStr">
        <is>
          <t>Grand Total</t>
        </is>
      </c>
      <c r="F88" t="n">
        <v>911779.85</v>
      </c>
      <c r="G88" t="n">
        <v>100</v>
      </c>
    </row>
    <row r="89"/>
    <row r="90">
      <c r="B90" t="inlineStr">
        <is>
          <t>** Non Traded Security</t>
        </is>
      </c>
    </row>
    <row r="91"/>
    <row r="92">
      <c r="B92" t="inlineStr">
        <is>
          <t>Residual Maturity</t>
        </is>
      </c>
      <c r="C92" t="inlineStr">
        <is>
          <t>0.0027 Years</t>
        </is>
      </c>
    </row>
    <row r="93"/>
    <row r="94">
      <c r="B94" t="inlineStr">
        <is>
          <t>Please refer the below link for the performance of the Schemes managed by Canara Robeco Mutual Fund</t>
        </is>
      </c>
    </row>
    <row r="95"/>
    <row r="96">
      <c r="B96" t="inlineStr">
        <is>
          <t>https://www.canararobeco.com/docs/default-source/default-document-library/Scheme_Performance_November-25.pdf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2026-01-01T16:22:31Z</dcterms:created>
  <dcterms:modified xmlns:dcterms="http://purl.org/dc/terms/" xmlns:xsi="http://www.w3.org/2001/XMLSchema-instance" xsi:type="dcterms:W3CDTF">2026-01-01T16:22:31Z</dcterms:modified>
</cp:coreProperties>
</file>