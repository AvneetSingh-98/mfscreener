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Mid Cap" sheetId="2" state="visible" r:id="rId2"/>
    <sheet xmlns:r="http://schemas.openxmlformats.org/officeDocument/2006/relationships" name="Flexi Cap" sheetId="3" state="visible" r:id="rId3"/>
    <sheet xmlns:r="http://schemas.openxmlformats.org/officeDocument/2006/relationships" name="EL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TBF</t>
        </is>
      </c>
    </row>
    <row r="3">
      <c r="C3" t="inlineStr">
        <is>
          <t>SCHEME NAME :</t>
        </is>
      </c>
      <c r="D3" t="inlineStr">
        <is>
          <t>Taurus Large Cap Fund</t>
        </is>
      </c>
    </row>
    <row r="4">
      <c r="C4" t="inlineStr">
        <is>
          <t>PORTFOLIO STATEMENT AS ON :</t>
        </is>
      </c>
      <c r="D4" s="1" t="n">
        <v>45991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43124</v>
      </c>
      <c r="H10" t="n">
        <v>434.26</v>
      </c>
      <c r="I10" t="n">
        <v>8.300000000000001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103545</v>
      </c>
      <c r="H11" t="n">
        <v>418.74</v>
      </c>
      <c r="I11" t="n">
        <v>8.01</v>
      </c>
    </row>
    <row r="12">
      <c r="B12" t="inlineStr">
        <is>
          <t>100010</t>
        </is>
      </c>
      <c r="C12" t="inlineStr">
        <is>
          <t>State Bank of India</t>
        </is>
      </c>
      <c r="D12" t="inlineStr">
        <is>
          <t>INE062A01020</t>
        </is>
      </c>
      <c r="F12" t="inlineStr">
        <is>
          <t>Banks</t>
        </is>
      </c>
      <c r="G12" t="n">
        <v>32804</v>
      </c>
      <c r="H12" t="n">
        <v>321.33</v>
      </c>
      <c r="I12" t="n">
        <v>6.14</v>
      </c>
    </row>
    <row r="13">
      <c r="B13" t="inlineStr">
        <is>
          <t>100012</t>
        </is>
      </c>
      <c r="C13" t="inlineStr">
        <is>
          <t>ICICI Bank Ltd.</t>
        </is>
      </c>
      <c r="D13" t="inlineStr">
        <is>
          <t>INE090A01021</t>
        </is>
      </c>
      <c r="F13" t="inlineStr">
        <is>
          <t>Banks</t>
        </is>
      </c>
      <c r="G13" t="n">
        <v>22452</v>
      </c>
      <c r="H13" t="n">
        <v>311.79</v>
      </c>
      <c r="I13" t="n">
        <v>5.96</v>
      </c>
    </row>
    <row r="14">
      <c r="B14" t="inlineStr">
        <is>
          <t>100002</t>
        </is>
      </c>
      <c r="C14" t="inlineStr">
        <is>
          <t>Reliance Industries Ltd.</t>
        </is>
      </c>
      <c r="D14" t="inlineStr">
        <is>
          <t>INE002A01018</t>
        </is>
      </c>
      <c r="F14" t="inlineStr">
        <is>
          <t>Petroleum Products</t>
        </is>
      </c>
      <c r="G14" t="n">
        <v>18341</v>
      </c>
      <c r="H14" t="n">
        <v>287.38</v>
      </c>
      <c r="I14" t="n">
        <v>5.49</v>
      </c>
    </row>
    <row r="15">
      <c r="B15" t="inlineStr">
        <is>
          <t>100095</t>
        </is>
      </c>
      <c r="C15" t="inlineStr">
        <is>
          <t>Bharti Airtel Ltd.</t>
        </is>
      </c>
      <c r="D15" t="inlineStr">
        <is>
          <t>INE397D01024</t>
        </is>
      </c>
      <c r="F15" t="inlineStr">
        <is>
          <t>Telecom - Services</t>
        </is>
      </c>
      <c r="G15" t="n">
        <v>12154</v>
      </c>
      <c r="H15" t="n">
        <v>255.36</v>
      </c>
      <c r="I15" t="n">
        <v>4.88</v>
      </c>
    </row>
    <row r="16">
      <c r="B16" t="inlineStr">
        <is>
          <t>100155</t>
        </is>
      </c>
      <c r="C16" t="inlineStr">
        <is>
          <t>Divi's Laboratories Ltd.</t>
        </is>
      </c>
      <c r="D16" t="inlineStr">
        <is>
          <t>INE361B01024</t>
        </is>
      </c>
      <c r="F16" t="inlineStr">
        <is>
          <t>Pharmaceuticals &amp; Biotechnology</t>
        </is>
      </c>
      <c r="G16" t="n">
        <v>3782</v>
      </c>
      <c r="H16" t="n">
        <v>245.03</v>
      </c>
      <c r="I16" t="n">
        <v>4.68</v>
      </c>
    </row>
    <row r="17">
      <c r="B17" t="inlineStr">
        <is>
          <t>100014</t>
        </is>
      </c>
      <c r="C17" t="inlineStr">
        <is>
          <t>Mahindra &amp; Mahindra Ltd.</t>
        </is>
      </c>
      <c r="D17" t="inlineStr">
        <is>
          <t>INE101A01026</t>
        </is>
      </c>
      <c r="F17" t="inlineStr">
        <is>
          <t>Automobiles</t>
        </is>
      </c>
      <c r="G17" t="n">
        <v>5680</v>
      </c>
      <c r="H17" t="n">
        <v>213.44</v>
      </c>
      <c r="I17" t="n">
        <v>4.08</v>
      </c>
    </row>
    <row r="18">
      <c r="B18" t="inlineStr">
        <is>
          <t>101184</t>
        </is>
      </c>
      <c r="C18" t="inlineStr">
        <is>
          <t>Mazagon Dock Shipbuilders Ltd.</t>
        </is>
      </c>
      <c r="D18" t="inlineStr">
        <is>
          <t>INE249Z01020</t>
        </is>
      </c>
      <c r="F18" t="inlineStr">
        <is>
          <t>Industrial Manufacturing</t>
        </is>
      </c>
      <c r="G18" t="n">
        <v>7390</v>
      </c>
      <c r="H18" t="n">
        <v>198.01</v>
      </c>
      <c r="I18" t="n">
        <v>3.79</v>
      </c>
    </row>
    <row r="19">
      <c r="B19" t="inlineStr">
        <is>
          <t>100024</t>
        </is>
      </c>
      <c r="C19" t="inlineStr">
        <is>
          <t>Axis Bank Ltd.</t>
        </is>
      </c>
      <c r="D19" t="inlineStr">
        <is>
          <t>INE238A01034</t>
        </is>
      </c>
      <c r="F19" t="inlineStr">
        <is>
          <t>Banks</t>
        </is>
      </c>
      <c r="G19" t="n">
        <v>14076</v>
      </c>
      <c r="H19" t="n">
        <v>180.21</v>
      </c>
      <c r="I19" t="n">
        <v>3.45</v>
      </c>
    </row>
    <row r="20">
      <c r="B20" t="inlineStr">
        <is>
          <t>102678</t>
        </is>
      </c>
      <c r="C20" t="inlineStr">
        <is>
          <t>TATA Capital Ltd.</t>
        </is>
      </c>
      <c r="D20" t="inlineStr">
        <is>
          <t>INE976I01016</t>
        </is>
      </c>
      <c r="F20" t="inlineStr">
        <is>
          <t>Finance</t>
        </is>
      </c>
      <c r="G20" t="n">
        <v>51463</v>
      </c>
      <c r="H20" t="n">
        <v>168.75</v>
      </c>
      <c r="I20" t="n">
        <v>3.23</v>
      </c>
    </row>
    <row r="21">
      <c r="B21" t="inlineStr">
        <is>
          <t>100182</t>
        </is>
      </c>
      <c r="C21" t="inlineStr">
        <is>
          <t>Power Grid Corporation of India Ltd.</t>
        </is>
      </c>
      <c r="D21" t="inlineStr">
        <is>
          <t>INE752E01010</t>
        </is>
      </c>
      <c r="F21" t="inlineStr">
        <is>
          <t>Power</t>
        </is>
      </c>
      <c r="G21" t="n">
        <v>58197</v>
      </c>
      <c r="H21" t="n">
        <v>157.07</v>
      </c>
      <c r="I21" t="n">
        <v>3</v>
      </c>
    </row>
    <row r="22">
      <c r="B22" t="inlineStr">
        <is>
          <t>100111</t>
        </is>
      </c>
      <c r="C22" t="inlineStr">
        <is>
          <t>Oil &amp; Natural Gas Corporation Ltd.</t>
        </is>
      </c>
      <c r="D22" t="inlineStr">
        <is>
          <t>INE213A01029</t>
        </is>
      </c>
      <c r="F22" t="inlineStr">
        <is>
          <t>Oil</t>
        </is>
      </c>
      <c r="G22" t="n">
        <v>61238</v>
      </c>
      <c r="H22" t="n">
        <v>148.96</v>
      </c>
      <c r="I22" t="n">
        <v>2.85</v>
      </c>
    </row>
    <row r="23">
      <c r="B23" t="inlineStr">
        <is>
          <t>100153</t>
        </is>
      </c>
      <c r="C23" t="inlineStr">
        <is>
          <t>Cipla Ltd.</t>
        </is>
      </c>
      <c r="D23" t="inlineStr">
        <is>
          <t>INE059A01026</t>
        </is>
      </c>
      <c r="F23" t="inlineStr">
        <is>
          <t>Pharmaceuticals &amp; Biotechnology</t>
        </is>
      </c>
      <c r="G23" t="n">
        <v>9475</v>
      </c>
      <c r="H23" t="n">
        <v>145.06</v>
      </c>
      <c r="I23" t="n">
        <v>2.77</v>
      </c>
    </row>
    <row r="24">
      <c r="B24" t="inlineStr">
        <is>
          <t>100037</t>
        </is>
      </c>
      <c r="C24" t="inlineStr">
        <is>
          <t>HCL Technologies Ltd.</t>
        </is>
      </c>
      <c r="D24" t="inlineStr">
        <is>
          <t>INE860A01027</t>
        </is>
      </c>
      <c r="F24" t="inlineStr">
        <is>
          <t>IT - Software</t>
        </is>
      </c>
      <c r="G24" t="n">
        <v>7885</v>
      </c>
      <c r="H24" t="n">
        <v>128.35</v>
      </c>
      <c r="I24" t="n">
        <v>2.45</v>
      </c>
    </row>
    <row r="25">
      <c r="B25" t="inlineStr">
        <is>
          <t>100125</t>
        </is>
      </c>
      <c r="C25" t="inlineStr">
        <is>
          <t>Bajaj Finance Ltd.</t>
        </is>
      </c>
      <c r="D25" t="inlineStr">
        <is>
          <t>INE296A01032</t>
        </is>
      </c>
      <c r="F25" t="inlineStr">
        <is>
          <t>Finance</t>
        </is>
      </c>
      <c r="G25" t="n">
        <v>12075</v>
      </c>
      <c r="H25" t="n">
        <v>125.3</v>
      </c>
      <c r="I25" t="n">
        <v>2.4</v>
      </c>
    </row>
    <row r="26">
      <c r="B26" t="inlineStr">
        <is>
          <t>100097</t>
        </is>
      </c>
      <c r="C26" t="inlineStr">
        <is>
          <t>Coal India Ltd.</t>
        </is>
      </c>
      <c r="D26" t="inlineStr">
        <is>
          <t>INE522F01014</t>
        </is>
      </c>
      <c r="F26" t="inlineStr">
        <is>
          <t>Consumable Fuels</t>
        </is>
      </c>
      <c r="G26" t="n">
        <v>32167</v>
      </c>
      <c r="H26" t="n">
        <v>120.9</v>
      </c>
      <c r="I26" t="n">
        <v>2.31</v>
      </c>
    </row>
    <row r="27">
      <c r="B27" t="inlineStr">
        <is>
          <t>100169</t>
        </is>
      </c>
      <c r="C27" t="inlineStr">
        <is>
          <t>Indian Oil Corporation Ltd.</t>
        </is>
      </c>
      <c r="D27" t="inlineStr">
        <is>
          <t>INE242A01010</t>
        </is>
      </c>
      <c r="F27" t="inlineStr">
        <is>
          <t>Petroleum Products</t>
        </is>
      </c>
      <c r="G27" t="n">
        <v>74612</v>
      </c>
      <c r="H27" t="n">
        <v>120.68</v>
      </c>
      <c r="I27" t="n">
        <v>2.31</v>
      </c>
    </row>
    <row r="28">
      <c r="B28" t="inlineStr">
        <is>
          <t>100380</t>
        </is>
      </c>
      <c r="C28" t="inlineStr">
        <is>
          <t>Bajaj Finserv Ltd.</t>
        </is>
      </c>
      <c r="D28" t="inlineStr">
        <is>
          <t>INE918I01026</t>
        </is>
      </c>
      <c r="F28" t="inlineStr">
        <is>
          <t>Finance</t>
        </is>
      </c>
      <c r="G28" t="n">
        <v>5595</v>
      </c>
      <c r="H28" t="n">
        <v>117.18</v>
      </c>
      <c r="I28" t="n">
        <v>2.24</v>
      </c>
    </row>
    <row r="29">
      <c r="B29" t="inlineStr">
        <is>
          <t>100566</t>
        </is>
      </c>
      <c r="C29" t="inlineStr">
        <is>
          <t>Laurus Labs Ltd.</t>
        </is>
      </c>
      <c r="D29" t="inlineStr">
        <is>
          <t>INE947Q01028</t>
        </is>
      </c>
      <c r="F29" t="inlineStr">
        <is>
          <t>Pharmaceuticals &amp; Biotechnology</t>
        </is>
      </c>
      <c r="G29" t="n">
        <v>10562</v>
      </c>
      <c r="H29" t="n">
        <v>108.93</v>
      </c>
      <c r="I29" t="n">
        <v>2.08</v>
      </c>
    </row>
    <row r="30">
      <c r="B30" t="inlineStr">
        <is>
          <t>100083</t>
        </is>
      </c>
      <c r="C30" t="inlineStr">
        <is>
          <t>Samvardhana Motherson International Ltd.</t>
        </is>
      </c>
      <c r="D30" t="inlineStr">
        <is>
          <t>INE775A01035</t>
        </is>
      </c>
      <c r="F30" t="inlineStr">
        <is>
          <t>Auto Components</t>
        </is>
      </c>
      <c r="G30" t="n">
        <v>86238</v>
      </c>
      <c r="H30" t="n">
        <v>100.29</v>
      </c>
      <c r="I30" t="n">
        <v>1.92</v>
      </c>
    </row>
    <row r="31">
      <c r="B31" t="inlineStr">
        <is>
          <t>100177</t>
        </is>
      </c>
      <c r="C31" t="inlineStr">
        <is>
          <t>Grasim Industries Ltd.</t>
        </is>
      </c>
      <c r="D31" t="inlineStr">
        <is>
          <t>INE047A01021</t>
        </is>
      </c>
      <c r="F31" t="inlineStr">
        <is>
          <t>Cement &amp; Cement Products</t>
        </is>
      </c>
      <c r="G31" t="n">
        <v>3430</v>
      </c>
      <c r="H31" t="n">
        <v>93.97</v>
      </c>
      <c r="I31" t="n">
        <v>1.8</v>
      </c>
    </row>
    <row r="32">
      <c r="B32" t="inlineStr">
        <is>
          <t>100003</t>
        </is>
      </c>
      <c r="C32" t="inlineStr">
        <is>
          <t>Infosys Ltd.</t>
        </is>
      </c>
      <c r="D32" t="inlineStr">
        <is>
          <t>INE009A01021</t>
        </is>
      </c>
      <c r="F32" t="inlineStr">
        <is>
          <t>IT - Software</t>
        </is>
      </c>
      <c r="G32" t="n">
        <v>5821</v>
      </c>
      <c r="H32" t="n">
        <v>90.79000000000001</v>
      </c>
      <c r="I32" t="n">
        <v>1.74</v>
      </c>
    </row>
    <row r="33">
      <c r="B33" t="inlineStr">
        <is>
          <t>100194</t>
        </is>
      </c>
      <c r="C33" t="inlineStr">
        <is>
          <t>Power Finance Corporation Ltd.</t>
        </is>
      </c>
      <c r="D33" t="inlineStr">
        <is>
          <t>INE134E01011</t>
        </is>
      </c>
      <c r="F33" t="inlineStr">
        <is>
          <t>Finance</t>
        </is>
      </c>
      <c r="G33" t="n">
        <v>22408</v>
      </c>
      <c r="H33" t="n">
        <v>81.36</v>
      </c>
      <c r="I33" t="n">
        <v>1.56</v>
      </c>
    </row>
    <row r="34">
      <c r="B34" t="inlineStr">
        <is>
          <t>100005</t>
        </is>
      </c>
      <c r="C34" t="inlineStr">
        <is>
          <t>Larsen &amp; Toubro Ltd.</t>
        </is>
      </c>
      <c r="D34" t="inlineStr">
        <is>
          <t>INE018A01030</t>
        </is>
      </c>
      <c r="F34" t="inlineStr">
        <is>
          <t>Construction</t>
        </is>
      </c>
      <c r="G34" t="n">
        <v>1868</v>
      </c>
      <c r="H34" t="n">
        <v>76</v>
      </c>
      <c r="I34" t="n">
        <v>1.45</v>
      </c>
    </row>
    <row r="35">
      <c r="B35" t="inlineStr">
        <is>
          <t>100092</t>
        </is>
      </c>
      <c r="C35" t="inlineStr">
        <is>
          <t>Bank of Baroda</t>
        </is>
      </c>
      <c r="D35" t="inlineStr">
        <is>
          <t>INE028A01039</t>
        </is>
      </c>
      <c r="F35" t="inlineStr">
        <is>
          <t>Banks</t>
        </is>
      </c>
      <c r="G35" t="n">
        <v>25068</v>
      </c>
      <c r="H35" t="n">
        <v>72.66</v>
      </c>
      <c r="I35" t="n">
        <v>1.39</v>
      </c>
    </row>
    <row r="36">
      <c r="B36" t="inlineStr">
        <is>
          <t>100106</t>
        </is>
      </c>
      <c r="C36" t="inlineStr">
        <is>
          <t>Maruti Suzuki India Ltd.</t>
        </is>
      </c>
      <c r="D36" t="inlineStr">
        <is>
          <t>INE585B01010</t>
        </is>
      </c>
      <c r="F36" t="inlineStr">
        <is>
          <t>Automobiles</t>
        </is>
      </c>
      <c r="G36" t="n">
        <v>443</v>
      </c>
      <c r="H36" t="n">
        <v>70.41</v>
      </c>
      <c r="I36" t="n">
        <v>1.35</v>
      </c>
    </row>
    <row r="37">
      <c r="B37" t="inlineStr">
        <is>
          <t>100032</t>
        </is>
      </c>
      <c r="C37" t="inlineStr">
        <is>
          <t>Tata Consultancy Services Ltd.</t>
        </is>
      </c>
      <c r="D37" t="inlineStr">
        <is>
          <t>INE467B01029</t>
        </is>
      </c>
      <c r="F37" t="inlineStr">
        <is>
          <t>IT - Software</t>
        </is>
      </c>
      <c r="G37" t="n">
        <v>2100</v>
      </c>
      <c r="H37" t="n">
        <v>65.93000000000001</v>
      </c>
      <c r="I37" t="n">
        <v>1.26</v>
      </c>
    </row>
    <row r="38">
      <c r="B38" t="inlineStr">
        <is>
          <t>102644</t>
        </is>
      </c>
      <c r="C38" t="inlineStr">
        <is>
          <t>Vikram Solar Ltd.</t>
        </is>
      </c>
      <c r="D38" t="inlineStr">
        <is>
          <t>INE078V01014</t>
        </is>
      </c>
      <c r="F38" t="inlineStr">
        <is>
          <t>Electrical Equipment</t>
        </is>
      </c>
      <c r="G38" t="n">
        <v>22793</v>
      </c>
      <c r="H38" t="n">
        <v>59.65</v>
      </c>
      <c r="I38" t="n">
        <v>1.14</v>
      </c>
    </row>
    <row r="39">
      <c r="B39" t="inlineStr">
        <is>
          <t>100008</t>
        </is>
      </c>
      <c r="C39" t="inlineStr">
        <is>
          <t>Sun Pharmaceutical Industries Ltd.</t>
        </is>
      </c>
      <c r="D39" t="inlineStr">
        <is>
          <t>INE044A01036</t>
        </is>
      </c>
      <c r="F39" t="inlineStr">
        <is>
          <t>Pharmaceuticals &amp; Biotechnology</t>
        </is>
      </c>
      <c r="G39" t="n">
        <v>3074</v>
      </c>
      <c r="H39" t="n">
        <v>56.29</v>
      </c>
      <c r="I39" t="n">
        <v>1.08</v>
      </c>
    </row>
    <row r="40">
      <c r="B40" t="inlineStr">
        <is>
          <t>100081</t>
        </is>
      </c>
      <c r="C40" t="inlineStr">
        <is>
          <t>Titan Company Ltd.</t>
        </is>
      </c>
      <c r="D40" t="inlineStr">
        <is>
          <t>INE280A01028</t>
        </is>
      </c>
      <c r="F40" t="inlineStr">
        <is>
          <t>Consumer Durables</t>
        </is>
      </c>
      <c r="G40" t="n">
        <v>1393</v>
      </c>
      <c r="H40" t="n">
        <v>54.45</v>
      </c>
      <c r="I40" t="n">
        <v>1.04</v>
      </c>
    </row>
    <row r="41">
      <c r="B41" t="inlineStr">
        <is>
          <t>100292</t>
        </is>
      </c>
      <c r="C41" t="inlineStr">
        <is>
          <t>Steel Authority of India Ltd.</t>
        </is>
      </c>
      <c r="D41" t="inlineStr">
        <is>
          <t>INE114A01011</t>
        </is>
      </c>
      <c r="F41" t="inlineStr">
        <is>
          <t>Ferrous Metals</t>
        </is>
      </c>
      <c r="G41" t="n">
        <v>38500</v>
      </c>
      <c r="H41" t="n">
        <v>51.92</v>
      </c>
      <c r="I41" t="n">
        <v>0.99</v>
      </c>
    </row>
    <row r="42">
      <c r="B42" t="inlineStr">
        <is>
          <t>100733</t>
        </is>
      </c>
      <c r="C42" t="inlineStr">
        <is>
          <t>General Insurance Corporation of India</t>
        </is>
      </c>
      <c r="D42" t="inlineStr">
        <is>
          <t>INE481Y01014</t>
        </is>
      </c>
      <c r="F42" t="inlineStr">
        <is>
          <t>Insurance</t>
        </is>
      </c>
      <c r="G42" t="n">
        <v>11705</v>
      </c>
      <c r="H42" t="n">
        <v>45.33</v>
      </c>
      <c r="I42" t="n">
        <v>0.87</v>
      </c>
    </row>
    <row r="43">
      <c r="C43" t="inlineStr">
        <is>
          <t>Total</t>
        </is>
      </c>
      <c r="H43" t="n">
        <v>5125.78</v>
      </c>
      <c r="I43" t="n">
        <v>98.01000000000001</v>
      </c>
    </row>
    <row r="44"/>
    <row r="45">
      <c r="C45" t="inlineStr">
        <is>
          <t>b) Unlisted</t>
        </is>
      </c>
      <c r="H45" t="inlineStr">
        <is>
          <t>NIL</t>
        </is>
      </c>
      <c r="I45" t="inlineStr">
        <is>
          <t>NIL</t>
        </is>
      </c>
    </row>
    <row r="46"/>
    <row r="47">
      <c r="C47" t="inlineStr">
        <is>
          <t>c) Foreign Securities and /or overseas ETF</t>
        </is>
      </c>
      <c r="H47" t="inlineStr">
        <is>
          <t>NIL</t>
        </is>
      </c>
      <c r="I47" t="inlineStr">
        <is>
          <t>NIL</t>
        </is>
      </c>
    </row>
    <row r="48"/>
    <row r="49">
      <c r="C49" t="inlineStr">
        <is>
          <t>DEBT INSTRUMENTS</t>
        </is>
      </c>
    </row>
    <row r="50"/>
    <row r="51">
      <c r="C51" t="inlineStr">
        <is>
          <t>a) Listed/awaiting listing on the stock exchanges</t>
        </is>
      </c>
      <c r="H51" t="inlineStr">
        <is>
          <t>NIL</t>
        </is>
      </c>
      <c r="I51" t="inlineStr">
        <is>
          <t>NIL</t>
        </is>
      </c>
    </row>
    <row r="52"/>
    <row r="53">
      <c r="C53" t="inlineStr">
        <is>
          <t>b) Privately Placed/Unlisted</t>
        </is>
      </c>
      <c r="H53" t="inlineStr">
        <is>
          <t>NIL</t>
        </is>
      </c>
      <c r="I53" t="inlineStr">
        <is>
          <t>NIL</t>
        </is>
      </c>
    </row>
    <row r="54"/>
    <row r="55">
      <c r="C55" t="inlineStr">
        <is>
          <t>c) Securitised Debt Instruments</t>
        </is>
      </c>
      <c r="H55" t="inlineStr">
        <is>
          <t>NIL</t>
        </is>
      </c>
      <c r="I55" t="inlineStr">
        <is>
          <t>NIL</t>
        </is>
      </c>
    </row>
    <row r="56"/>
    <row r="57">
      <c r="C57" t="inlineStr">
        <is>
          <t>d) Central Government Securities</t>
        </is>
      </c>
      <c r="H57" t="inlineStr">
        <is>
          <t>NIL</t>
        </is>
      </c>
      <c r="I57" t="inlineStr">
        <is>
          <t>NIL</t>
        </is>
      </c>
    </row>
    <row r="58"/>
    <row r="59">
      <c r="C59" t="inlineStr">
        <is>
          <t>e) State Government Securities</t>
        </is>
      </c>
      <c r="H59" t="inlineStr">
        <is>
          <t>NIL</t>
        </is>
      </c>
      <c r="I59" t="inlineStr">
        <is>
          <t>NIL</t>
        </is>
      </c>
    </row>
    <row r="60"/>
    <row r="61">
      <c r="C61" t="inlineStr">
        <is>
          <t>MONEY MARKET INSTRUMENTS</t>
        </is>
      </c>
    </row>
    <row r="62"/>
    <row r="63">
      <c r="C63" t="inlineStr">
        <is>
          <t>a) Commercial Paper</t>
        </is>
      </c>
      <c r="H63" t="inlineStr">
        <is>
          <t>NIL</t>
        </is>
      </c>
      <c r="I63" t="inlineStr">
        <is>
          <t>NIL</t>
        </is>
      </c>
    </row>
    <row r="64"/>
    <row r="65">
      <c r="C65" t="inlineStr">
        <is>
          <t>b) Certificate of Deposits</t>
        </is>
      </c>
      <c r="H65" t="inlineStr">
        <is>
          <t>NIL</t>
        </is>
      </c>
      <c r="I65" t="inlineStr">
        <is>
          <t>NIL</t>
        </is>
      </c>
    </row>
    <row r="66"/>
    <row r="67">
      <c r="C67" t="inlineStr">
        <is>
          <t>c) Treasury Bills</t>
        </is>
      </c>
      <c r="H67" t="inlineStr">
        <is>
          <t>NIL</t>
        </is>
      </c>
      <c r="I67" t="inlineStr">
        <is>
          <t>NIL</t>
        </is>
      </c>
    </row>
    <row r="68"/>
    <row r="69">
      <c r="C69" t="inlineStr">
        <is>
          <t>d) Bills Re- Discounting</t>
        </is>
      </c>
      <c r="H69" t="inlineStr">
        <is>
          <t>NIL</t>
        </is>
      </c>
      <c r="I69" t="inlineStr">
        <is>
          <t>NIL</t>
        </is>
      </c>
    </row>
    <row r="70"/>
    <row r="71">
      <c r="C71" t="inlineStr">
        <is>
          <t>OTHERS</t>
        </is>
      </c>
    </row>
    <row r="72"/>
    <row r="73">
      <c r="C73" t="inlineStr">
        <is>
          <t>a) Mutual Fund Units / Exchange Traded Funds</t>
        </is>
      </c>
      <c r="H73" t="inlineStr">
        <is>
          <t>NIL</t>
        </is>
      </c>
      <c r="I73" t="inlineStr">
        <is>
          <t>NIL</t>
        </is>
      </c>
    </row>
    <row r="74"/>
    <row r="75">
      <c r="C75" t="inlineStr">
        <is>
          <t>b) Alternative Investment Funds</t>
        </is>
      </c>
      <c r="H75" t="inlineStr">
        <is>
          <t>NIL</t>
        </is>
      </c>
      <c r="I75" t="inlineStr">
        <is>
          <t>NIL</t>
        </is>
      </c>
    </row>
    <row r="76"/>
    <row r="77">
      <c r="C77" t="inlineStr">
        <is>
          <t>c) Gold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d) Short Term Deposits</t>
        </is>
      </c>
      <c r="H79" t="inlineStr">
        <is>
          <t>NIL</t>
        </is>
      </c>
      <c r="I79" t="inlineStr">
        <is>
          <t>NIL</t>
        </is>
      </c>
    </row>
    <row r="80"/>
    <row r="81">
      <c r="C81" t="inlineStr">
        <is>
          <t>e) Term Deposits Placed as Margins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f) TREPS / Reverse Repo Investments</t>
        </is>
      </c>
      <c r="H83" t="inlineStr">
        <is>
          <t>NIL</t>
        </is>
      </c>
      <c r="I83" t="inlineStr">
        <is>
          <t>NIL</t>
        </is>
      </c>
    </row>
    <row r="84"/>
    <row r="85">
      <c r="C85" t="inlineStr">
        <is>
          <t>Other Current Assets / (Liabilities)</t>
        </is>
      </c>
    </row>
    <row r="86">
      <c r="C86" t="inlineStr">
        <is>
          <t>Net Receivable / Payable</t>
        </is>
      </c>
      <c r="H86" t="n">
        <v>104.6</v>
      </c>
      <c r="I86" t="n">
        <v>1.99</v>
      </c>
    </row>
    <row r="87">
      <c r="C87" t="inlineStr">
        <is>
          <t>Total</t>
        </is>
      </c>
      <c r="H87" t="n">
        <v>104.6</v>
      </c>
      <c r="I87" t="n">
        <v>1.99</v>
      </c>
    </row>
    <row r="88"/>
    <row r="89">
      <c r="C89" t="inlineStr">
        <is>
          <t>GRAND TOTAL (AUM)</t>
        </is>
      </c>
      <c r="H89" t="n">
        <v>5230.38</v>
      </c>
      <c r="I89">
        <f>SUMIFS(I:I,C:C,"Total")</f>
        <v/>
      </c>
    </row>
    <row r="90"/>
    <row r="91"/>
    <row r="92">
      <c r="C92" t="inlineStr">
        <is>
          <t>Notes &amp; Symbols :-</t>
        </is>
      </c>
    </row>
    <row r="93">
      <c r="C93" t="inlineStr">
        <is>
      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      </is>
      </c>
    </row>
    <row r="94">
      <c r="C94" t="inlineStr">
        <is>
          <t>1. Non Convertible Debentures and  Bonds are considered as Traded based on information provided by external agencies.</t>
        </is>
      </c>
    </row>
    <row r="95">
      <c r="C95" t="inlineStr">
        <is>
          <t>2. ^ The Name of the Industry is in accordance with Industry Classification as recommended by AMFI.</t>
        </is>
      </c>
    </row>
    <row r="96">
      <c r="C96" t="inlineStr">
        <is>
          <t>3. Total NPAs provided for and its percentage to NAV is Nil.</t>
        </is>
      </c>
    </row>
    <row r="97">
      <c r="C97" t="inlineStr">
        <is>
          <t>4. Total Value and percentage of illiquid equity shares is Nil.</t>
        </is>
      </c>
    </row>
    <row r="98">
      <c r="C98" t="inlineStr">
        <is>
          <t>5. Net Assets Value per unit (in Rupees) are as follows:</t>
        </is>
      </c>
    </row>
    <row r="99">
      <c r="D99" t="inlineStr">
        <is>
          <t>NAV per unit</t>
        </is>
      </c>
    </row>
    <row r="100">
      <c r="C100" t="inlineStr">
        <is>
          <t>Plan/Option</t>
        </is>
      </c>
      <c r="D100" t="inlineStr">
        <is>
          <t>As on</t>
        </is>
      </c>
      <c r="E100" t="inlineStr">
        <is>
          <t>As on</t>
        </is>
      </c>
    </row>
    <row r="101">
      <c r="D101" t="inlineStr">
        <is>
          <t>October 31, 2025</t>
        </is>
      </c>
      <c r="E101" t="inlineStr">
        <is>
          <t>November 30, 2025</t>
        </is>
      </c>
    </row>
    <row r="102">
      <c r="C102" t="inlineStr">
        <is>
          <t>Regular Plan - IDCW</t>
        </is>
      </c>
      <c r="D102" t="n">
        <v>71.03</v>
      </c>
      <c r="E102" t="n">
        <v>71.63</v>
      </c>
    </row>
    <row r="103">
      <c r="C103" t="inlineStr">
        <is>
          <t>Regular Plan - Growth</t>
        </is>
      </c>
      <c r="D103" t="n">
        <v>162.14</v>
      </c>
      <c r="E103" t="n">
        <v>163.51</v>
      </c>
    </row>
    <row r="104">
      <c r="C104" t="inlineStr">
        <is>
          <t>Direct Plan - IDCW</t>
        </is>
      </c>
      <c r="D104" t="n">
        <v>75.59999999999999</v>
      </c>
      <c r="E104" t="n">
        <v>76.25</v>
      </c>
    </row>
    <row r="105">
      <c r="C105" t="inlineStr">
        <is>
          <t>Direct Plan - Growth</t>
        </is>
      </c>
      <c r="D105" t="n">
        <v>171.62</v>
      </c>
      <c r="E105" t="n">
        <v>173.1</v>
      </c>
    </row>
    <row r="106"/>
    <row r="107">
      <c r="C107" t="inlineStr">
        <is>
          <t>6. The Scheme did not declare any dividend during the month ended as on November 30,2025.</t>
        </is>
      </c>
    </row>
    <row r="108">
      <c r="C108" t="inlineStr">
        <is>
          <t>7. The Scheme did not declare any bonus during the month ended as on  November 30,2025.</t>
        </is>
      </c>
    </row>
    <row r="109">
      <c r="C109" t="inlineStr">
        <is>
          <t>8. Total outstanding exposure in derivative instruments as on  November 30,2025 is Nil</t>
        </is>
      </c>
    </row>
    <row r="110">
      <c r="C110" t="inlineStr">
        <is>
          <t>9. Total investments in Foreign Securities /ADRs/GDRs /Overseas ETFs as at as on  November 30,2025 and its percentage to NAV is Nil.</t>
        </is>
      </c>
    </row>
    <row r="111">
      <c r="C111" t="inlineStr">
        <is>
          <t>10. During the period, the portfolio turnover ratio is 0.93 times.</t>
        </is>
      </c>
    </row>
    <row r="112">
      <c r="C112" t="inlineStr">
        <is>
          <t xml:space="preserve">      Portfolio Turnover Ratio = Lower of sales or purchase of securities divided by average AUM for 12 months ended as on  November 30,2025</t>
        </is>
      </c>
    </row>
    <row r="113">
      <c r="C113" t="inlineStr">
        <is>
          <t>11. The Scheme did not invest in repo transactions of corporate debt securities during the month ended as on November 30,2025.</t>
        </is>
      </c>
    </row>
    <row r="114">
      <c r="C114" t="inlineStr">
        <is>
          <t>12. The Scheme did not invest in credit default swaps during the month ended as on November 30,2025.</t>
        </is>
      </c>
    </row>
    <row r="115">
      <c r="C115" t="inlineStr">
        <is>
          <t>13. There are Nil instances of deviation from the valuation principles/guidelines during the month ended as on November 30th,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2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TDF</t>
        </is>
      </c>
    </row>
    <row r="3">
      <c r="C3" t="inlineStr">
        <is>
          <t>SCHEME NAME :</t>
        </is>
      </c>
      <c r="D3" t="inlineStr">
        <is>
          <t>Taurus Mid Cap Fund</t>
        </is>
      </c>
    </row>
    <row r="4">
      <c r="C4" t="inlineStr">
        <is>
          <t>PORTFOLIO STATEMENT AS ON :</t>
        </is>
      </c>
      <c r="D4" s="1" t="n">
        <v>45991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100234</t>
        </is>
      </c>
      <c r="C10" t="inlineStr">
        <is>
          <t>Coforge Ltd.</t>
        </is>
      </c>
      <c r="D10" t="inlineStr">
        <is>
          <t>INE591G01025</t>
        </is>
      </c>
      <c r="F10" t="inlineStr">
        <is>
          <t>IT - Software</t>
        </is>
      </c>
      <c r="G10" t="n">
        <v>33050</v>
      </c>
      <c r="H10" t="n">
        <v>630.78</v>
      </c>
      <c r="I10" t="n">
        <v>4.78</v>
      </c>
    </row>
    <row r="11">
      <c r="B11" t="inlineStr">
        <is>
          <t>101574</t>
        </is>
      </c>
      <c r="C11" t="inlineStr">
        <is>
          <t>Linde India Ltd.</t>
        </is>
      </c>
      <c r="D11" t="inlineStr">
        <is>
          <t>INE473A01011</t>
        </is>
      </c>
      <c r="F11" t="inlineStr">
        <is>
          <t>Chemicals &amp; Petrochemicals</t>
        </is>
      </c>
      <c r="G11" t="n">
        <v>10130</v>
      </c>
      <c r="H11" t="n">
        <v>604.42</v>
      </c>
      <c r="I11" t="n">
        <v>4.58</v>
      </c>
    </row>
    <row r="12">
      <c r="B12" t="inlineStr">
        <is>
          <t>102663</t>
        </is>
      </c>
      <c r="C12" t="inlineStr">
        <is>
          <t>Pace Digitek Ltd.</t>
        </is>
      </c>
      <c r="D12" t="inlineStr">
        <is>
          <t>INE0S3G01027</t>
        </is>
      </c>
      <c r="F12" t="inlineStr">
        <is>
          <t>Telecom - Services</t>
        </is>
      </c>
      <c r="G12" t="n">
        <v>274040</v>
      </c>
      <c r="H12" t="n">
        <v>584.66</v>
      </c>
      <c r="I12" t="n">
        <v>4.43</v>
      </c>
    </row>
    <row r="13">
      <c r="B13" t="inlineStr">
        <is>
          <t>100201</t>
        </is>
      </c>
      <c r="C13" t="inlineStr">
        <is>
          <t>Aurobindo Pharma Ltd.</t>
        </is>
      </c>
      <c r="D13" t="inlineStr">
        <is>
          <t>INE406A01037</t>
        </is>
      </c>
      <c r="F13" t="inlineStr">
        <is>
          <t>Pharmaceuticals &amp; Biotechnology</t>
        </is>
      </c>
      <c r="G13" t="n">
        <v>41000</v>
      </c>
      <c r="H13" t="n">
        <v>501.8</v>
      </c>
      <c r="I13" t="n">
        <v>3.81</v>
      </c>
    </row>
    <row r="14">
      <c r="B14" t="inlineStr">
        <is>
          <t>100164</t>
        </is>
      </c>
      <c r="C14" t="inlineStr">
        <is>
          <t>Petronet LNG Ltd.</t>
        </is>
      </c>
      <c r="D14" t="inlineStr">
        <is>
          <t>INE347G01014</t>
        </is>
      </c>
      <c r="F14" t="inlineStr">
        <is>
          <t>Gas</t>
        </is>
      </c>
      <c r="G14" t="n">
        <v>175000</v>
      </c>
      <c r="H14" t="n">
        <v>475.65</v>
      </c>
      <c r="I14" t="n">
        <v>3.61</v>
      </c>
    </row>
    <row r="15">
      <c r="B15" t="inlineStr">
        <is>
          <t>100361</t>
        </is>
      </c>
      <c r="C15" t="inlineStr">
        <is>
          <t>Bank of India</t>
        </is>
      </c>
      <c r="D15" t="inlineStr">
        <is>
          <t>INE084A01016</t>
        </is>
      </c>
      <c r="F15" t="inlineStr">
        <is>
          <t>Banks</t>
        </is>
      </c>
      <c r="G15" t="n">
        <v>321241</v>
      </c>
      <c r="H15" t="n">
        <v>472.38</v>
      </c>
      <c r="I15" t="n">
        <v>3.58</v>
      </c>
    </row>
    <row r="16">
      <c r="B16" t="inlineStr">
        <is>
          <t>100055</t>
        </is>
      </c>
      <c r="C16" t="inlineStr">
        <is>
          <t>The Federal Bank Ltd.</t>
        </is>
      </c>
      <c r="D16" t="inlineStr">
        <is>
          <t>INE171A01029</t>
        </is>
      </c>
      <c r="F16" t="inlineStr">
        <is>
          <t>Banks</t>
        </is>
      </c>
      <c r="G16" t="n">
        <v>183012</v>
      </c>
      <c r="H16" t="n">
        <v>472.08</v>
      </c>
      <c r="I16" t="n">
        <v>3.58</v>
      </c>
    </row>
    <row r="17">
      <c r="B17" t="inlineStr">
        <is>
          <t>100100</t>
        </is>
      </c>
      <c r="C17" t="inlineStr">
        <is>
          <t>Hindustan Petroleum Corporation Ltd.</t>
        </is>
      </c>
      <c r="D17" t="inlineStr">
        <is>
          <t>INE094A01015</t>
        </is>
      </c>
      <c r="F17" t="inlineStr">
        <is>
          <t>Petroleum Products</t>
        </is>
      </c>
      <c r="G17" t="n">
        <v>102997</v>
      </c>
      <c r="H17" t="n">
        <v>471.26</v>
      </c>
      <c r="I17" t="n">
        <v>3.57</v>
      </c>
    </row>
    <row r="18">
      <c r="B18" t="inlineStr">
        <is>
          <t>100270</t>
        </is>
      </c>
      <c r="C18" t="inlineStr">
        <is>
          <t>PI Industries Ltd.</t>
        </is>
      </c>
      <c r="D18" t="inlineStr">
        <is>
          <t>INE603J01030</t>
        </is>
      </c>
      <c r="F18" t="inlineStr">
        <is>
          <t>Fertilizers &amp; Agrochemicals</t>
        </is>
      </c>
      <c r="G18" t="n">
        <v>13500</v>
      </c>
      <c r="H18" t="n">
        <v>458.53</v>
      </c>
      <c r="I18" t="n">
        <v>3.48</v>
      </c>
    </row>
    <row r="19">
      <c r="B19" t="inlineStr">
        <is>
          <t>100042</t>
        </is>
      </c>
      <c r="C19" t="inlineStr">
        <is>
          <t>LIC Housing Finance Ltd.</t>
        </is>
      </c>
      <c r="D19" t="inlineStr">
        <is>
          <t>INE115A01026</t>
        </is>
      </c>
      <c r="F19" t="inlineStr">
        <is>
          <t>Finance</t>
        </is>
      </c>
      <c r="G19" t="n">
        <v>83511</v>
      </c>
      <c r="H19" t="n">
        <v>458.52</v>
      </c>
      <c r="I19" t="n">
        <v>3.48</v>
      </c>
    </row>
    <row r="20">
      <c r="B20" t="inlineStr">
        <is>
          <t>100096</t>
        </is>
      </c>
      <c r="C20" t="inlineStr">
        <is>
          <t>Container Corporation of India Ltd.</t>
        </is>
      </c>
      <c r="D20" t="inlineStr">
        <is>
          <t>INE111A01025</t>
        </is>
      </c>
      <c r="F20" t="inlineStr">
        <is>
          <t>Transport Services</t>
        </is>
      </c>
      <c r="G20" t="n">
        <v>87500</v>
      </c>
      <c r="H20" t="n">
        <v>447.48</v>
      </c>
      <c r="I20" t="n">
        <v>3.39</v>
      </c>
    </row>
    <row r="21">
      <c r="B21" t="inlineStr">
        <is>
          <t>102642</t>
        </is>
      </c>
      <c r="C21" t="inlineStr">
        <is>
          <t>Regaal Resources Ltd.</t>
        </is>
      </c>
      <c r="D21" t="inlineStr">
        <is>
          <t>INE0MHO01029</t>
        </is>
      </c>
      <c r="F21" t="inlineStr">
        <is>
          <t>Agricultural Food &amp; other Products</t>
        </is>
      </c>
      <c r="G21" t="n">
        <v>539280</v>
      </c>
      <c r="H21" t="n">
        <v>418.86</v>
      </c>
      <c r="I21" t="n">
        <v>3.18</v>
      </c>
    </row>
    <row r="22">
      <c r="B22" t="inlineStr">
        <is>
          <t>100060</t>
        </is>
      </c>
      <c r="C22" t="inlineStr">
        <is>
          <t>Deepak Nitrite Ltd.</t>
        </is>
      </c>
      <c r="D22" t="inlineStr">
        <is>
          <t>INE288B01029</t>
        </is>
      </c>
      <c r="F22" t="inlineStr">
        <is>
          <t>Chemicals &amp; Petrochemicals</t>
        </is>
      </c>
      <c r="G22" t="n">
        <v>26000</v>
      </c>
      <c r="H22" t="n">
        <v>405.24</v>
      </c>
      <c r="I22" t="n">
        <v>3.07</v>
      </c>
    </row>
    <row r="23">
      <c r="B23" t="inlineStr">
        <is>
          <t>100416</t>
        </is>
      </c>
      <c r="C23" t="inlineStr">
        <is>
          <t>GMR Airports Ltd.</t>
        </is>
      </c>
      <c r="D23" t="inlineStr">
        <is>
          <t>INE776C01039</t>
        </is>
      </c>
      <c r="F23" t="inlineStr">
        <is>
          <t>Transport Infrastructure</t>
        </is>
      </c>
      <c r="G23" t="n">
        <v>350000</v>
      </c>
      <c r="H23" t="n">
        <v>379.02</v>
      </c>
      <c r="I23" t="n">
        <v>2.87</v>
      </c>
    </row>
    <row r="24">
      <c r="B24" t="inlineStr">
        <is>
          <t>102449</t>
        </is>
      </c>
      <c r="C24" t="inlineStr">
        <is>
          <t>Swiggy Ltd.</t>
        </is>
      </c>
      <c r="D24" t="inlineStr">
        <is>
          <t>INE00H001014</t>
        </is>
      </c>
      <c r="F24" t="inlineStr">
        <is>
          <t>Retailing</t>
        </is>
      </c>
      <c r="G24" t="n">
        <v>100000</v>
      </c>
      <c r="H24" t="n">
        <v>378.3</v>
      </c>
      <c r="I24" t="n">
        <v>2.87</v>
      </c>
    </row>
    <row r="25">
      <c r="B25" t="inlineStr">
        <is>
          <t>100174</t>
        </is>
      </c>
      <c r="C25" t="inlineStr">
        <is>
          <t>Vodafone Idea Ltd.</t>
        </is>
      </c>
      <c r="D25" t="inlineStr">
        <is>
          <t>INE669E01016</t>
        </is>
      </c>
      <c r="F25" t="inlineStr">
        <is>
          <t>Telecom - Services</t>
        </is>
      </c>
      <c r="G25" t="n">
        <v>3621441</v>
      </c>
      <c r="H25" t="n">
        <v>361.06</v>
      </c>
      <c r="I25" t="n">
        <v>2.74</v>
      </c>
    </row>
    <row r="26">
      <c r="B26" t="inlineStr">
        <is>
          <t>100026</t>
        </is>
      </c>
      <c r="C26" t="inlineStr">
        <is>
          <t>Persistent Systems Ltd.</t>
        </is>
      </c>
      <c r="D26" t="inlineStr">
        <is>
          <t>INE262H01021</t>
        </is>
      </c>
      <c r="F26" t="inlineStr">
        <is>
          <t>IT - Software</t>
        </is>
      </c>
      <c r="G26" t="n">
        <v>5662</v>
      </c>
      <c r="H26" t="n">
        <v>359.7</v>
      </c>
      <c r="I26" t="n">
        <v>2.73</v>
      </c>
    </row>
    <row r="27">
      <c r="B27" t="inlineStr">
        <is>
          <t>100367</t>
        </is>
      </c>
      <c r="C27" t="inlineStr">
        <is>
          <t>Exide Industries Ltd.</t>
        </is>
      </c>
      <c r="D27" t="inlineStr">
        <is>
          <t>INE302A01020</t>
        </is>
      </c>
      <c r="F27" t="inlineStr">
        <is>
          <t>Auto Components</t>
        </is>
      </c>
      <c r="G27" t="n">
        <v>83104</v>
      </c>
      <c r="H27" t="n">
        <v>311.52</v>
      </c>
      <c r="I27" t="n">
        <v>2.36</v>
      </c>
    </row>
    <row r="28">
      <c r="B28" t="inlineStr">
        <is>
          <t>100306</t>
        </is>
      </c>
      <c r="C28" t="inlineStr">
        <is>
          <t>Abbott India Ltd.</t>
        </is>
      </c>
      <c r="D28" t="inlineStr">
        <is>
          <t>INE358A01014</t>
        </is>
      </c>
      <c r="F28" t="inlineStr">
        <is>
          <t>Pharmaceuticals &amp; Biotechnology</t>
        </is>
      </c>
      <c r="G28" t="n">
        <v>1000</v>
      </c>
      <c r="H28" t="n">
        <v>300.69</v>
      </c>
      <c r="I28" t="n">
        <v>2.28</v>
      </c>
    </row>
    <row r="29">
      <c r="B29" t="inlineStr">
        <is>
          <t>102611</t>
        </is>
      </c>
      <c r="C29" t="inlineStr">
        <is>
          <t>Kalpataru Ltd.</t>
        </is>
      </c>
      <c r="D29" t="inlineStr">
        <is>
          <t>INE227J01012</t>
        </is>
      </c>
      <c r="F29" t="inlineStr">
        <is>
          <t>Realty</t>
        </is>
      </c>
      <c r="G29" t="n">
        <v>86755</v>
      </c>
      <c r="H29" t="n">
        <v>299.83</v>
      </c>
      <c r="I29" t="n">
        <v>2.27</v>
      </c>
    </row>
    <row r="30">
      <c r="B30" t="inlineStr">
        <is>
          <t>100694</t>
        </is>
      </c>
      <c r="C30" t="inlineStr">
        <is>
          <t>Indian Energy Exchange Ltd.</t>
        </is>
      </c>
      <c r="D30" t="inlineStr">
        <is>
          <t>INE022Q01020</t>
        </is>
      </c>
      <c r="F30" t="inlineStr">
        <is>
          <t>Capital Markets</t>
        </is>
      </c>
      <c r="G30" t="n">
        <v>210000</v>
      </c>
      <c r="H30" t="n">
        <v>292.64</v>
      </c>
      <c r="I30" t="n">
        <v>2.22</v>
      </c>
    </row>
    <row r="31">
      <c r="B31" t="inlineStr">
        <is>
          <t>100088</t>
        </is>
      </c>
      <c r="C31" t="inlineStr">
        <is>
          <t>Bharat Heavy Electricals Ltd.</t>
        </is>
      </c>
      <c r="D31" t="inlineStr">
        <is>
          <t>INE257A01026</t>
        </is>
      </c>
      <c r="F31" t="inlineStr">
        <is>
          <t>Electrical Equipment</t>
        </is>
      </c>
      <c r="G31" t="n">
        <v>100622</v>
      </c>
      <c r="H31" t="n">
        <v>292.46</v>
      </c>
      <c r="I31" t="n">
        <v>2.22</v>
      </c>
    </row>
    <row r="32">
      <c r="B32" t="inlineStr">
        <is>
          <t>100461</t>
        </is>
      </c>
      <c r="C32" t="inlineStr">
        <is>
          <t>Astral Ltd.</t>
        </is>
      </c>
      <c r="D32" t="inlineStr">
        <is>
          <t>INE006I01046</t>
        </is>
      </c>
      <c r="F32" t="inlineStr">
        <is>
          <t>Industrial Products</t>
        </is>
      </c>
      <c r="G32" t="n">
        <v>19958</v>
      </c>
      <c r="H32" t="n">
        <v>287.31</v>
      </c>
      <c r="I32" t="n">
        <v>2.18</v>
      </c>
    </row>
    <row r="33">
      <c r="B33" t="inlineStr">
        <is>
          <t>100134</t>
        </is>
      </c>
      <c r="C33" t="inlineStr">
        <is>
          <t>Inox Wind Ltd.</t>
        </is>
      </c>
      <c r="D33" t="inlineStr">
        <is>
          <t>INE066P01011</t>
        </is>
      </c>
      <c r="F33" t="inlineStr">
        <is>
          <t>Electrical Equipment</t>
        </is>
      </c>
      <c r="G33" t="n">
        <v>211398</v>
      </c>
      <c r="H33" t="n">
        <v>284.33</v>
      </c>
      <c r="I33" t="n">
        <v>2.16</v>
      </c>
    </row>
    <row r="34">
      <c r="B34" t="inlineStr">
        <is>
          <t>101949</t>
        </is>
      </c>
      <c r="C34" t="inlineStr">
        <is>
          <t>Samhi Hotels Ltd.</t>
        </is>
      </c>
      <c r="D34" t="inlineStr">
        <is>
          <t>INE08U801020</t>
        </is>
      </c>
      <c r="F34" t="inlineStr">
        <is>
          <t>Leisure Services</t>
        </is>
      </c>
      <c r="G34" t="n">
        <v>135000</v>
      </c>
      <c r="H34" t="n">
        <v>264.87</v>
      </c>
      <c r="I34" t="n">
        <v>2.01</v>
      </c>
    </row>
    <row r="35">
      <c r="B35" t="inlineStr">
        <is>
          <t>100154</t>
        </is>
      </c>
      <c r="C35" t="inlineStr">
        <is>
          <t>Colgate Palmolive (India) Ltd.</t>
        </is>
      </c>
      <c r="D35" t="inlineStr">
        <is>
          <t>INE259A01022</t>
        </is>
      </c>
      <c r="F35" t="inlineStr">
        <is>
          <t>Personal Products</t>
        </is>
      </c>
      <c r="G35" t="n">
        <v>11750</v>
      </c>
      <c r="H35" t="n">
        <v>255.15</v>
      </c>
      <c r="I35" t="n">
        <v>1.94</v>
      </c>
    </row>
    <row r="36">
      <c r="B36" t="inlineStr">
        <is>
          <t>100222</t>
        </is>
      </c>
      <c r="C36" t="inlineStr">
        <is>
          <t>The Indian Hotels Company Ltd.</t>
        </is>
      </c>
      <c r="D36" t="inlineStr">
        <is>
          <t>INE053A01029</t>
        </is>
      </c>
      <c r="F36" t="inlineStr">
        <is>
          <t>Leisure Services</t>
        </is>
      </c>
      <c r="G36" t="n">
        <v>30000</v>
      </c>
      <c r="H36" t="n">
        <v>223.2</v>
      </c>
      <c r="I36" t="n">
        <v>1.69</v>
      </c>
    </row>
    <row r="37">
      <c r="B37" t="inlineStr">
        <is>
          <t>100195</t>
        </is>
      </c>
      <c r="C37" t="inlineStr">
        <is>
          <t>REC Ltd.</t>
        </is>
      </c>
      <c r="D37" t="inlineStr">
        <is>
          <t>INE020B01018</t>
        </is>
      </c>
      <c r="F37" t="inlineStr">
        <is>
          <t>Finance</t>
        </is>
      </c>
      <c r="G37" t="n">
        <v>60496</v>
      </c>
      <c r="H37" t="n">
        <v>218.27</v>
      </c>
      <c r="I37" t="n">
        <v>1.66</v>
      </c>
    </row>
    <row r="38">
      <c r="B38" t="inlineStr">
        <is>
          <t>100663</t>
        </is>
      </c>
      <c r="C38" t="inlineStr">
        <is>
          <t>AU Small Finance Bank Ltd.</t>
        </is>
      </c>
      <c r="D38" t="inlineStr">
        <is>
          <t>INE949L01017</t>
        </is>
      </c>
      <c r="F38" t="inlineStr">
        <is>
          <t>Banks</t>
        </is>
      </c>
      <c r="G38" t="n">
        <v>22264</v>
      </c>
      <c r="H38" t="n">
        <v>212.72</v>
      </c>
      <c r="I38" t="n">
        <v>1.61</v>
      </c>
    </row>
    <row r="39">
      <c r="B39" t="inlineStr">
        <is>
          <t>100172</t>
        </is>
      </c>
      <c r="C39" t="inlineStr">
        <is>
          <t>ACC Ltd.</t>
        </is>
      </c>
      <c r="D39" t="inlineStr">
        <is>
          <t>INE012A01025</t>
        </is>
      </c>
      <c r="F39" t="inlineStr">
        <is>
          <t>Cement &amp; Cement Products</t>
        </is>
      </c>
      <c r="G39" t="n">
        <v>11274</v>
      </c>
      <c r="H39" t="n">
        <v>208.54</v>
      </c>
      <c r="I39" t="n">
        <v>1.58</v>
      </c>
    </row>
    <row r="40">
      <c r="B40" t="inlineStr">
        <is>
          <t>100565</t>
        </is>
      </c>
      <c r="C40" t="inlineStr">
        <is>
          <t>Glaxosmithkline Pharmaceuticals Ltd.</t>
        </is>
      </c>
      <c r="D40" t="inlineStr">
        <is>
          <t>INE159A01016</t>
        </is>
      </c>
      <c r="F40" t="inlineStr">
        <is>
          <t>Pharmaceuticals &amp; Biotechnology</t>
        </is>
      </c>
      <c r="G40" t="n">
        <v>7623</v>
      </c>
      <c r="H40" t="n">
        <v>195.66</v>
      </c>
      <c r="I40" t="n">
        <v>1.48</v>
      </c>
    </row>
    <row r="41">
      <c r="B41" t="inlineStr">
        <is>
          <t>101433</t>
        </is>
      </c>
      <c r="C41" t="inlineStr">
        <is>
          <t>Metro Brands Ltd.</t>
        </is>
      </c>
      <c r="D41" t="inlineStr">
        <is>
          <t>INE317I01021</t>
        </is>
      </c>
      <c r="F41" t="inlineStr">
        <is>
          <t>Consumer Durables</t>
        </is>
      </c>
      <c r="G41" t="n">
        <v>16200</v>
      </c>
      <c r="H41" t="n">
        <v>189.71</v>
      </c>
      <c r="I41" t="n">
        <v>1.44</v>
      </c>
    </row>
    <row r="42">
      <c r="B42" t="inlineStr">
        <is>
          <t>100814</t>
        </is>
      </c>
      <c r="C42" t="inlineStr">
        <is>
          <t>HDFC Asset Management Co. Ltd.</t>
        </is>
      </c>
      <c r="D42" t="inlineStr">
        <is>
          <t>INE127D01025</t>
        </is>
      </c>
      <c r="F42" t="inlineStr">
        <is>
          <t>Capital Markets</t>
        </is>
      </c>
      <c r="G42" t="n">
        <v>6936</v>
      </c>
      <c r="H42" t="n">
        <v>185.33</v>
      </c>
      <c r="I42" t="n">
        <v>1.41</v>
      </c>
    </row>
    <row r="43">
      <c r="B43" t="inlineStr">
        <is>
          <t>100271</t>
        </is>
      </c>
      <c r="C43" t="inlineStr">
        <is>
          <t>Balkrishna Industries Ltd.</t>
        </is>
      </c>
      <c r="D43" t="inlineStr">
        <is>
          <t>INE787D01026</t>
        </is>
      </c>
      <c r="F43" t="inlineStr">
        <is>
          <t>Auto Components</t>
        </is>
      </c>
      <c r="G43" t="n">
        <v>7579</v>
      </c>
      <c r="H43" t="n">
        <v>174.93</v>
      </c>
      <c r="I43" t="n">
        <v>1.33</v>
      </c>
    </row>
    <row r="44">
      <c r="B44" t="inlineStr">
        <is>
          <t>100242</t>
        </is>
      </c>
      <c r="C44" t="inlineStr">
        <is>
          <t>Schaeffler India Ltd.</t>
        </is>
      </c>
      <c r="D44" t="inlineStr">
        <is>
          <t>INE513A01022</t>
        </is>
      </c>
      <c r="F44" t="inlineStr">
        <is>
          <t>Auto Components</t>
        </is>
      </c>
      <c r="G44" t="n">
        <v>4347</v>
      </c>
      <c r="H44" t="n">
        <v>169.52</v>
      </c>
      <c r="I44" t="n">
        <v>1.29</v>
      </c>
    </row>
    <row r="45">
      <c r="B45" t="inlineStr">
        <is>
          <t>100471</t>
        </is>
      </c>
      <c r="C45" t="inlineStr">
        <is>
          <t>Endurance Technologies Ltd.</t>
        </is>
      </c>
      <c r="D45" t="inlineStr">
        <is>
          <t>INE913H01037</t>
        </is>
      </c>
      <c r="F45" t="inlineStr">
        <is>
          <t>Auto Components</t>
        </is>
      </c>
      <c r="G45" t="n">
        <v>6224</v>
      </c>
      <c r="H45" t="n">
        <v>164.49</v>
      </c>
      <c r="I45" t="n">
        <v>1.25</v>
      </c>
    </row>
    <row r="46">
      <c r="B46" t="inlineStr">
        <is>
          <t>100217</t>
        </is>
      </c>
      <c r="C46" t="inlineStr">
        <is>
          <t>Torrent Power Ltd.</t>
        </is>
      </c>
      <c r="D46" t="inlineStr">
        <is>
          <t>INE813H01021</t>
        </is>
      </c>
      <c r="F46" t="inlineStr">
        <is>
          <t>Power</t>
        </is>
      </c>
      <c r="G46" t="n">
        <v>9650</v>
      </c>
      <c r="H46" t="n">
        <v>126.83</v>
      </c>
      <c r="I46" t="n">
        <v>0.96</v>
      </c>
    </row>
    <row r="47">
      <c r="B47" t="inlineStr">
        <is>
          <t>102206</t>
        </is>
      </c>
      <c r="C47" t="inlineStr">
        <is>
          <t>Chemtech Industrial Valves Ltd.</t>
        </is>
      </c>
      <c r="D47" t="inlineStr">
        <is>
          <t>INE212P01011</t>
        </is>
      </c>
      <c r="F47" t="inlineStr">
        <is>
          <t>Industrial Manufacturing</t>
        </is>
      </c>
      <c r="G47" t="n">
        <v>100000</v>
      </c>
      <c r="H47" t="n">
        <v>94.55</v>
      </c>
      <c r="I47" t="n">
        <v>0.72</v>
      </c>
    </row>
    <row r="48">
      <c r="B48" t="inlineStr">
        <is>
          <t>100019</t>
        </is>
      </c>
      <c r="C48" t="inlineStr">
        <is>
          <t>ITC Ltd.</t>
        </is>
      </c>
      <c r="D48" t="inlineStr">
        <is>
          <t>INE154A01025</t>
        </is>
      </c>
      <c r="F48" t="inlineStr">
        <is>
          <t>Diversified FMCG</t>
        </is>
      </c>
      <c r="G48" t="n">
        <v>14090</v>
      </c>
      <c r="H48" t="n">
        <v>56.98</v>
      </c>
      <c r="I48" t="n">
        <v>0.43</v>
      </c>
    </row>
    <row r="49">
      <c r="B49" t="inlineStr">
        <is>
          <t>101674</t>
        </is>
      </c>
      <c r="C49" t="inlineStr">
        <is>
          <t>Bharat Dynamics Ltd.</t>
        </is>
      </c>
      <c r="D49" t="inlineStr">
        <is>
          <t>INE171Z01026</t>
        </is>
      </c>
      <c r="F49" t="inlineStr">
        <is>
          <t>Aerospace &amp; Defense</t>
        </is>
      </c>
      <c r="G49" t="n">
        <v>3452</v>
      </c>
      <c r="H49" t="n">
        <v>52.26</v>
      </c>
      <c r="I49" t="n">
        <v>0.4</v>
      </c>
    </row>
    <row r="50">
      <c r="C50" t="inlineStr">
        <is>
          <t>Total</t>
        </is>
      </c>
      <c r="H50" t="n">
        <v>12741.53</v>
      </c>
      <c r="I50" t="n">
        <v>96.64</v>
      </c>
    </row>
    <row r="51"/>
    <row r="52">
      <c r="C52" t="inlineStr">
        <is>
          <t>b) Unlisted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c) Foreign Securities and /or overseas ETF</t>
        </is>
      </c>
      <c r="H54" t="inlineStr">
        <is>
          <t>NIL</t>
        </is>
      </c>
      <c r="I54" t="inlineStr">
        <is>
          <t>NIL</t>
        </is>
      </c>
    </row>
    <row r="55"/>
    <row r="56">
      <c r="C56" t="inlineStr">
        <is>
          <t>DEBT INSTRUMENTS</t>
        </is>
      </c>
    </row>
    <row r="57"/>
    <row r="58">
      <c r="C58" t="inlineStr">
        <is>
          <t>a) Listed/awaiting listing on the stock exchanges</t>
        </is>
      </c>
      <c r="H58" t="inlineStr">
        <is>
          <t>NIL</t>
        </is>
      </c>
      <c r="I58" t="inlineStr">
        <is>
          <t>NIL</t>
        </is>
      </c>
    </row>
    <row r="59"/>
    <row r="60">
      <c r="C60" t="inlineStr">
        <is>
          <t>b) Privately Placed/Unlisted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c) Securitised Debt Instruments</t>
        </is>
      </c>
      <c r="H62" t="inlineStr">
        <is>
          <t>NIL</t>
        </is>
      </c>
      <c r="I62" t="inlineStr">
        <is>
          <t>NIL</t>
        </is>
      </c>
    </row>
    <row r="63"/>
    <row r="64">
      <c r="C64" t="inlineStr">
        <is>
          <t>d) Central Government Securities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e) State Government Securities</t>
        </is>
      </c>
      <c r="H66" t="inlineStr">
        <is>
          <t>NIL</t>
        </is>
      </c>
      <c r="I66" t="inlineStr">
        <is>
          <t>NIL</t>
        </is>
      </c>
    </row>
    <row r="67"/>
    <row r="68">
      <c r="C68" t="inlineStr">
        <is>
          <t>MONEY MARKET INSTRUMENTS</t>
        </is>
      </c>
    </row>
    <row r="69"/>
    <row r="70">
      <c r="C70" t="inlineStr">
        <is>
          <t>a) Commercial Paper</t>
        </is>
      </c>
      <c r="H70" t="inlineStr">
        <is>
          <t>NIL</t>
        </is>
      </c>
      <c r="I70" t="inlineStr">
        <is>
          <t>NIL</t>
        </is>
      </c>
    </row>
    <row r="71"/>
    <row r="72">
      <c r="C72" t="inlineStr">
        <is>
          <t>b) Certificate of Deposits</t>
        </is>
      </c>
      <c r="H72" t="inlineStr">
        <is>
          <t>NIL</t>
        </is>
      </c>
      <c r="I72" t="inlineStr">
        <is>
          <t>NIL</t>
        </is>
      </c>
    </row>
    <row r="73"/>
    <row r="74">
      <c r="C74" t="inlineStr">
        <is>
          <t>c) Treasury Bills</t>
        </is>
      </c>
      <c r="H74" t="inlineStr">
        <is>
          <t>NIL</t>
        </is>
      </c>
      <c r="I74" t="inlineStr">
        <is>
          <t>NIL</t>
        </is>
      </c>
    </row>
    <row r="75"/>
    <row r="76">
      <c r="C76" t="inlineStr">
        <is>
          <t>d) Bills Re- Discounting</t>
        </is>
      </c>
      <c r="H76" t="inlineStr">
        <is>
          <t>NIL</t>
        </is>
      </c>
      <c r="I76" t="inlineStr">
        <is>
          <t>NIL</t>
        </is>
      </c>
    </row>
    <row r="77"/>
    <row r="78">
      <c r="C78" t="inlineStr">
        <is>
          <t>OTHERS</t>
        </is>
      </c>
    </row>
    <row r="79"/>
    <row r="80">
      <c r="C80" t="inlineStr">
        <is>
          <t>a) Mutual Fund Units / Exchange Traded Funds</t>
        </is>
      </c>
      <c r="H80" t="inlineStr">
        <is>
          <t>NIL</t>
        </is>
      </c>
      <c r="I80" t="inlineStr">
        <is>
          <t>NIL</t>
        </is>
      </c>
    </row>
    <row r="81"/>
    <row r="82">
      <c r="C82" t="inlineStr">
        <is>
          <t>b) Alternative Investment Funds</t>
        </is>
      </c>
      <c r="H82" t="inlineStr">
        <is>
          <t>NIL</t>
        </is>
      </c>
      <c r="I82" t="inlineStr">
        <is>
          <t>NIL</t>
        </is>
      </c>
    </row>
    <row r="83"/>
    <row r="84">
      <c r="C84" t="inlineStr">
        <is>
          <t>c) Gold</t>
        </is>
      </c>
      <c r="H84" t="inlineStr">
        <is>
          <t>NIL</t>
        </is>
      </c>
      <c r="I84" t="inlineStr">
        <is>
          <t>NIL</t>
        </is>
      </c>
    </row>
    <row r="85"/>
    <row r="86">
      <c r="C86" t="inlineStr">
        <is>
          <t>d) Short Term Deposits</t>
        </is>
      </c>
      <c r="H86" t="inlineStr">
        <is>
          <t>NIL</t>
        </is>
      </c>
      <c r="I86" t="inlineStr">
        <is>
          <t>NIL</t>
        </is>
      </c>
    </row>
    <row r="87"/>
    <row r="88">
      <c r="C88" t="inlineStr">
        <is>
          <t>e) Term Deposits Placed as Margins</t>
        </is>
      </c>
      <c r="H88" t="inlineStr">
        <is>
          <t>NIL</t>
        </is>
      </c>
      <c r="I88" t="inlineStr">
        <is>
          <t>NIL</t>
        </is>
      </c>
    </row>
    <row r="89"/>
    <row r="90">
      <c r="C90" t="inlineStr">
        <is>
          <t>f) TREPS / Reverse Repo Investments</t>
        </is>
      </c>
      <c r="H90" t="inlineStr">
        <is>
          <t>NIL</t>
        </is>
      </c>
      <c r="I90" t="inlineStr">
        <is>
          <t>NIL</t>
        </is>
      </c>
    </row>
    <row r="91"/>
    <row r="92">
      <c r="C92" t="inlineStr">
        <is>
          <t>Other Current Assets / (Liabilities)</t>
        </is>
      </c>
    </row>
    <row r="93">
      <c r="C93" t="inlineStr">
        <is>
          <t>Net Receivable / Payable</t>
        </is>
      </c>
      <c r="H93" t="n">
        <v>442.8</v>
      </c>
      <c r="I93" t="n">
        <v>3.36</v>
      </c>
    </row>
    <row r="94">
      <c r="C94" t="inlineStr">
        <is>
          <t>Total</t>
        </is>
      </c>
      <c r="H94" t="n">
        <v>442.8</v>
      </c>
      <c r="I94" t="n">
        <v>3.36</v>
      </c>
    </row>
    <row r="95"/>
    <row r="96">
      <c r="C96" t="inlineStr">
        <is>
          <t>GRAND TOTAL (AUM)</t>
        </is>
      </c>
      <c r="H96" t="n">
        <v>13184.33</v>
      </c>
      <c r="I96">
        <f>SUMIFS(I:I,C:C,"Total")</f>
        <v/>
      </c>
    </row>
    <row r="97"/>
    <row r="98"/>
    <row r="99">
      <c r="C99" t="inlineStr">
        <is>
          <t>Notes &amp; Symbols :-</t>
        </is>
      </c>
    </row>
    <row r="100">
      <c r="C100" t="inlineStr">
        <is>
      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      </is>
      </c>
    </row>
    <row r="101">
      <c r="C101" t="inlineStr">
        <is>
          <t>1. Non Convertible Debentures and  Bonds are considered as Traded based on information provided by external agencies.</t>
        </is>
      </c>
    </row>
    <row r="102">
      <c r="C102" t="inlineStr">
        <is>
          <t>2. ^ The Name of the Industry is in accordance with Industry Classification as recommended by AMFI.</t>
        </is>
      </c>
    </row>
    <row r="103">
      <c r="C103" t="inlineStr">
        <is>
          <t>3. Total NPAs provided for and its percentage to NAV is Nil.</t>
        </is>
      </c>
    </row>
    <row r="104">
      <c r="C104" t="inlineStr">
        <is>
          <t>4. Total Value and percentage of illiquid equity shares is Nil.</t>
        </is>
      </c>
    </row>
    <row r="105">
      <c r="C105" t="inlineStr">
        <is>
          <t>5. Net Assets Value per unit (in Rupees) are as follows:</t>
        </is>
      </c>
    </row>
    <row r="106">
      <c r="D106" t="inlineStr">
        <is>
          <t>NAV per unit</t>
        </is>
      </c>
    </row>
    <row r="107">
      <c r="C107" t="inlineStr">
        <is>
          <t>Plan/Option</t>
        </is>
      </c>
      <c r="D107" t="inlineStr">
        <is>
          <t>As on</t>
        </is>
      </c>
      <c r="E107" t="inlineStr">
        <is>
          <t>As on</t>
        </is>
      </c>
    </row>
    <row r="108">
      <c r="D108" t="inlineStr">
        <is>
          <t>October 31, 2025</t>
        </is>
      </c>
      <c r="E108" t="inlineStr">
        <is>
          <t>November 30, 2025</t>
        </is>
      </c>
    </row>
    <row r="109">
      <c r="C109" t="inlineStr">
        <is>
          <t>Regular Plan - IDCW</t>
        </is>
      </c>
      <c r="D109" t="n">
        <v>110.39</v>
      </c>
      <c r="E109" t="n">
        <v>109.43</v>
      </c>
    </row>
    <row r="110">
      <c r="C110" t="inlineStr">
        <is>
          <t>Regular Plan - Growth</t>
        </is>
      </c>
      <c r="D110" t="n">
        <v>123.84</v>
      </c>
      <c r="E110" t="n">
        <v>122.77</v>
      </c>
    </row>
    <row r="111">
      <c r="C111" t="inlineStr">
        <is>
          <t>Direct Plan - IDCW</t>
        </is>
      </c>
      <c r="D111" t="n">
        <v>116.27</v>
      </c>
      <c r="E111" t="n">
        <v>115.3</v>
      </c>
    </row>
    <row r="112">
      <c r="C112" t="inlineStr">
        <is>
          <t>Direct Plan - Growth</t>
        </is>
      </c>
      <c r="D112" t="n">
        <v>130.88</v>
      </c>
      <c r="E112" t="n">
        <v>129.79</v>
      </c>
    </row>
    <row r="113"/>
    <row r="114">
      <c r="C114" t="inlineStr">
        <is>
          <t>6. The Scheme did not declare any dividend during the month ended as on  November 30, 2025.</t>
        </is>
      </c>
    </row>
    <row r="115">
      <c r="C115" t="inlineStr">
        <is>
          <t>7. The Scheme did not declare any bonus during the month ended as on November 30, 2025.</t>
        </is>
      </c>
    </row>
    <row r="116">
      <c r="C116" t="inlineStr">
        <is>
          <t>8. Total outstanding exposure in derivative instruments as on November 30, 2025 is Nil</t>
        </is>
      </c>
    </row>
    <row r="117">
      <c r="C117" t="inlineStr">
        <is>
          <t>9. Total investments in Foreign Securities /ADRs/GDRs /Overseas ETFs as at as on  November 30, 2025, 2025 and its percentage to NAV is Nil.</t>
        </is>
      </c>
    </row>
    <row r="118">
      <c r="C118" t="inlineStr">
        <is>
          <t>10. During the period, the portfolio turnover ratio is 0.83 times.</t>
        </is>
      </c>
    </row>
    <row r="119">
      <c r="C119" t="inlineStr">
        <is>
          <t xml:space="preserve">      Portfolio Turnover Ratio = Lower of sales or purchase of securities divided by average AUM for 12 months ended as on  November 30, 2025</t>
        </is>
      </c>
    </row>
    <row r="120">
      <c r="C120" t="inlineStr">
        <is>
          <t>11. The Scheme did not invest in repo transactions of corporate debt securities during the month ended as on  November 30, 2025.</t>
        </is>
      </c>
    </row>
    <row r="121">
      <c r="C121" t="inlineStr">
        <is>
          <t>12. The Scheme did not invest in credit default swaps during the month ended as on November 30, 2025.</t>
        </is>
      </c>
    </row>
    <row r="122">
      <c r="C122" t="inlineStr">
        <is>
          <t>13. There are Nil instances of deviation from the valuation principles/guidelines during the month ended as on  November 30th,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29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TSS</t>
        </is>
      </c>
    </row>
    <row r="3">
      <c r="C3" t="inlineStr">
        <is>
          <t>SCHEME NAME :</t>
        </is>
      </c>
      <c r="D3" t="inlineStr">
        <is>
          <t>Taurus Flexi Cap Fund</t>
        </is>
      </c>
    </row>
    <row r="4">
      <c r="C4" t="inlineStr">
        <is>
          <t>PORTFOLIO STATEMENT AS ON :</t>
        </is>
      </c>
      <c r="D4" s="1" t="n">
        <v>45991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356964</v>
      </c>
      <c r="H10" t="n">
        <v>3594.63</v>
      </c>
      <c r="I10" t="n">
        <v>9.84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695506</v>
      </c>
      <c r="H11" t="n">
        <v>2812.63</v>
      </c>
      <c r="I11" t="n">
        <v>7.7</v>
      </c>
    </row>
    <row r="12">
      <c r="B12" t="inlineStr">
        <is>
          <t>100014</t>
        </is>
      </c>
      <c r="C12" t="inlineStr">
        <is>
          <t>Mahindra &amp; Mahindra Ltd.</t>
        </is>
      </c>
      <c r="D12" t="inlineStr">
        <is>
          <t>INE101A01026</t>
        </is>
      </c>
      <c r="F12" t="inlineStr">
        <is>
          <t>Automobiles</t>
        </is>
      </c>
      <c r="G12" t="n">
        <v>49091</v>
      </c>
      <c r="H12" t="n">
        <v>1844.74</v>
      </c>
      <c r="I12" t="n">
        <v>5.05</v>
      </c>
    </row>
    <row r="13">
      <c r="B13" t="inlineStr">
        <is>
          <t>100012</t>
        </is>
      </c>
      <c r="C13" t="inlineStr">
        <is>
          <t>ICICI Bank Ltd.</t>
        </is>
      </c>
      <c r="D13" t="inlineStr">
        <is>
          <t>INE090A01021</t>
        </is>
      </c>
      <c r="F13" t="inlineStr">
        <is>
          <t>Banks</t>
        </is>
      </c>
      <c r="G13" t="n">
        <v>116272</v>
      </c>
      <c r="H13" t="n">
        <v>1614.67</v>
      </c>
      <c r="I13" t="n">
        <v>4.42</v>
      </c>
    </row>
    <row r="14">
      <c r="B14" t="inlineStr">
        <is>
          <t>100024</t>
        </is>
      </c>
      <c r="C14" t="inlineStr">
        <is>
          <t>Axis Bank Ltd.</t>
        </is>
      </c>
      <c r="D14" t="inlineStr">
        <is>
          <t>INE238A01034</t>
        </is>
      </c>
      <c r="F14" t="inlineStr">
        <is>
          <t>Banks</t>
        </is>
      </c>
      <c r="G14" t="n">
        <v>112722</v>
      </c>
      <c r="H14" t="n">
        <v>1443.12</v>
      </c>
      <c r="I14" t="n">
        <v>3.95</v>
      </c>
    </row>
    <row r="15">
      <c r="B15" t="inlineStr">
        <is>
          <t>100095</t>
        </is>
      </c>
      <c r="C15" t="inlineStr">
        <is>
          <t>Bharti Airtel Ltd.</t>
        </is>
      </c>
      <c r="D15" t="inlineStr">
        <is>
          <t>INE397D01024</t>
        </is>
      </c>
      <c r="F15" t="inlineStr">
        <is>
          <t>Telecom - Services</t>
        </is>
      </c>
      <c r="G15" t="n">
        <v>67614</v>
      </c>
      <c r="H15" t="n">
        <v>1420.6</v>
      </c>
      <c r="I15" t="n">
        <v>3.89</v>
      </c>
    </row>
    <row r="16">
      <c r="B16" t="inlineStr">
        <is>
          <t>100474</t>
        </is>
      </c>
      <c r="C16" t="inlineStr">
        <is>
          <t>Narayana Hrudayalaya Ltd.</t>
        </is>
      </c>
      <c r="D16" t="inlineStr">
        <is>
          <t>INE410P01011</t>
        </is>
      </c>
      <c r="F16" t="inlineStr">
        <is>
          <t>Healthcare Services</t>
        </is>
      </c>
      <c r="G16" t="n">
        <v>64605</v>
      </c>
      <c r="H16" t="n">
        <v>1256.7</v>
      </c>
      <c r="I16" t="n">
        <v>3.44</v>
      </c>
    </row>
    <row r="17">
      <c r="B17" t="inlineStr">
        <is>
          <t>100010</t>
        </is>
      </c>
      <c r="C17" t="inlineStr">
        <is>
          <t>State Bank of India</t>
        </is>
      </c>
      <c r="D17" t="inlineStr">
        <is>
          <t>INE062A01020</t>
        </is>
      </c>
      <c r="F17" t="inlineStr">
        <is>
          <t>Banks</t>
        </is>
      </c>
      <c r="G17" t="n">
        <v>119156</v>
      </c>
      <c r="H17" t="n">
        <v>1167.19</v>
      </c>
      <c r="I17" t="n">
        <v>3.19</v>
      </c>
    </row>
    <row r="18">
      <c r="B18" t="inlineStr">
        <is>
          <t>100104</t>
        </is>
      </c>
      <c r="C18" t="inlineStr">
        <is>
          <t>Kotak Mahindra Bank Ltd.</t>
        </is>
      </c>
      <c r="D18" t="inlineStr">
        <is>
          <t>INE237A01028</t>
        </is>
      </c>
      <c r="F18" t="inlineStr">
        <is>
          <t>Banks</t>
        </is>
      </c>
      <c r="G18" t="n">
        <v>49579</v>
      </c>
      <c r="H18" t="n">
        <v>1053.06</v>
      </c>
      <c r="I18" t="n">
        <v>2.88</v>
      </c>
    </row>
    <row r="19">
      <c r="B19" t="inlineStr">
        <is>
          <t>100002</t>
        </is>
      </c>
      <c r="C19" t="inlineStr">
        <is>
          <t>Reliance Industries Ltd.</t>
        </is>
      </c>
      <c r="D19" t="inlineStr">
        <is>
          <t>INE002A01018</t>
        </is>
      </c>
      <c r="F19" t="inlineStr">
        <is>
          <t>Petroleum Products</t>
        </is>
      </c>
      <c r="G19" t="n">
        <v>66056</v>
      </c>
      <c r="H19" t="n">
        <v>1035</v>
      </c>
      <c r="I19" t="n">
        <v>2.83</v>
      </c>
    </row>
    <row r="20">
      <c r="B20" t="inlineStr">
        <is>
          <t>100155</t>
        </is>
      </c>
      <c r="C20" t="inlineStr">
        <is>
          <t>Divi's Laboratories Ltd.</t>
        </is>
      </c>
      <c r="D20" t="inlineStr">
        <is>
          <t>INE361B01024</t>
        </is>
      </c>
      <c r="F20" t="inlineStr">
        <is>
          <t>Pharmaceuticals &amp; Biotechnology</t>
        </is>
      </c>
      <c r="G20" t="n">
        <v>15274</v>
      </c>
      <c r="H20" t="n">
        <v>989.59</v>
      </c>
      <c r="I20" t="n">
        <v>2.71</v>
      </c>
    </row>
    <row r="21">
      <c r="B21" t="inlineStr">
        <is>
          <t>100097</t>
        </is>
      </c>
      <c r="C21" t="inlineStr">
        <is>
          <t>Coal India Ltd.</t>
        </is>
      </c>
      <c r="D21" t="inlineStr">
        <is>
          <t>INE522F01014</t>
        </is>
      </c>
      <c r="F21" t="inlineStr">
        <is>
          <t>Consumable Fuels</t>
        </is>
      </c>
      <c r="G21" t="n">
        <v>256670</v>
      </c>
      <c r="H21" t="n">
        <v>964.6900000000001</v>
      </c>
      <c r="I21" t="n">
        <v>2.64</v>
      </c>
    </row>
    <row r="22">
      <c r="B22" t="inlineStr">
        <is>
          <t>101949</t>
        </is>
      </c>
      <c r="C22" t="inlineStr">
        <is>
          <t>Samhi Hotels Ltd.</t>
        </is>
      </c>
      <c r="D22" t="inlineStr">
        <is>
          <t>INE08U801020</t>
        </is>
      </c>
      <c r="F22" t="inlineStr">
        <is>
          <t>Leisure Services</t>
        </is>
      </c>
      <c r="G22" t="n">
        <v>487185</v>
      </c>
      <c r="H22" t="n">
        <v>955.86</v>
      </c>
      <c r="I22" t="n">
        <v>2.62</v>
      </c>
    </row>
    <row r="23">
      <c r="B23" t="inlineStr">
        <is>
          <t>100182</t>
        </is>
      </c>
      <c r="C23" t="inlineStr">
        <is>
          <t>Power Grid Corporation of India Ltd.</t>
        </is>
      </c>
      <c r="D23" t="inlineStr">
        <is>
          <t>INE752E01010</t>
        </is>
      </c>
      <c r="F23" t="inlineStr">
        <is>
          <t>Power</t>
        </is>
      </c>
      <c r="G23" t="n">
        <v>328277</v>
      </c>
      <c r="H23" t="n">
        <v>886.02</v>
      </c>
      <c r="I23" t="n">
        <v>2.43</v>
      </c>
    </row>
    <row r="24">
      <c r="B24" t="inlineStr">
        <is>
          <t>100663</t>
        </is>
      </c>
      <c r="C24" t="inlineStr">
        <is>
          <t>AU Small Finance Bank Ltd.</t>
        </is>
      </c>
      <c r="D24" t="inlineStr">
        <is>
          <t>INE949L01017</t>
        </is>
      </c>
      <c r="F24" t="inlineStr">
        <is>
          <t>Banks</t>
        </is>
      </c>
      <c r="G24" t="n">
        <v>85950</v>
      </c>
      <c r="H24" t="n">
        <v>821.21</v>
      </c>
      <c r="I24" t="n">
        <v>2.25</v>
      </c>
    </row>
    <row r="25">
      <c r="B25" t="inlineStr">
        <is>
          <t>100325</t>
        </is>
      </c>
      <c r="C25" t="inlineStr">
        <is>
          <t>Bajaj Holdings &amp; Investment Ltd.</t>
        </is>
      </c>
      <c r="D25" t="inlineStr">
        <is>
          <t>INE118A01012</t>
        </is>
      </c>
      <c r="F25" t="inlineStr">
        <is>
          <t>Finance</t>
        </is>
      </c>
      <c r="G25" t="n">
        <v>6895</v>
      </c>
      <c r="H25" t="n">
        <v>792.59</v>
      </c>
      <c r="I25" t="n">
        <v>2.17</v>
      </c>
    </row>
    <row r="26">
      <c r="B26" t="inlineStr">
        <is>
          <t>100535</t>
        </is>
      </c>
      <c r="C26" t="inlineStr">
        <is>
          <t>Thangamayil Jewellery Ltd.</t>
        </is>
      </c>
      <c r="D26" t="inlineStr">
        <is>
          <t>INE085J01014</t>
        </is>
      </c>
      <c r="F26" t="inlineStr">
        <is>
          <t>Consumer Durables</t>
        </is>
      </c>
      <c r="G26" t="n">
        <v>24010</v>
      </c>
      <c r="H26" t="n">
        <v>780.36</v>
      </c>
      <c r="I26" t="n">
        <v>2.14</v>
      </c>
    </row>
    <row r="27">
      <c r="B27" t="inlineStr">
        <is>
          <t>101884</t>
        </is>
      </c>
      <c r="C27" t="inlineStr">
        <is>
          <t>Ambika Cotton Mills Ltd.</t>
        </is>
      </c>
      <c r="D27" t="inlineStr">
        <is>
          <t>INE540G01014</t>
        </is>
      </c>
      <c r="F27" t="inlineStr">
        <is>
          <t>Textiles &amp; Apparels</t>
        </is>
      </c>
      <c r="G27" t="n">
        <v>58600</v>
      </c>
      <c r="H27" t="n">
        <v>748.1799999999999</v>
      </c>
      <c r="I27" t="n">
        <v>2.05</v>
      </c>
    </row>
    <row r="28">
      <c r="B28" t="inlineStr">
        <is>
          <t>102642</t>
        </is>
      </c>
      <c r="C28" t="inlineStr">
        <is>
          <t>Regaal Resources Ltd.</t>
        </is>
      </c>
      <c r="D28" t="inlineStr">
        <is>
          <t>INE0MHO01029</t>
        </is>
      </c>
      <c r="F28" t="inlineStr">
        <is>
          <t>Agricultural Food &amp; other Products</t>
        </is>
      </c>
      <c r="G28" t="n">
        <v>913937</v>
      </c>
      <c r="H28" t="n">
        <v>709.85</v>
      </c>
      <c r="I28" t="n">
        <v>1.94</v>
      </c>
    </row>
    <row r="29">
      <c r="B29" t="inlineStr">
        <is>
          <t>102520</t>
        </is>
      </c>
      <c r="C29" t="inlineStr">
        <is>
          <t>Transrail Lighting Ltd.</t>
        </is>
      </c>
      <c r="D29" t="inlineStr">
        <is>
          <t>INE454P01035</t>
        </is>
      </c>
      <c r="F29" t="inlineStr">
        <is>
          <t>Electrical Equipment</t>
        </is>
      </c>
      <c r="G29" t="n">
        <v>108834</v>
      </c>
      <c r="H29" t="n">
        <v>693.71</v>
      </c>
      <c r="I29" t="n">
        <v>1.9</v>
      </c>
    </row>
    <row r="30">
      <c r="B30" t="inlineStr">
        <is>
          <t>100653</t>
        </is>
      </c>
      <c r="C30" t="inlineStr">
        <is>
          <t>Deepak Fertilizers and Petrochemicals Corporation Ltd.</t>
        </is>
      </c>
      <c r="D30" t="inlineStr">
        <is>
          <t>INE501A01019</t>
        </is>
      </c>
      <c r="F30" t="inlineStr">
        <is>
          <t>Chemicals &amp; Petrochemicals</t>
        </is>
      </c>
      <c r="G30" t="n">
        <v>48725</v>
      </c>
      <c r="H30" t="n">
        <v>667.53</v>
      </c>
      <c r="I30" t="n">
        <v>1.83</v>
      </c>
    </row>
    <row r="31">
      <c r="B31" t="inlineStr">
        <is>
          <t>100194</t>
        </is>
      </c>
      <c r="C31" t="inlineStr">
        <is>
          <t>Power Finance Corporation Ltd.</t>
        </is>
      </c>
      <c r="D31" t="inlineStr">
        <is>
          <t>INE134E01011</t>
        </is>
      </c>
      <c r="F31" t="inlineStr">
        <is>
          <t>Finance</t>
        </is>
      </c>
      <c r="G31" t="n">
        <v>181773</v>
      </c>
      <c r="H31" t="n">
        <v>660.02</v>
      </c>
      <c r="I31" t="n">
        <v>1.81</v>
      </c>
    </row>
    <row r="32">
      <c r="B32" t="inlineStr">
        <is>
          <t>100106</t>
        </is>
      </c>
      <c r="C32" t="inlineStr">
        <is>
          <t>Maruti Suzuki India Ltd.</t>
        </is>
      </c>
      <c r="D32" t="inlineStr">
        <is>
          <t>INE585B01010</t>
        </is>
      </c>
      <c r="F32" t="inlineStr">
        <is>
          <t>Automobiles</t>
        </is>
      </c>
      <c r="G32" t="n">
        <v>3987</v>
      </c>
      <c r="H32" t="n">
        <v>633.7</v>
      </c>
      <c r="I32" t="n">
        <v>1.73</v>
      </c>
    </row>
    <row r="33">
      <c r="B33" t="inlineStr">
        <is>
          <t>100746</t>
        </is>
      </c>
      <c r="C33" t="inlineStr">
        <is>
          <t>KEI Industries Ltd.</t>
        </is>
      </c>
      <c r="D33" t="inlineStr">
        <is>
          <t>INE878B01027</t>
        </is>
      </c>
      <c r="F33" t="inlineStr">
        <is>
          <t>Industrial Products</t>
        </is>
      </c>
      <c r="G33" t="n">
        <v>14520</v>
      </c>
      <c r="H33" t="n">
        <v>601.88</v>
      </c>
      <c r="I33" t="n">
        <v>1.65</v>
      </c>
    </row>
    <row r="34">
      <c r="B34" t="inlineStr">
        <is>
          <t>100112</t>
        </is>
      </c>
      <c r="C34" t="inlineStr">
        <is>
          <t>Punjab National Bank</t>
        </is>
      </c>
      <c r="D34" t="inlineStr">
        <is>
          <t>INE160A01022</t>
        </is>
      </c>
      <c r="F34" t="inlineStr">
        <is>
          <t>Banks</t>
        </is>
      </c>
      <c r="G34" t="n">
        <v>464443</v>
      </c>
      <c r="H34" t="n">
        <v>578.23</v>
      </c>
      <c r="I34" t="n">
        <v>1.58</v>
      </c>
    </row>
    <row r="35">
      <c r="B35" t="inlineStr">
        <is>
          <t>100037</t>
        </is>
      </c>
      <c r="C35" t="inlineStr">
        <is>
          <t>HCL Technologies Ltd.</t>
        </is>
      </c>
      <c r="D35" t="inlineStr">
        <is>
          <t>INE860A01027</t>
        </is>
      </c>
      <c r="F35" t="inlineStr">
        <is>
          <t>IT - Software</t>
        </is>
      </c>
      <c r="G35" t="n">
        <v>33973</v>
      </c>
      <c r="H35" t="n">
        <v>553</v>
      </c>
      <c r="I35" t="n">
        <v>1.51</v>
      </c>
    </row>
    <row r="36">
      <c r="B36" t="inlineStr">
        <is>
          <t>102647</t>
        </is>
      </c>
      <c r="C36" t="inlineStr">
        <is>
          <t>Vikran Engineering Ltd.</t>
        </is>
      </c>
      <c r="D36" t="inlineStr">
        <is>
          <t>INE01R501028</t>
        </is>
      </c>
      <c r="F36" t="inlineStr">
        <is>
          <t>Construction</t>
        </is>
      </c>
      <c r="G36" t="n">
        <v>515484</v>
      </c>
      <c r="H36" t="n">
        <v>548.47</v>
      </c>
      <c r="I36" t="n">
        <v>1.5</v>
      </c>
    </row>
    <row r="37">
      <c r="B37" t="inlineStr">
        <is>
          <t>101469</t>
        </is>
      </c>
      <c r="C37" t="inlineStr">
        <is>
          <t>Equitas Small Finance Bank Ltd.</t>
        </is>
      </c>
      <c r="D37" t="inlineStr">
        <is>
          <t>INE063P01018</t>
        </is>
      </c>
      <c r="F37" t="inlineStr">
        <is>
          <t>Banks</t>
        </is>
      </c>
      <c r="G37" t="n">
        <v>854054</v>
      </c>
      <c r="H37" t="n">
        <v>547.7</v>
      </c>
      <c r="I37" t="n">
        <v>1.5</v>
      </c>
    </row>
    <row r="38">
      <c r="B38" t="inlineStr">
        <is>
          <t>101178</t>
        </is>
      </c>
      <c r="C38" t="inlineStr">
        <is>
          <t>Computer Age Management Services Ltd.</t>
        </is>
      </c>
      <c r="D38" t="inlineStr">
        <is>
          <t>INE596I01012</t>
        </is>
      </c>
      <c r="F38" t="inlineStr">
        <is>
          <t>Capital Markets</t>
        </is>
      </c>
      <c r="G38" t="n">
        <v>14082</v>
      </c>
      <c r="H38" t="n">
        <v>545.52</v>
      </c>
      <c r="I38" t="n">
        <v>1.49</v>
      </c>
    </row>
    <row r="39">
      <c r="B39" t="inlineStr">
        <is>
          <t>101767</t>
        </is>
      </c>
      <c r="C39" t="inlineStr">
        <is>
          <t>Aarti Pharmalabs Ltd.</t>
        </is>
      </c>
      <c r="D39" t="inlineStr">
        <is>
          <t>INE0LRU01027</t>
        </is>
      </c>
      <c r="F39" t="inlineStr">
        <is>
          <t>Pharmaceuticals &amp; Biotechnology</t>
        </is>
      </c>
      <c r="G39" t="n">
        <v>72058</v>
      </c>
      <c r="H39" t="n">
        <v>504.69</v>
      </c>
      <c r="I39" t="n">
        <v>1.38</v>
      </c>
    </row>
    <row r="40">
      <c r="B40" t="inlineStr">
        <is>
          <t>101365</t>
        </is>
      </c>
      <c r="C40" t="inlineStr">
        <is>
          <t>Voltamp Transformers Ltd.</t>
        </is>
      </c>
      <c r="D40" t="inlineStr">
        <is>
          <t>INE540H01012</t>
        </is>
      </c>
      <c r="F40" t="inlineStr">
        <is>
          <t>Electrical Equipment</t>
        </is>
      </c>
      <c r="G40" t="n">
        <v>5950</v>
      </c>
      <c r="H40" t="n">
        <v>485.24</v>
      </c>
      <c r="I40" t="n">
        <v>1.33</v>
      </c>
    </row>
    <row r="41">
      <c r="B41" t="inlineStr">
        <is>
          <t>100177</t>
        </is>
      </c>
      <c r="C41" t="inlineStr">
        <is>
          <t>Grasim Industries Ltd.</t>
        </is>
      </c>
      <c r="D41" t="inlineStr">
        <is>
          <t>INE047A01021</t>
        </is>
      </c>
      <c r="F41" t="inlineStr">
        <is>
          <t>Cement &amp; Cement Products</t>
        </is>
      </c>
      <c r="G41" t="n">
        <v>16535</v>
      </c>
      <c r="H41" t="n">
        <v>453</v>
      </c>
      <c r="I41" t="n">
        <v>1.24</v>
      </c>
    </row>
    <row r="42">
      <c r="B42" t="inlineStr">
        <is>
          <t>102634</t>
        </is>
      </c>
      <c r="C42" t="inlineStr">
        <is>
          <t>Fedbank Financial Services Ltd.</t>
        </is>
      </c>
      <c r="D42" t="inlineStr">
        <is>
          <t>INE007N01010</t>
        </is>
      </c>
      <c r="F42" t="inlineStr">
        <is>
          <t>Finance</t>
        </is>
      </c>
      <c r="G42" t="n">
        <v>301905</v>
      </c>
      <c r="H42" t="n">
        <v>442.89</v>
      </c>
      <c r="I42" t="n">
        <v>1.21</v>
      </c>
    </row>
    <row r="43">
      <c r="B43" t="inlineStr">
        <is>
          <t>102611</t>
        </is>
      </c>
      <c r="C43" t="inlineStr">
        <is>
          <t>Kalpataru Ltd.</t>
        </is>
      </c>
      <c r="D43" t="inlineStr">
        <is>
          <t>INE227J01012</t>
        </is>
      </c>
      <c r="F43" t="inlineStr">
        <is>
          <t>Realty</t>
        </is>
      </c>
      <c r="G43" t="n">
        <v>119862</v>
      </c>
      <c r="H43" t="n">
        <v>414.24</v>
      </c>
      <c r="I43" t="n">
        <v>1.13</v>
      </c>
    </row>
    <row r="44">
      <c r="B44" t="inlineStr">
        <is>
          <t>100826</t>
        </is>
      </c>
      <c r="C44" t="inlineStr">
        <is>
          <t>Garden Reach Shipbuilders &amp; Engineers Ltd.</t>
        </is>
      </c>
      <c r="D44" t="inlineStr">
        <is>
          <t>INE382Z01011</t>
        </is>
      </c>
      <c r="F44" t="inlineStr">
        <is>
          <t>Aerospace &amp; Defense</t>
        </is>
      </c>
      <c r="G44" t="n">
        <v>14240</v>
      </c>
      <c r="H44" t="n">
        <v>397.73</v>
      </c>
      <c r="I44" t="n">
        <v>1.09</v>
      </c>
    </row>
    <row r="45">
      <c r="B45" t="inlineStr">
        <is>
          <t>100153</t>
        </is>
      </c>
      <c r="C45" t="inlineStr">
        <is>
          <t>Cipla Ltd.</t>
        </is>
      </c>
      <c r="D45" t="inlineStr">
        <is>
          <t>INE059A01026</t>
        </is>
      </c>
      <c r="F45" t="inlineStr">
        <is>
          <t>Pharmaceuticals &amp; Biotechnology</t>
        </is>
      </c>
      <c r="G45" t="n">
        <v>22638</v>
      </c>
      <c r="H45" t="n">
        <v>346.58</v>
      </c>
      <c r="I45" t="n">
        <v>0.95</v>
      </c>
    </row>
    <row r="46">
      <c r="B46" t="inlineStr">
        <is>
          <t>100003</t>
        </is>
      </c>
      <c r="C46" t="inlineStr">
        <is>
          <t>Infosys Ltd.</t>
        </is>
      </c>
      <c r="D46" t="inlineStr">
        <is>
          <t>INE009A01021</t>
        </is>
      </c>
      <c r="F46" t="inlineStr">
        <is>
          <t>IT - Software</t>
        </is>
      </c>
      <c r="G46" t="n">
        <v>21406</v>
      </c>
      <c r="H46" t="n">
        <v>333.87</v>
      </c>
      <c r="I46" t="n">
        <v>0.91</v>
      </c>
    </row>
    <row r="47">
      <c r="B47" t="inlineStr">
        <is>
          <t>100174</t>
        </is>
      </c>
      <c r="C47" t="inlineStr">
        <is>
          <t>Vodafone Idea Ltd.</t>
        </is>
      </c>
      <c r="D47" t="inlineStr">
        <is>
          <t>INE669E01016</t>
        </is>
      </c>
      <c r="F47" t="inlineStr">
        <is>
          <t>Telecom - Services</t>
        </is>
      </c>
      <c r="G47" t="n">
        <v>3308207</v>
      </c>
      <c r="H47" t="n">
        <v>329.83</v>
      </c>
      <c r="I47" t="n">
        <v>0.9</v>
      </c>
    </row>
    <row r="48">
      <c r="B48" t="inlineStr">
        <is>
          <t>100154</t>
        </is>
      </c>
      <c r="C48" t="inlineStr">
        <is>
          <t>Colgate Palmolive (India) Ltd.</t>
        </is>
      </c>
      <c r="D48" t="inlineStr">
        <is>
          <t>INE259A01022</t>
        </is>
      </c>
      <c r="F48" t="inlineStr">
        <is>
          <t>Personal Products</t>
        </is>
      </c>
      <c r="G48" t="n">
        <v>14579</v>
      </c>
      <c r="H48" t="n">
        <v>316.58</v>
      </c>
      <c r="I48" t="n">
        <v>0.87</v>
      </c>
    </row>
    <row r="49">
      <c r="B49" t="inlineStr">
        <is>
          <t>100694</t>
        </is>
      </c>
      <c r="C49" t="inlineStr">
        <is>
          <t>Indian Energy Exchange Ltd.</t>
        </is>
      </c>
      <c r="D49" t="inlineStr">
        <is>
          <t>INE022Q01020</t>
        </is>
      </c>
      <c r="F49" t="inlineStr">
        <is>
          <t>Capital Markets</t>
        </is>
      </c>
      <c r="G49" t="n">
        <v>225727</v>
      </c>
      <c r="H49" t="n">
        <v>314.55</v>
      </c>
      <c r="I49" t="n">
        <v>0.86</v>
      </c>
    </row>
    <row r="50">
      <c r="B50" t="inlineStr">
        <is>
          <t>101574</t>
        </is>
      </c>
      <c r="C50" t="inlineStr">
        <is>
          <t>Linde India Ltd.</t>
        </is>
      </c>
      <c r="D50" t="inlineStr">
        <is>
          <t>INE473A01011</t>
        </is>
      </c>
      <c r="F50" t="inlineStr">
        <is>
          <t>Chemicals &amp; Petrochemicals</t>
        </is>
      </c>
      <c r="G50" t="n">
        <v>5203</v>
      </c>
      <c r="H50" t="n">
        <v>310.44</v>
      </c>
      <c r="I50" t="n">
        <v>0.85</v>
      </c>
    </row>
    <row r="51">
      <c r="B51" t="inlineStr">
        <is>
          <t>101498</t>
        </is>
      </c>
      <c r="C51" t="inlineStr">
        <is>
          <t>S.J.S. Enterprises Ltd.</t>
        </is>
      </c>
      <c r="D51" t="inlineStr">
        <is>
          <t>INE284S01014</t>
        </is>
      </c>
      <c r="F51" t="inlineStr">
        <is>
          <t>Auto Components</t>
        </is>
      </c>
      <c r="G51" t="n">
        <v>18173</v>
      </c>
      <c r="H51" t="n">
        <v>307.67</v>
      </c>
      <c r="I51" t="n">
        <v>0.84</v>
      </c>
    </row>
    <row r="52">
      <c r="B52" t="inlineStr">
        <is>
          <t>100292</t>
        </is>
      </c>
      <c r="C52" t="inlineStr">
        <is>
          <t>Steel Authority of India Ltd.</t>
        </is>
      </c>
      <c r="D52" t="inlineStr">
        <is>
          <t>INE114A01011</t>
        </is>
      </c>
      <c r="F52" t="inlineStr">
        <is>
          <t>Ferrous Metals</t>
        </is>
      </c>
      <c r="G52" t="n">
        <v>145000</v>
      </c>
      <c r="H52" t="n">
        <v>195.53</v>
      </c>
      <c r="I52" t="n">
        <v>0.54</v>
      </c>
    </row>
    <row r="53">
      <c r="B53" t="inlineStr">
        <is>
          <t>102206</t>
        </is>
      </c>
      <c r="C53" t="inlineStr">
        <is>
          <t>Chemtech Industrial Valves Ltd.</t>
        </is>
      </c>
      <c r="D53" t="inlineStr">
        <is>
          <t>INE212P01011</t>
        </is>
      </c>
      <c r="F53" t="inlineStr">
        <is>
          <t>Industrial Manufacturing</t>
        </is>
      </c>
      <c r="G53" t="n">
        <v>108000</v>
      </c>
      <c r="H53" t="n">
        <v>102.11</v>
      </c>
      <c r="I53" t="n">
        <v>0.28</v>
      </c>
    </row>
    <row r="54">
      <c r="B54" t="inlineStr">
        <is>
          <t>102644</t>
        </is>
      </c>
      <c r="C54" t="inlineStr">
        <is>
          <t>Vikram Solar Ltd.</t>
        </is>
      </c>
      <c r="D54" t="inlineStr">
        <is>
          <t>INE078V01014</t>
        </is>
      </c>
      <c r="F54" t="inlineStr">
        <is>
          <t>Electrical Equipment</t>
        </is>
      </c>
      <c r="G54" t="n">
        <v>3030</v>
      </c>
      <c r="H54" t="n">
        <v>7.93</v>
      </c>
      <c r="I54" t="n">
        <v>0.02</v>
      </c>
    </row>
    <row r="55">
      <c r="C55" t="inlineStr">
        <is>
          <t>Total</t>
        </is>
      </c>
      <c r="H55" t="n">
        <v>36183.33</v>
      </c>
      <c r="I55" t="n">
        <v>99.04000000000001</v>
      </c>
    </row>
    <row r="56"/>
    <row r="57">
      <c r="C57" t="inlineStr">
        <is>
          <t>b) Unlisted</t>
        </is>
      </c>
    </row>
    <row r="58">
      <c r="B58" t="inlineStr">
        <is>
          <t>100190</t>
        </is>
      </c>
      <c r="C58" t="inlineStr">
        <is>
          <t>Wellwin Industry Ltd.</t>
        </is>
      </c>
      <c r="D58" t="inlineStr">
        <is>
          <t>INE752A01018</t>
        </is>
      </c>
      <c r="F58" t="inlineStr">
        <is>
          <t>Industrial Capital Goods</t>
        </is>
      </c>
      <c r="G58" t="n">
        <v>189983</v>
      </c>
      <c r="H58" t="n">
        <v>0</v>
      </c>
      <c r="I58" t="inlineStr">
        <is>
          <t>#</t>
        </is>
      </c>
      <c r="J58" t="inlineStr">
        <is>
          <t>I**</t>
        </is>
      </c>
    </row>
    <row r="59">
      <c r="C59" t="inlineStr">
        <is>
          <t>Total</t>
        </is>
      </c>
      <c r="H59" t="n">
        <v>0</v>
      </c>
      <c r="I59" t="inlineStr">
        <is>
          <t>#</t>
        </is>
      </c>
    </row>
    <row r="60"/>
    <row r="61">
      <c r="C61" t="inlineStr">
        <is>
          <t>c) Foreign Securities and /or overseas ETF</t>
        </is>
      </c>
      <c r="H61" t="inlineStr">
        <is>
          <t>NIL</t>
        </is>
      </c>
      <c r="I61" t="inlineStr">
        <is>
          <t>NIL</t>
        </is>
      </c>
    </row>
    <row r="62"/>
    <row r="63">
      <c r="C63" t="inlineStr">
        <is>
          <t>DEBT INSTRUMENTS</t>
        </is>
      </c>
    </row>
    <row r="64"/>
    <row r="65">
      <c r="C65" t="inlineStr">
        <is>
          <t>a) Listed/awaiting listing on the stock exchanges</t>
        </is>
      </c>
      <c r="H65" t="inlineStr">
        <is>
          <t>NIL</t>
        </is>
      </c>
      <c r="I65" t="inlineStr">
        <is>
          <t>NIL</t>
        </is>
      </c>
    </row>
    <row r="66"/>
    <row r="67">
      <c r="C67" t="inlineStr">
        <is>
          <t>b) Privately Placed/Unlisted</t>
        </is>
      </c>
      <c r="H67" t="inlineStr">
        <is>
          <t>NIL</t>
        </is>
      </c>
      <c r="I67" t="inlineStr">
        <is>
          <t>NIL</t>
        </is>
      </c>
    </row>
    <row r="68"/>
    <row r="69">
      <c r="C69" t="inlineStr">
        <is>
          <t>c) Securitised Debt Instruments</t>
        </is>
      </c>
      <c r="H69" t="inlineStr">
        <is>
          <t>NIL</t>
        </is>
      </c>
      <c r="I69" t="inlineStr">
        <is>
          <t>NIL</t>
        </is>
      </c>
    </row>
    <row r="70"/>
    <row r="71">
      <c r="C71" t="inlineStr">
        <is>
          <t>d) Central Government Securities</t>
        </is>
      </c>
      <c r="H71" t="inlineStr">
        <is>
          <t>NIL</t>
        </is>
      </c>
      <c r="I71" t="inlineStr">
        <is>
          <t>NIL</t>
        </is>
      </c>
    </row>
    <row r="72"/>
    <row r="73">
      <c r="C73" t="inlineStr">
        <is>
          <t>e) State Government Securities</t>
        </is>
      </c>
      <c r="H73" t="inlineStr">
        <is>
          <t>NIL</t>
        </is>
      </c>
      <c r="I73" t="inlineStr">
        <is>
          <t>NIL</t>
        </is>
      </c>
    </row>
    <row r="74"/>
    <row r="75">
      <c r="C75" t="inlineStr">
        <is>
          <t>MONEY MARKET INSTRUMENTS</t>
        </is>
      </c>
    </row>
    <row r="76"/>
    <row r="77">
      <c r="C77" t="inlineStr">
        <is>
          <t>a) Commercial Paper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b) Certificate of Deposits</t>
        </is>
      </c>
      <c r="H79" t="inlineStr">
        <is>
          <t>NIL</t>
        </is>
      </c>
      <c r="I79" t="inlineStr">
        <is>
          <t>NIL</t>
        </is>
      </c>
    </row>
    <row r="80"/>
    <row r="81">
      <c r="C81" t="inlineStr">
        <is>
          <t>c) Treasury Bills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d) Bills Re- Discounting</t>
        </is>
      </c>
      <c r="H83" t="inlineStr">
        <is>
          <t>NIL</t>
        </is>
      </c>
      <c r="I83" t="inlineStr">
        <is>
          <t>NIL</t>
        </is>
      </c>
    </row>
    <row r="84"/>
    <row r="85">
      <c r="C85" t="inlineStr">
        <is>
          <t>OTHERS</t>
        </is>
      </c>
    </row>
    <row r="86"/>
    <row r="87">
      <c r="C87" t="inlineStr">
        <is>
          <t>a) Mutual Fund Units / Exchange Traded Funds</t>
        </is>
      </c>
      <c r="H87" t="inlineStr">
        <is>
          <t>NIL</t>
        </is>
      </c>
      <c r="I87" t="inlineStr">
        <is>
          <t>NIL</t>
        </is>
      </c>
    </row>
    <row r="88"/>
    <row r="89">
      <c r="C89" t="inlineStr">
        <is>
          <t>b) Alternative Investment Funds</t>
        </is>
      </c>
      <c r="H89" t="inlineStr">
        <is>
          <t>NIL</t>
        </is>
      </c>
      <c r="I89" t="inlineStr">
        <is>
          <t>NIL</t>
        </is>
      </c>
    </row>
    <row r="90"/>
    <row r="91">
      <c r="C91" t="inlineStr">
        <is>
          <t>c) Gold</t>
        </is>
      </c>
      <c r="H91" t="inlineStr">
        <is>
          <t>NIL</t>
        </is>
      </c>
      <c r="I91" t="inlineStr">
        <is>
          <t>NIL</t>
        </is>
      </c>
    </row>
    <row r="92"/>
    <row r="93">
      <c r="C93" t="inlineStr">
        <is>
          <t>d) Short Term Deposits</t>
        </is>
      </c>
      <c r="H93" t="inlineStr">
        <is>
          <t>NIL</t>
        </is>
      </c>
      <c r="I93" t="inlineStr">
        <is>
          <t>NIL</t>
        </is>
      </c>
    </row>
    <row r="94"/>
    <row r="95">
      <c r="C95" t="inlineStr">
        <is>
          <t>e) Term Deposits Placed as Margins</t>
        </is>
      </c>
      <c r="H95" t="inlineStr">
        <is>
          <t>NIL</t>
        </is>
      </c>
      <c r="I95" t="inlineStr">
        <is>
          <t>NIL</t>
        </is>
      </c>
    </row>
    <row r="96"/>
    <row r="97">
      <c r="C97" t="inlineStr">
        <is>
          <t>f) TREPS / Reverse Repo Investments</t>
        </is>
      </c>
      <c r="H97" t="inlineStr">
        <is>
          <t>NIL</t>
        </is>
      </c>
      <c r="I97" t="inlineStr">
        <is>
          <t>NIL</t>
        </is>
      </c>
    </row>
    <row r="98"/>
    <row r="99">
      <c r="C99" t="inlineStr">
        <is>
          <t>Other Current Assets / (Liabilities)</t>
        </is>
      </c>
    </row>
    <row r="100">
      <c r="C100" t="inlineStr">
        <is>
          <t>Net Receivable / Payable</t>
        </is>
      </c>
      <c r="H100" t="n">
        <v>351.27</v>
      </c>
      <c r="I100" t="n">
        <v>0.96</v>
      </c>
    </row>
    <row r="101">
      <c r="C101" t="inlineStr">
        <is>
          <t>Total</t>
        </is>
      </c>
      <c r="H101" t="n">
        <v>351.27</v>
      </c>
      <c r="I101" t="n">
        <v>0.96</v>
      </c>
    </row>
    <row r="102"/>
    <row r="103">
      <c r="C103" t="inlineStr">
        <is>
          <t>GRAND TOTAL (AUM)</t>
        </is>
      </c>
      <c r="H103" t="n">
        <v>36534.6</v>
      </c>
      <c r="I103">
        <f>SUMIFS(I:I,C:C,"Total")</f>
        <v/>
      </c>
    </row>
    <row r="104"/>
    <row r="105"/>
    <row r="106">
      <c r="C106" t="inlineStr">
        <is>
          <t>Notes &amp; Symbols :-</t>
        </is>
      </c>
    </row>
    <row r="107">
      <c r="C107" t="inlineStr">
        <is>
      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      </is>
      </c>
    </row>
    <row r="108">
      <c r="C108" t="inlineStr">
        <is>
          <t>1. Non Convertible Debentures and  Bonds are considered as Traded based on information provided by external agencies.</t>
        </is>
      </c>
    </row>
    <row r="109">
      <c r="C109" t="inlineStr">
        <is>
          <t>2. ^ The Name of the Industry is in accordance with Industry Classification as recommended by AMFI.</t>
        </is>
      </c>
    </row>
    <row r="110">
      <c r="C110" t="inlineStr">
        <is>
          <t>3. Total NPAs provided for and its percentage to NAV is Nil.</t>
        </is>
      </c>
    </row>
    <row r="111">
      <c r="C111" t="inlineStr">
        <is>
          <t>4. Total Value and percentage of illiquid equity shares is Nil.</t>
        </is>
      </c>
    </row>
    <row r="112">
      <c r="C112" t="inlineStr">
        <is>
          <t>5. Net Assets Value per unit (in Rupees) are as follows:</t>
        </is>
      </c>
    </row>
    <row r="113">
      <c r="D113" t="inlineStr">
        <is>
          <t>NAV per unit</t>
        </is>
      </c>
    </row>
    <row r="114">
      <c r="C114" t="inlineStr">
        <is>
          <t>Plan/Option</t>
        </is>
      </c>
      <c r="D114" t="inlineStr">
        <is>
          <t>As on</t>
        </is>
      </c>
      <c r="E114" t="inlineStr">
        <is>
          <t>As on</t>
        </is>
      </c>
    </row>
    <row r="115">
      <c r="D115" t="inlineStr">
        <is>
          <t>October 31, 2025</t>
        </is>
      </c>
      <c r="E115" t="inlineStr">
        <is>
          <t>November 30, 2025</t>
        </is>
      </c>
    </row>
    <row r="116">
      <c r="C116" t="inlineStr">
        <is>
          <t>Regular Plan - IDCW</t>
        </is>
      </c>
      <c r="D116" t="n">
        <v>110.77</v>
      </c>
      <c r="E116" t="n">
        <v>111.44</v>
      </c>
    </row>
    <row r="117">
      <c r="C117" t="inlineStr">
        <is>
          <t>Regular Plan - Growth</t>
        </is>
      </c>
      <c r="D117" t="n">
        <v>228.26</v>
      </c>
      <c r="E117" t="n">
        <v>229.65</v>
      </c>
    </row>
    <row r="118">
      <c r="C118" t="inlineStr">
        <is>
          <t>Direct Plan - IDCW</t>
        </is>
      </c>
      <c r="D118" t="n">
        <v>119.83</v>
      </c>
      <c r="E118" t="n">
        <v>120.56</v>
      </c>
    </row>
    <row r="119">
      <c r="C119" t="inlineStr">
        <is>
          <t>Direct Plan - Growth</t>
        </is>
      </c>
      <c r="D119" t="n">
        <v>237.51</v>
      </c>
      <c r="E119" t="n">
        <v>238.97</v>
      </c>
    </row>
    <row r="120"/>
    <row r="121">
      <c r="C121" t="inlineStr">
        <is>
          <t>6. The Scheme did not declare any dividend during the month ended as on November 30, 2025.</t>
        </is>
      </c>
    </row>
    <row r="122">
      <c r="C122" t="inlineStr">
        <is>
          <t>7. The Scheme did not declare any bonus during the month ended as on November 30, 2025.</t>
        </is>
      </c>
    </row>
    <row r="123">
      <c r="C123" t="inlineStr">
        <is>
          <t>8. Total outstanding exposure in derivative instruments as on November 30, 2025 is Nil</t>
        </is>
      </c>
    </row>
    <row r="124">
      <c r="C124" t="inlineStr">
        <is>
          <t>9. Total investments in Foreign Securities /ADRs/GDRs /Overseas ETFs as at as on  November 30, 2025 and its percentage to NAV is Nil.</t>
        </is>
      </c>
    </row>
    <row r="125">
      <c r="C125" t="inlineStr">
        <is>
          <t>10. During the period, the portfolio turnover ratio is 0.85 times.</t>
        </is>
      </c>
    </row>
    <row r="126">
      <c r="C126" t="inlineStr">
        <is>
          <t xml:space="preserve">      Portfolio Turnover Ratio = Lower of sales or purchase of securities divided by average AUM for 12 months ended as on November 30, 2025</t>
        </is>
      </c>
    </row>
    <row r="127">
      <c r="C127" t="inlineStr">
        <is>
          <t>11. The Scheme did not invest in repo transactions of corporate debt securities during the month ended as on November 30, 2025.</t>
        </is>
      </c>
    </row>
    <row r="128">
      <c r="C128" t="inlineStr">
        <is>
          <t>12. The Scheme did not invest in credit default swaps during the month ended as on November 30, 2025.</t>
        </is>
      </c>
    </row>
    <row r="129">
      <c r="C129" t="inlineStr">
        <is>
          <t>13. There are Nil instances of deviation from the valuation principles/guidelines during the month ended as on November 30th,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1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TTS</t>
        </is>
      </c>
    </row>
    <row r="3">
      <c r="C3" t="inlineStr">
        <is>
          <t>SCHEME NAME :</t>
        </is>
      </c>
      <c r="D3" t="inlineStr">
        <is>
          <t>Taurus Elss Tax Saver Fund</t>
        </is>
      </c>
    </row>
    <row r="4">
      <c r="C4" t="inlineStr">
        <is>
          <t>PORTFOLIO STATEMENT AS ON :</t>
        </is>
      </c>
      <c r="D4" s="1" t="n">
        <v>45991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76490</v>
      </c>
      <c r="H10" t="n">
        <v>770.25</v>
      </c>
      <c r="I10" t="n">
        <v>9.93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147908</v>
      </c>
      <c r="H11" t="n">
        <v>598.14</v>
      </c>
      <c r="I11" t="n">
        <v>7.71</v>
      </c>
    </row>
    <row r="12">
      <c r="B12" t="inlineStr">
        <is>
          <t>100325</t>
        </is>
      </c>
      <c r="C12" t="inlineStr">
        <is>
          <t>Bajaj Holdings &amp; Investment Ltd.</t>
        </is>
      </c>
      <c r="D12" t="inlineStr">
        <is>
          <t>INE118A01012</t>
        </is>
      </c>
      <c r="F12" t="inlineStr">
        <is>
          <t>Finance</t>
        </is>
      </c>
      <c r="G12" t="n">
        <v>5200</v>
      </c>
      <c r="H12" t="n">
        <v>597.75</v>
      </c>
      <c r="I12" t="n">
        <v>7.7</v>
      </c>
    </row>
    <row r="13">
      <c r="B13" t="inlineStr">
        <is>
          <t>100012</t>
        </is>
      </c>
      <c r="C13" t="inlineStr">
        <is>
          <t>ICICI Bank Ltd.</t>
        </is>
      </c>
      <c r="D13" t="inlineStr">
        <is>
          <t>INE090A01021</t>
        </is>
      </c>
      <c r="F13" t="inlineStr">
        <is>
          <t>Banks</t>
        </is>
      </c>
      <c r="G13" t="n">
        <v>41805</v>
      </c>
      <c r="H13" t="n">
        <v>580.55</v>
      </c>
      <c r="I13" t="n">
        <v>7.48</v>
      </c>
    </row>
    <row r="14">
      <c r="B14" t="inlineStr">
        <is>
          <t>100474</t>
        </is>
      </c>
      <c r="C14" t="inlineStr">
        <is>
          <t>Narayana Hrudayalaya Ltd.</t>
        </is>
      </c>
      <c r="D14" t="inlineStr">
        <is>
          <t>INE410P01011</t>
        </is>
      </c>
      <c r="F14" t="inlineStr">
        <is>
          <t>Healthcare Services</t>
        </is>
      </c>
      <c r="G14" t="n">
        <v>23293</v>
      </c>
      <c r="H14" t="n">
        <v>453.1</v>
      </c>
      <c r="I14" t="n">
        <v>5.84</v>
      </c>
    </row>
    <row r="15">
      <c r="B15" t="inlineStr">
        <is>
          <t>102663</t>
        </is>
      </c>
      <c r="C15" t="inlineStr">
        <is>
          <t>Pace Digitek Ltd.</t>
        </is>
      </c>
      <c r="D15" t="inlineStr">
        <is>
          <t>INE0S3G01027</t>
        </is>
      </c>
      <c r="F15" t="inlineStr">
        <is>
          <t>Telecom - Services</t>
        </is>
      </c>
      <c r="G15" t="n">
        <v>182716</v>
      </c>
      <c r="H15" t="n">
        <v>389.82</v>
      </c>
      <c r="I15" t="n">
        <v>5.02</v>
      </c>
    </row>
    <row r="16">
      <c r="B16" t="inlineStr">
        <is>
          <t>100694</t>
        </is>
      </c>
      <c r="C16" t="inlineStr">
        <is>
          <t>Indian Energy Exchange Ltd.</t>
        </is>
      </c>
      <c r="D16" t="inlineStr">
        <is>
          <t>INE022Q01020</t>
        </is>
      </c>
      <c r="F16" t="inlineStr">
        <is>
          <t>Capital Markets</t>
        </is>
      </c>
      <c r="G16" t="n">
        <v>270045</v>
      </c>
      <c r="H16" t="n">
        <v>376.31</v>
      </c>
      <c r="I16" t="n">
        <v>4.85</v>
      </c>
    </row>
    <row r="17">
      <c r="B17" t="inlineStr">
        <is>
          <t>100024</t>
        </is>
      </c>
      <c r="C17" t="inlineStr">
        <is>
          <t>Axis Bank Ltd.</t>
        </is>
      </c>
      <c r="D17" t="inlineStr">
        <is>
          <t>INE238A01034</t>
        </is>
      </c>
      <c r="F17" t="inlineStr">
        <is>
          <t>Banks</t>
        </is>
      </c>
      <c r="G17" t="n">
        <v>28650</v>
      </c>
      <c r="H17" t="n">
        <v>366.79</v>
      </c>
      <c r="I17" t="n">
        <v>4.73</v>
      </c>
    </row>
    <row r="18">
      <c r="B18" t="inlineStr">
        <is>
          <t>100182</t>
        </is>
      </c>
      <c r="C18" t="inlineStr">
        <is>
          <t>Power Grid Corporation of India Ltd.</t>
        </is>
      </c>
      <c r="D18" t="inlineStr">
        <is>
          <t>INE752E01010</t>
        </is>
      </c>
      <c r="F18" t="inlineStr">
        <is>
          <t>Power</t>
        </is>
      </c>
      <c r="G18" t="n">
        <v>114996</v>
      </c>
      <c r="H18" t="n">
        <v>310.37</v>
      </c>
      <c r="I18" t="n">
        <v>4</v>
      </c>
    </row>
    <row r="19">
      <c r="B19" t="inlineStr">
        <is>
          <t>100014</t>
        </is>
      </c>
      <c r="C19" t="inlineStr">
        <is>
          <t>Mahindra &amp; Mahindra Ltd.</t>
        </is>
      </c>
      <c r="D19" t="inlineStr">
        <is>
          <t>INE101A01026</t>
        </is>
      </c>
      <c r="F19" t="inlineStr">
        <is>
          <t>Automobiles</t>
        </is>
      </c>
      <c r="G19" t="n">
        <v>7337</v>
      </c>
      <c r="H19" t="n">
        <v>275.71</v>
      </c>
      <c r="I19" t="n">
        <v>3.55</v>
      </c>
    </row>
    <row r="20">
      <c r="B20" t="inlineStr">
        <is>
          <t>100097</t>
        </is>
      </c>
      <c r="C20" t="inlineStr">
        <is>
          <t>Coal India Ltd.</t>
        </is>
      </c>
      <c r="D20" t="inlineStr">
        <is>
          <t>INE522F01014</t>
        </is>
      </c>
      <c r="F20" t="inlineStr">
        <is>
          <t>Consumable Fuels</t>
        </is>
      </c>
      <c r="G20" t="n">
        <v>65000</v>
      </c>
      <c r="H20" t="n">
        <v>244.3</v>
      </c>
      <c r="I20" t="n">
        <v>3.15</v>
      </c>
    </row>
    <row r="21">
      <c r="B21" t="inlineStr">
        <is>
          <t>100389</t>
        </is>
      </c>
      <c r="C21" t="inlineStr">
        <is>
          <t>Zydus Wellness Ltd.</t>
        </is>
      </c>
      <c r="D21" t="inlineStr">
        <is>
          <t>INE768C01028</t>
        </is>
      </c>
      <c r="F21" t="inlineStr">
        <is>
          <t>Food Products</t>
        </is>
      </c>
      <c r="G21" t="n">
        <v>54975</v>
      </c>
      <c r="H21" t="n">
        <v>237</v>
      </c>
      <c r="I21" t="n">
        <v>3.05</v>
      </c>
    </row>
    <row r="22">
      <c r="B22" t="inlineStr">
        <is>
          <t>100037</t>
        </is>
      </c>
      <c r="C22" t="inlineStr">
        <is>
          <t>HCL Technologies Ltd.</t>
        </is>
      </c>
      <c r="D22" t="inlineStr">
        <is>
          <t>INE860A01027</t>
        </is>
      </c>
      <c r="F22" t="inlineStr">
        <is>
          <t>IT - Software</t>
        </is>
      </c>
      <c r="G22" t="n">
        <v>14191</v>
      </c>
      <c r="H22" t="n">
        <v>230.99</v>
      </c>
      <c r="I22" t="n">
        <v>2.98</v>
      </c>
    </row>
    <row r="23">
      <c r="B23" t="inlineStr">
        <is>
          <t>100153</t>
        </is>
      </c>
      <c r="C23" t="inlineStr">
        <is>
          <t>Cipla Ltd.</t>
        </is>
      </c>
      <c r="D23" t="inlineStr">
        <is>
          <t>INE059A01026</t>
        </is>
      </c>
      <c r="F23" t="inlineStr">
        <is>
          <t>Pharmaceuticals &amp; Biotechnology</t>
        </is>
      </c>
      <c r="G23" t="n">
        <v>13798</v>
      </c>
      <c r="H23" t="n">
        <v>211.24</v>
      </c>
      <c r="I23" t="n">
        <v>2.72</v>
      </c>
    </row>
    <row r="24">
      <c r="B24" t="inlineStr">
        <is>
          <t>100095</t>
        </is>
      </c>
      <c r="C24" t="inlineStr">
        <is>
          <t>Bharti Airtel Ltd.</t>
        </is>
      </c>
      <c r="D24" t="inlineStr">
        <is>
          <t>INE397D01024</t>
        </is>
      </c>
      <c r="F24" t="inlineStr">
        <is>
          <t>Telecom - Services</t>
        </is>
      </c>
      <c r="G24" t="n">
        <v>8882</v>
      </c>
      <c r="H24" t="n">
        <v>186.62</v>
      </c>
      <c r="I24" t="n">
        <v>2.4</v>
      </c>
    </row>
    <row r="25">
      <c r="B25" t="inlineStr">
        <is>
          <t>101365</t>
        </is>
      </c>
      <c r="C25" t="inlineStr">
        <is>
          <t>Voltamp Transformers Ltd.</t>
        </is>
      </c>
      <c r="D25" t="inlineStr">
        <is>
          <t>INE540H01012</t>
        </is>
      </c>
      <c r="F25" t="inlineStr">
        <is>
          <t>Electrical Equipment</t>
        </is>
      </c>
      <c r="G25" t="n">
        <v>2275</v>
      </c>
      <c r="H25" t="n">
        <v>185.53</v>
      </c>
      <c r="I25" t="n">
        <v>2.39</v>
      </c>
    </row>
    <row r="26">
      <c r="B26" t="inlineStr">
        <is>
          <t>100003</t>
        </is>
      </c>
      <c r="C26" t="inlineStr">
        <is>
          <t>Infosys Ltd.</t>
        </is>
      </c>
      <c r="D26" t="inlineStr">
        <is>
          <t>INE009A01021</t>
        </is>
      </c>
      <c r="F26" t="inlineStr">
        <is>
          <t>IT - Software</t>
        </is>
      </c>
      <c r="G26" t="n">
        <v>10579</v>
      </c>
      <c r="H26" t="n">
        <v>165</v>
      </c>
      <c r="I26" t="n">
        <v>2.13</v>
      </c>
    </row>
    <row r="27">
      <c r="B27" t="inlineStr">
        <is>
          <t>100133</t>
        </is>
      </c>
      <c r="C27" t="inlineStr">
        <is>
          <t>Oracle Financial Services Software Ltd.</t>
        </is>
      </c>
      <c r="D27" t="inlineStr">
        <is>
          <t>INE881D01027</t>
        </is>
      </c>
      <c r="F27" t="inlineStr">
        <is>
          <t>IT - Software</t>
        </is>
      </c>
      <c r="G27" t="n">
        <v>1912</v>
      </c>
      <c r="H27" t="n">
        <v>155.04</v>
      </c>
      <c r="I27" t="n">
        <v>2</v>
      </c>
    </row>
    <row r="28">
      <c r="B28" t="inlineStr">
        <is>
          <t>100100</t>
        </is>
      </c>
      <c r="C28" t="inlineStr">
        <is>
          <t>Hindustan Petroleum Corporation Ltd.</t>
        </is>
      </c>
      <c r="D28" t="inlineStr">
        <is>
          <t>INE094A01015</t>
        </is>
      </c>
      <c r="F28" t="inlineStr">
        <is>
          <t>Petroleum Products</t>
        </is>
      </c>
      <c r="G28" t="n">
        <v>31987</v>
      </c>
      <c r="H28" t="n">
        <v>146.36</v>
      </c>
      <c r="I28" t="n">
        <v>1.89</v>
      </c>
    </row>
    <row r="29">
      <c r="B29" t="inlineStr">
        <is>
          <t>101184</t>
        </is>
      </c>
      <c r="C29" t="inlineStr">
        <is>
          <t>Mazagon Dock Shipbuilders Ltd.</t>
        </is>
      </c>
      <c r="D29" t="inlineStr">
        <is>
          <t>INE249Z01020</t>
        </is>
      </c>
      <c r="F29" t="inlineStr">
        <is>
          <t>Industrial Manufacturing</t>
        </is>
      </c>
      <c r="G29" t="n">
        <v>5445</v>
      </c>
      <c r="H29" t="n">
        <v>145.89</v>
      </c>
      <c r="I29" t="n">
        <v>1.88</v>
      </c>
    </row>
    <row r="30">
      <c r="B30" t="inlineStr">
        <is>
          <t>100194</t>
        </is>
      </c>
      <c r="C30" t="inlineStr">
        <is>
          <t>Power Finance Corporation Ltd.</t>
        </is>
      </c>
      <c r="D30" t="inlineStr">
        <is>
          <t>INE134E01011</t>
        </is>
      </c>
      <c r="F30" t="inlineStr">
        <is>
          <t>Finance</t>
        </is>
      </c>
      <c r="G30" t="n">
        <v>34916</v>
      </c>
      <c r="H30" t="n">
        <v>126.78</v>
      </c>
      <c r="I30" t="n">
        <v>1.63</v>
      </c>
    </row>
    <row r="31">
      <c r="B31" t="inlineStr">
        <is>
          <t>100155</t>
        </is>
      </c>
      <c r="C31" t="inlineStr">
        <is>
          <t>Divi's Laboratories Ltd.</t>
        </is>
      </c>
      <c r="D31" t="inlineStr">
        <is>
          <t>INE361B01024</t>
        </is>
      </c>
      <c r="F31" t="inlineStr">
        <is>
          <t>Pharmaceuticals &amp; Biotechnology</t>
        </is>
      </c>
      <c r="G31" t="n">
        <v>1928</v>
      </c>
      <c r="H31" t="n">
        <v>124.91</v>
      </c>
      <c r="I31" t="n">
        <v>1.61</v>
      </c>
    </row>
    <row r="32">
      <c r="B32" t="inlineStr">
        <is>
          <t>100083</t>
        </is>
      </c>
      <c r="C32" t="inlineStr">
        <is>
          <t>Samvardhana Motherson International Ltd.</t>
        </is>
      </c>
      <c r="D32" t="inlineStr">
        <is>
          <t>INE775A01035</t>
        </is>
      </c>
      <c r="F32" t="inlineStr">
        <is>
          <t>Auto Components</t>
        </is>
      </c>
      <c r="G32" t="n">
        <v>107347</v>
      </c>
      <c r="H32" t="n">
        <v>124.84</v>
      </c>
      <c r="I32" t="n">
        <v>1.61</v>
      </c>
    </row>
    <row r="33">
      <c r="B33" t="inlineStr">
        <is>
          <t>102644</t>
        </is>
      </c>
      <c r="C33" t="inlineStr">
        <is>
          <t>Vikram Solar Ltd.</t>
        </is>
      </c>
      <c r="D33" t="inlineStr">
        <is>
          <t>INE078V01014</t>
        </is>
      </c>
      <c r="F33" t="inlineStr">
        <is>
          <t>Electrical Equipment</t>
        </is>
      </c>
      <c r="G33" t="n">
        <v>45413</v>
      </c>
      <c r="H33" t="n">
        <v>118.85</v>
      </c>
      <c r="I33" t="n">
        <v>1.53</v>
      </c>
    </row>
    <row r="34">
      <c r="B34" t="inlineStr">
        <is>
          <t>100177</t>
        </is>
      </c>
      <c r="C34" t="inlineStr">
        <is>
          <t>Grasim Industries Ltd.</t>
        </is>
      </c>
      <c r="D34" t="inlineStr">
        <is>
          <t>INE047A01021</t>
        </is>
      </c>
      <c r="F34" t="inlineStr">
        <is>
          <t>Cement &amp; Cement Products</t>
        </is>
      </c>
      <c r="G34" t="n">
        <v>3981</v>
      </c>
      <c r="H34" t="n">
        <v>109.07</v>
      </c>
      <c r="I34" t="n">
        <v>1.41</v>
      </c>
    </row>
    <row r="35">
      <c r="B35" t="inlineStr">
        <is>
          <t>100172</t>
        </is>
      </c>
      <c r="C35" t="inlineStr">
        <is>
          <t>ACC Ltd.</t>
        </is>
      </c>
      <c r="D35" t="inlineStr">
        <is>
          <t>INE012A01025</t>
        </is>
      </c>
      <c r="F35" t="inlineStr">
        <is>
          <t>Cement &amp; Cement Products</t>
        </is>
      </c>
      <c r="G35" t="n">
        <v>5724</v>
      </c>
      <c r="H35" t="n">
        <v>105.88</v>
      </c>
      <c r="I35" t="n">
        <v>1.36</v>
      </c>
    </row>
    <row r="36">
      <c r="B36" t="inlineStr">
        <is>
          <t>101550</t>
        </is>
      </c>
      <c r="C36" t="inlineStr">
        <is>
          <t>Life Insurance Corporation of India</t>
        </is>
      </c>
      <c r="D36" t="inlineStr">
        <is>
          <t>INE0J1Y01017</t>
        </is>
      </c>
      <c r="F36" t="inlineStr">
        <is>
          <t>Insurance</t>
        </is>
      </c>
      <c r="G36" t="n">
        <v>8000</v>
      </c>
      <c r="H36" t="n">
        <v>71.54000000000001</v>
      </c>
      <c r="I36" t="n">
        <v>0.92</v>
      </c>
    </row>
    <row r="37">
      <c r="B37" t="inlineStr">
        <is>
          <t>100035</t>
        </is>
      </c>
      <c r="C37" t="inlineStr">
        <is>
          <t>NMDC Ltd.</t>
        </is>
      </c>
      <c r="D37" t="inlineStr">
        <is>
          <t>INE584A01023</t>
        </is>
      </c>
      <c r="F37" t="inlineStr">
        <is>
          <t>Minerals &amp; Mining</t>
        </is>
      </c>
      <c r="G37" t="n">
        <v>95000</v>
      </c>
      <c r="H37" t="n">
        <v>70.23999999999999</v>
      </c>
      <c r="I37" t="n">
        <v>0.91</v>
      </c>
    </row>
    <row r="38">
      <c r="B38" t="inlineStr">
        <is>
          <t>102206</t>
        </is>
      </c>
      <c r="C38" t="inlineStr">
        <is>
          <t>Chemtech Industrial Valves Ltd.</t>
        </is>
      </c>
      <c r="D38" t="inlineStr">
        <is>
          <t>INE212P01011</t>
        </is>
      </c>
      <c r="F38" t="inlineStr">
        <is>
          <t>Industrial Manufacturing</t>
        </is>
      </c>
      <c r="G38" t="n">
        <v>50000</v>
      </c>
      <c r="H38" t="n">
        <v>47.28</v>
      </c>
      <c r="I38" t="n">
        <v>0.61</v>
      </c>
    </row>
    <row r="39">
      <c r="B39" t="inlineStr">
        <is>
          <t>100147</t>
        </is>
      </c>
      <c r="C39" t="inlineStr">
        <is>
          <t>Tech Mahindra Ltd.</t>
        </is>
      </c>
      <c r="D39" t="inlineStr">
        <is>
          <t>INE669C01036</t>
        </is>
      </c>
      <c r="F39" t="inlineStr">
        <is>
          <t>IT - Software</t>
        </is>
      </c>
      <c r="G39" t="n">
        <v>2739</v>
      </c>
      <c r="H39" t="n">
        <v>41.55</v>
      </c>
      <c r="I39" t="n">
        <v>0.54</v>
      </c>
    </row>
    <row r="40">
      <c r="B40" t="inlineStr">
        <is>
          <t>101967</t>
        </is>
      </c>
      <c r="C40" t="inlineStr">
        <is>
          <t>Globus Spirits Ltd.</t>
        </is>
      </c>
      <c r="D40" t="inlineStr">
        <is>
          <t>INE615I01010</t>
        </is>
      </c>
      <c r="F40" t="inlineStr">
        <is>
          <t>Beverages</t>
        </is>
      </c>
      <c r="G40" t="n">
        <v>1720</v>
      </c>
      <c r="H40" t="n">
        <v>18.35</v>
      </c>
      <c r="I40" t="n">
        <v>0.24</v>
      </c>
    </row>
    <row r="41">
      <c r="C41" t="inlineStr">
        <is>
          <t>Total</t>
        </is>
      </c>
      <c r="H41" t="n">
        <v>7586.05</v>
      </c>
      <c r="I41" t="n">
        <v>97.77</v>
      </c>
    </row>
    <row r="42"/>
    <row r="43">
      <c r="C43" t="inlineStr">
        <is>
          <t>b) Unlisted</t>
        </is>
      </c>
      <c r="H43" t="inlineStr">
        <is>
          <t>NIL</t>
        </is>
      </c>
      <c r="I43" t="inlineStr">
        <is>
          <t>NIL</t>
        </is>
      </c>
    </row>
    <row r="44"/>
    <row r="45">
      <c r="C45" t="inlineStr">
        <is>
          <t>c) Foreign Securities and /or overseas ETF</t>
        </is>
      </c>
      <c r="H45" t="inlineStr">
        <is>
          <t>NIL</t>
        </is>
      </c>
      <c r="I45" t="inlineStr">
        <is>
          <t>NIL</t>
        </is>
      </c>
    </row>
    <row r="46"/>
    <row r="47">
      <c r="C47" t="inlineStr">
        <is>
          <t>DEBT INSTRUMENTS</t>
        </is>
      </c>
    </row>
    <row r="48"/>
    <row r="49">
      <c r="C49" t="inlineStr">
        <is>
          <t>a) Listed/awaiting listing on the stock exchanges</t>
        </is>
      </c>
      <c r="H49" t="inlineStr">
        <is>
          <t>NIL</t>
        </is>
      </c>
      <c r="I49" t="inlineStr">
        <is>
          <t>NIL</t>
        </is>
      </c>
    </row>
    <row r="50"/>
    <row r="51">
      <c r="C51" t="inlineStr">
        <is>
          <t>b) Privately Placed/Unlisted</t>
        </is>
      </c>
      <c r="H51" t="inlineStr">
        <is>
          <t>NIL</t>
        </is>
      </c>
      <c r="I51" t="inlineStr">
        <is>
          <t>NIL</t>
        </is>
      </c>
    </row>
    <row r="52"/>
    <row r="53">
      <c r="C53" t="inlineStr">
        <is>
          <t>c) Securitised Debt Instruments</t>
        </is>
      </c>
      <c r="H53" t="inlineStr">
        <is>
          <t>NIL</t>
        </is>
      </c>
      <c r="I53" t="inlineStr">
        <is>
          <t>NIL</t>
        </is>
      </c>
    </row>
    <row r="54"/>
    <row r="55">
      <c r="C55" t="inlineStr">
        <is>
          <t>d) Central Government Securities</t>
        </is>
      </c>
      <c r="H55" t="inlineStr">
        <is>
          <t>NIL</t>
        </is>
      </c>
      <c r="I55" t="inlineStr">
        <is>
          <t>NIL</t>
        </is>
      </c>
    </row>
    <row r="56"/>
    <row r="57">
      <c r="C57" t="inlineStr">
        <is>
          <t>e) State Government Securities</t>
        </is>
      </c>
      <c r="H57" t="inlineStr">
        <is>
          <t>NIL</t>
        </is>
      </c>
      <c r="I57" t="inlineStr">
        <is>
          <t>NIL</t>
        </is>
      </c>
    </row>
    <row r="58"/>
    <row r="59">
      <c r="C59" t="inlineStr">
        <is>
          <t>MONEY MARKET INSTRUMENTS</t>
        </is>
      </c>
    </row>
    <row r="60"/>
    <row r="61">
      <c r="C61" t="inlineStr">
        <is>
          <t>a) Commercial Paper</t>
        </is>
      </c>
      <c r="H61" t="inlineStr">
        <is>
          <t>NIL</t>
        </is>
      </c>
      <c r="I61" t="inlineStr">
        <is>
          <t>NIL</t>
        </is>
      </c>
    </row>
    <row r="62"/>
    <row r="63">
      <c r="C63" t="inlineStr">
        <is>
          <t>b) Certificate of Deposits</t>
        </is>
      </c>
      <c r="H63" t="inlineStr">
        <is>
          <t>NIL</t>
        </is>
      </c>
      <c r="I63" t="inlineStr">
        <is>
          <t>NIL</t>
        </is>
      </c>
    </row>
    <row r="64"/>
    <row r="65">
      <c r="C65" t="inlineStr">
        <is>
          <t>c) Treasury Bills</t>
        </is>
      </c>
      <c r="H65" t="inlineStr">
        <is>
          <t>NIL</t>
        </is>
      </c>
      <c r="I65" t="inlineStr">
        <is>
          <t>NIL</t>
        </is>
      </c>
    </row>
    <row r="66"/>
    <row r="67">
      <c r="C67" t="inlineStr">
        <is>
          <t>d) Bills Re- Discounting</t>
        </is>
      </c>
      <c r="H67" t="inlineStr">
        <is>
          <t>NIL</t>
        </is>
      </c>
      <c r="I67" t="inlineStr">
        <is>
          <t>NIL</t>
        </is>
      </c>
    </row>
    <row r="68"/>
    <row r="69">
      <c r="C69" t="inlineStr">
        <is>
          <t>OTHERS</t>
        </is>
      </c>
    </row>
    <row r="70"/>
    <row r="71">
      <c r="C71" t="inlineStr">
        <is>
          <t>a) Mutual Fund Units / Exchange Traded Funds</t>
        </is>
      </c>
      <c r="H71" t="inlineStr">
        <is>
          <t>NIL</t>
        </is>
      </c>
      <c r="I71" t="inlineStr">
        <is>
          <t>NIL</t>
        </is>
      </c>
    </row>
    <row r="72"/>
    <row r="73">
      <c r="C73" t="inlineStr">
        <is>
          <t>b) Alternative Investment Funds</t>
        </is>
      </c>
      <c r="H73" t="inlineStr">
        <is>
          <t>NIL</t>
        </is>
      </c>
      <c r="I73" t="inlineStr">
        <is>
          <t>NIL</t>
        </is>
      </c>
    </row>
    <row r="74"/>
    <row r="75">
      <c r="C75" t="inlineStr">
        <is>
          <t>c) Gold</t>
        </is>
      </c>
      <c r="H75" t="inlineStr">
        <is>
          <t>NIL</t>
        </is>
      </c>
      <c r="I75" t="inlineStr">
        <is>
          <t>NIL</t>
        </is>
      </c>
    </row>
    <row r="76"/>
    <row r="77">
      <c r="C77" t="inlineStr">
        <is>
          <t>d) Short Term Deposits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e) Term Deposits Placed as Margins</t>
        </is>
      </c>
      <c r="H79" t="inlineStr">
        <is>
          <t>NIL</t>
        </is>
      </c>
      <c r="I79" t="inlineStr">
        <is>
          <t>NIL</t>
        </is>
      </c>
    </row>
    <row r="80"/>
    <row r="81">
      <c r="C81" t="inlineStr">
        <is>
          <t>f) TREPS / Reverse Repo Investments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Other Current Assets / (Liabilities)</t>
        </is>
      </c>
    </row>
    <row r="84">
      <c r="C84" t="inlineStr">
        <is>
          <t>Net Receivable / Payable</t>
        </is>
      </c>
      <c r="H84" t="n">
        <v>174.08</v>
      </c>
      <c r="I84" t="n">
        <v>2.23</v>
      </c>
    </row>
    <row r="85">
      <c r="C85" t="inlineStr">
        <is>
          <t>Total</t>
        </is>
      </c>
      <c r="H85" t="n">
        <v>174.08</v>
      </c>
      <c r="I85" t="n">
        <v>2.23</v>
      </c>
    </row>
    <row r="86"/>
    <row r="87">
      <c r="C87" t="inlineStr">
        <is>
          <t>GRAND TOTAL (AUM)</t>
        </is>
      </c>
      <c r="H87" t="n">
        <v>7760.13</v>
      </c>
      <c r="I87">
        <f>SUMIFS(I:I,C:C,"Total")</f>
        <v/>
      </c>
    </row>
    <row r="88"/>
    <row r="89"/>
    <row r="90">
      <c r="C90" t="inlineStr">
        <is>
          <t>Notes &amp; Symbols :-</t>
        </is>
      </c>
    </row>
    <row r="91">
      <c r="C91" t="inlineStr">
        <is>
      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      </is>
      </c>
    </row>
    <row r="92">
      <c r="C92" t="inlineStr">
        <is>
          <t>1. Non Convertible Debentures and  Bonds are considered as Traded based on information provided by external agencies.</t>
        </is>
      </c>
    </row>
    <row r="93">
      <c r="C93" t="inlineStr">
        <is>
          <t>2. ^ The Name of the Industry is in accordance with Industry Classification as recommended by AMFI.</t>
        </is>
      </c>
    </row>
    <row r="94">
      <c r="C94" t="inlineStr">
        <is>
          <t>3. Total NPAs provided for and its percentage to NAV is Nil.</t>
        </is>
      </c>
    </row>
    <row r="95">
      <c r="C95" t="inlineStr">
        <is>
          <t>4. Total Value and percentage of illiquid equity shares is Nil.</t>
        </is>
      </c>
    </row>
    <row r="96">
      <c r="C96" t="inlineStr">
        <is>
          <t>5. Net Assets Value per unit (in Rupees) are as follows:</t>
        </is>
      </c>
    </row>
    <row r="97">
      <c r="D97" t="inlineStr">
        <is>
          <t>NAV per unit</t>
        </is>
      </c>
    </row>
    <row r="98">
      <c r="C98" t="inlineStr">
        <is>
          <t>Plan/Option</t>
        </is>
      </c>
      <c r="D98" t="inlineStr">
        <is>
          <t>As on</t>
        </is>
      </c>
      <c r="E98" t="inlineStr">
        <is>
          <t>As on</t>
        </is>
      </c>
    </row>
    <row r="99">
      <c r="D99" t="inlineStr">
        <is>
          <t>October 31, 2025</t>
        </is>
      </c>
      <c r="E99" t="inlineStr">
        <is>
          <t>November 30, 2025</t>
        </is>
      </c>
    </row>
    <row r="100">
      <c r="C100" t="inlineStr">
        <is>
          <t>Regular Plan - IDCW</t>
        </is>
      </c>
      <c r="D100" t="n">
        <v>88.26000000000001</v>
      </c>
      <c r="E100" t="n">
        <v>87.66</v>
      </c>
    </row>
    <row r="101">
      <c r="C101" t="inlineStr">
        <is>
          <t>Regular Plan - Growth</t>
        </is>
      </c>
      <c r="D101" t="n">
        <v>188.41</v>
      </c>
      <c r="E101" t="n">
        <v>187.12</v>
      </c>
    </row>
    <row r="102">
      <c r="C102" t="inlineStr">
        <is>
          <t>Direct Plan - IDCW</t>
        </is>
      </c>
      <c r="D102" t="n">
        <v>94.81999999999999</v>
      </c>
      <c r="E102" t="n">
        <v>94.22</v>
      </c>
    </row>
    <row r="103">
      <c r="C103" t="inlineStr">
        <is>
          <t>Direct Plan - Growth</t>
        </is>
      </c>
      <c r="D103" t="n">
        <v>205.73</v>
      </c>
      <c r="E103" t="n">
        <v>204.43</v>
      </c>
    </row>
    <row r="104"/>
    <row r="105">
      <c r="C105" t="inlineStr">
        <is>
          <t>6. The Scheme did not declare any dividend during the month ended as on  November 30, 2025.</t>
        </is>
      </c>
    </row>
    <row r="106">
      <c r="C106" t="inlineStr">
        <is>
          <t>7. The Scheme did not declare any bonus during the month ended as on November 30, 2025.</t>
        </is>
      </c>
    </row>
    <row r="107">
      <c r="C107" t="inlineStr">
        <is>
          <t>8. Total outstanding exposure in derivative instruments as on November 30, 2025 is Nil</t>
        </is>
      </c>
    </row>
    <row r="108">
      <c r="C108" t="inlineStr">
        <is>
          <t>9. Total investments in Foreign Securities /ADRs/GDRs /Overseas ETFs as at as on November 30, 2025 and its percentage to NAV is Nil.</t>
        </is>
      </c>
    </row>
    <row r="109">
      <c r="C109" t="inlineStr">
        <is>
          <t>10. During the period, the portfolio turnover ratio is 0.82 times.</t>
        </is>
      </c>
    </row>
    <row r="110">
      <c r="C110" t="inlineStr">
        <is>
          <t xml:space="preserve">      Portfolio Turnover Ratio = Lower of sales or purchase of securities divided by average AUM for 12 months ended as on November 30, 2025</t>
        </is>
      </c>
    </row>
    <row r="111">
      <c r="C111" t="inlineStr">
        <is>
          <t>11. The Scheme did not invest in repo transactions of corporate debt securities during the month ended as on November 30, 2025.</t>
        </is>
      </c>
    </row>
    <row r="112">
      <c r="C112" t="inlineStr">
        <is>
          <t>12. The Scheme did not invest in credit default swaps during the month ended as on November 30, 2025.</t>
        </is>
      </c>
    </row>
    <row r="113">
      <c r="C113" t="inlineStr">
        <is>
          <t>13. There are Nil instances of deviation from the valuation principles/guidelilys during the month ended as on November 30th,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2026-01-04T09:55:26Z</dcterms:created>
  <dcterms:modified xmlns:dcterms="http://purl.org/dc/terms/" xmlns:xsi="http://www.w3.org/2001/XMLSchema-instance" xsi:type="dcterms:W3CDTF">2026-01-04T09:55:28Z</dcterms:modified>
</cp:coreProperties>
</file>