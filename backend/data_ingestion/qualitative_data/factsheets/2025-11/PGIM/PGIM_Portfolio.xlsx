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rge Cap" sheetId="1" state="visible" r:id="rId1"/>
    <sheet xmlns:r="http://schemas.openxmlformats.org/officeDocument/2006/relationships" name="Large &amp; Mid Cap" sheetId="2" state="visible" r:id="rId2"/>
    <sheet xmlns:r="http://schemas.openxmlformats.org/officeDocument/2006/relationships" name="Mid Cap" sheetId="3" state="visible" r:id="rId3"/>
    <sheet xmlns:r="http://schemas.openxmlformats.org/officeDocument/2006/relationships" name="Small Cap" sheetId="4" state="visible" r:id="rId4"/>
    <sheet xmlns:r="http://schemas.openxmlformats.org/officeDocument/2006/relationships" name="Flexi Cap" sheetId="5" state="visible" r:id="rId5"/>
    <sheet xmlns:r="http://schemas.openxmlformats.org/officeDocument/2006/relationships" name="Multi Cap" sheetId="6" state="visible" r:id="rId6"/>
    <sheet xmlns:r="http://schemas.openxmlformats.org/officeDocument/2006/relationships" name="ELS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4"/>
  <sheetViews>
    <sheetView workbookViewId="0">
      <selection activeCell="A1" sqref="A1"/>
    </sheetView>
  </sheetViews>
  <sheetFormatPr baseColWidth="8" defaultRowHeight="15"/>
  <sheetData>
    <row r="1">
      <c r="B1" t="inlineStr">
        <is>
          <t>PGIM INDIA LARGE CAP FUND</t>
        </is>
      </c>
    </row>
    <row r="2">
      <c r="B2" t="inlineStr">
        <is>
          <t>(An Open Ended Equity Scheme Predominantly Investing In Large Cap Stocks)</t>
        </is>
      </c>
    </row>
    <row r="3">
      <c r="B3" t="inlineStr">
        <is>
          <t xml:space="preserve">Riskometer of the Scheme </t>
        </is>
      </c>
      <c r="E3" t="inlineStr">
        <is>
          <t xml:space="preserve">Riskometer of the Benchmark (NIFTY 100 TRI) </t>
        </is>
      </c>
    </row>
    <row r="4"/>
    <row r="5"/>
    <row r="6"/>
    <row r="7"/>
    <row r="8"/>
    <row r="9"/>
    <row r="10">
      <c r="B10" t="inlineStr">
        <is>
          <t>Investors understand that their 
principal will be at very high risk</t>
        </is>
      </c>
      <c r="E10" t="inlineStr">
        <is>
          <t>Benchmark riskometer is at very high risk</t>
        </is>
      </c>
    </row>
    <row r="11">
      <c r="B11" t="inlineStr">
        <is>
          <t>Portfolio Statement as on November 30,2025</t>
        </is>
      </c>
    </row>
    <row r="12">
      <c r="B12" t="inlineStr">
        <is>
          <t>Name of  Instrument</t>
        </is>
      </c>
      <c r="C12" t="inlineStr">
        <is>
          <t>ISIN</t>
        </is>
      </c>
      <c r="D12" t="inlineStr">
        <is>
          <t>Industry/Rating</t>
        </is>
      </c>
      <c r="E12" t="inlineStr">
        <is>
          <t>Quantity</t>
        </is>
      </c>
      <c r="F12" t="inlineStr">
        <is>
          <t>Market/Fair Value  (INR Lacs)</t>
        </is>
      </c>
      <c r="G12" t="inlineStr">
        <is>
          <t>%  to Net Assets</t>
        </is>
      </c>
      <c r="H12" t="inlineStr">
        <is>
          <t xml:space="preserve">% Yield </t>
        </is>
      </c>
    </row>
    <row r="13">
      <c r="B13" t="inlineStr">
        <is>
          <t>Equity &amp; Equity related</t>
        </is>
      </c>
    </row>
    <row r="14"/>
    <row r="15">
      <c r="B15" t="inlineStr">
        <is>
          <t>(a)Listed / Awaiting listing on Stock Exchanges</t>
        </is>
      </c>
    </row>
    <row r="16">
      <c r="B16" t="inlineStr">
        <is>
          <t>HDFC Bank Ltd.</t>
        </is>
      </c>
      <c r="C16" t="inlineStr">
        <is>
          <t>INE040A01034</t>
        </is>
      </c>
      <c r="D16" t="inlineStr">
        <is>
          <t>Banks</t>
        </is>
      </c>
      <c r="E16" t="n">
        <v>571054</v>
      </c>
      <c r="F16" t="n">
        <v>5753.94</v>
      </c>
      <c r="G16" t="n">
        <v>9.51</v>
      </c>
    </row>
    <row r="17">
      <c r="B17" t="inlineStr">
        <is>
          <t>ICICI Bank Ltd.</t>
        </is>
      </c>
      <c r="C17" t="inlineStr">
        <is>
          <t>INE090A01021</t>
        </is>
      </c>
      <c r="D17" t="inlineStr">
        <is>
          <t>Banks</t>
        </is>
      </c>
      <c r="E17" t="n">
        <v>395964</v>
      </c>
      <c r="F17" t="n">
        <v>5499.15</v>
      </c>
      <c r="G17" t="n">
        <v>9.09</v>
      </c>
    </row>
    <row r="18">
      <c r="B18" t="inlineStr">
        <is>
          <t>Reliance Industries Ltd.</t>
        </is>
      </c>
      <c r="C18" t="inlineStr">
        <is>
          <t>INE002A01018</t>
        </is>
      </c>
      <c r="D18" t="inlineStr">
        <is>
          <t>Petroleum Products</t>
        </is>
      </c>
      <c r="E18" t="n">
        <v>344534</v>
      </c>
      <c r="F18" t="n">
        <v>5400.57</v>
      </c>
      <c r="G18" t="n">
        <v>8.93</v>
      </c>
    </row>
    <row r="19">
      <c r="B19" t="inlineStr">
        <is>
          <t>Bharti Airtel Ltd.</t>
        </is>
      </c>
      <c r="C19" t="inlineStr">
        <is>
          <t>INE397D01024</t>
        </is>
      </c>
      <c r="D19" t="inlineStr">
        <is>
          <t>Telecom - Services</t>
        </is>
      </c>
      <c r="E19" t="n">
        <v>142657</v>
      </c>
      <c r="F19" t="n">
        <v>2998.08</v>
      </c>
      <c r="G19" t="n">
        <v>4.96</v>
      </c>
    </row>
    <row r="20">
      <c r="B20" t="inlineStr">
        <is>
          <t>Larsen &amp; Toubro Ltd.</t>
        </is>
      </c>
      <c r="C20" t="inlineStr">
        <is>
          <t>INE018A01030</t>
        </is>
      </c>
      <c r="D20" t="inlineStr">
        <is>
          <t>Construction</t>
        </is>
      </c>
      <c r="E20" t="n">
        <v>58972</v>
      </c>
      <c r="F20" t="n">
        <v>2399.92</v>
      </c>
      <c r="G20" t="n">
        <v>3.97</v>
      </c>
    </row>
    <row r="21">
      <c r="B21" t="inlineStr">
        <is>
          <t>Tata Consultancy Services Ltd.</t>
        </is>
      </c>
      <c r="C21" t="inlineStr">
        <is>
          <t>INE467B01029</t>
        </is>
      </c>
      <c r="D21" t="inlineStr">
        <is>
          <t>IT - Software</t>
        </is>
      </c>
      <c r="E21" t="n">
        <v>67863</v>
      </c>
      <c r="F21" t="n">
        <v>2129.2</v>
      </c>
      <c r="G21" t="n">
        <v>3.52</v>
      </c>
    </row>
    <row r="22">
      <c r="B22" t="inlineStr">
        <is>
          <t>InterGlobe Aviation Ltd.</t>
        </is>
      </c>
      <c r="C22" t="inlineStr">
        <is>
          <t>INE646L01027</t>
        </is>
      </c>
      <c r="D22" t="inlineStr">
        <is>
          <t>Transport Services</t>
        </is>
      </c>
      <c r="E22" t="n">
        <v>34790</v>
      </c>
      <c r="F22" t="n">
        <v>2053.13</v>
      </c>
      <c r="G22" t="n">
        <v>3.39</v>
      </c>
    </row>
    <row r="23">
      <c r="B23" t="inlineStr">
        <is>
          <t>Bajaj Finance Ltd.</t>
        </is>
      </c>
      <c r="C23" t="inlineStr">
        <is>
          <t>INE296A01032</t>
        </is>
      </c>
      <c r="D23" t="inlineStr">
        <is>
          <t>Finance</t>
        </is>
      </c>
      <c r="E23" t="n">
        <v>180279</v>
      </c>
      <c r="F23" t="n">
        <v>1870.39</v>
      </c>
      <c r="G23" t="n">
        <v>3.09</v>
      </c>
    </row>
    <row r="24">
      <c r="B24" t="inlineStr">
        <is>
          <t>Eternal Ltd.</t>
        </is>
      </c>
      <c r="C24" t="inlineStr">
        <is>
          <t>INE758T01015</t>
        </is>
      </c>
      <c r="D24" t="inlineStr">
        <is>
          <t>Retailing</t>
        </is>
      </c>
      <c r="E24" t="n">
        <v>588298</v>
      </c>
      <c r="F24" t="n">
        <v>1765.48</v>
      </c>
      <c r="G24" t="n">
        <v>2.92</v>
      </c>
    </row>
    <row r="25">
      <c r="B25" t="inlineStr">
        <is>
          <t>TVS Motor Company Ltd.</t>
        </is>
      </c>
      <c r="C25" t="inlineStr">
        <is>
          <t>INE494B01023</t>
        </is>
      </c>
      <c r="D25" t="inlineStr">
        <is>
          <t>Automobiles</t>
        </is>
      </c>
      <c r="E25" t="n">
        <v>48600</v>
      </c>
      <c r="F25" t="n">
        <v>1716.31</v>
      </c>
      <c r="G25" t="n">
        <v>2.84</v>
      </c>
    </row>
    <row r="26">
      <c r="B26" t="inlineStr">
        <is>
          <t>Maruti Suzuki India Ltd.</t>
        </is>
      </c>
      <c r="C26" t="inlineStr">
        <is>
          <t>INE585B01010</t>
        </is>
      </c>
      <c r="D26" t="inlineStr">
        <is>
          <t>Automobiles</t>
        </is>
      </c>
      <c r="E26" t="n">
        <v>10254</v>
      </c>
      <c r="F26" t="n">
        <v>1630.39</v>
      </c>
      <c r="G26" t="n">
        <v>2.7</v>
      </c>
    </row>
    <row r="27">
      <c r="B27" t="inlineStr">
        <is>
          <t>Mahindra &amp; Mahindra Ltd.</t>
        </is>
      </c>
      <c r="C27" t="inlineStr">
        <is>
          <t>INE101A01026</t>
        </is>
      </c>
      <c r="D27" t="inlineStr">
        <is>
          <t>Automobiles</t>
        </is>
      </c>
      <c r="E27" t="n">
        <v>40030</v>
      </c>
      <c r="F27" t="n">
        <v>1504.05</v>
      </c>
      <c r="G27" t="n">
        <v>2.49</v>
      </c>
    </row>
    <row r="28">
      <c r="B28" t="inlineStr">
        <is>
          <t>VARUN BEVERAGES LIMITED</t>
        </is>
      </c>
      <c r="C28" t="inlineStr">
        <is>
          <t>INE200M01039</t>
        </is>
      </c>
      <c r="D28" t="inlineStr">
        <is>
          <t>Beverages</t>
        </is>
      </c>
      <c r="E28" t="n">
        <v>308939</v>
      </c>
      <c r="F28" t="n">
        <v>1487.7</v>
      </c>
      <c r="G28" t="n">
        <v>2.46</v>
      </c>
    </row>
    <row r="29">
      <c r="B29" t="inlineStr">
        <is>
          <t>Ultratech Cement Ltd.</t>
        </is>
      </c>
      <c r="C29" t="inlineStr">
        <is>
          <t>INE481G01011</t>
        </is>
      </c>
      <c r="D29" t="inlineStr">
        <is>
          <t>Cement &amp; Cement Products</t>
        </is>
      </c>
      <c r="E29" t="n">
        <v>11792</v>
      </c>
      <c r="F29" t="n">
        <v>1367.87</v>
      </c>
      <c r="G29" t="n">
        <v>2.26</v>
      </c>
    </row>
    <row r="30">
      <c r="B30" t="inlineStr">
        <is>
          <t>Muthoot Finance Ltd.</t>
        </is>
      </c>
      <c r="C30" t="inlineStr">
        <is>
          <t>INE414G01012</t>
        </is>
      </c>
      <c r="D30" t="inlineStr">
        <is>
          <t>Finance</t>
        </is>
      </c>
      <c r="E30" t="n">
        <v>35702</v>
      </c>
      <c r="F30" t="n">
        <v>1336.75</v>
      </c>
      <c r="G30" t="n">
        <v>2.21</v>
      </c>
    </row>
    <row r="31">
      <c r="B31" t="inlineStr">
        <is>
          <t>Infosys Ltd.</t>
        </is>
      </c>
      <c r="C31" t="inlineStr">
        <is>
          <t>INE009A01021</t>
        </is>
      </c>
      <c r="D31" t="inlineStr">
        <is>
          <t>IT - Software</t>
        </is>
      </c>
      <c r="E31" t="n">
        <v>79821</v>
      </c>
      <c r="F31" t="n">
        <v>1245.29</v>
      </c>
      <c r="G31" t="n">
        <v>2.06</v>
      </c>
    </row>
    <row r="32">
      <c r="B32" t="inlineStr">
        <is>
          <t>Titan Company Ltd.</t>
        </is>
      </c>
      <c r="C32" t="inlineStr">
        <is>
          <t>INE280A01028</t>
        </is>
      </c>
      <c r="D32" t="inlineStr">
        <is>
          <t>Consumer Durables</t>
        </is>
      </c>
      <c r="E32" t="n">
        <v>30190</v>
      </c>
      <c r="F32" t="n">
        <v>1179.73</v>
      </c>
      <c r="G32" t="n">
        <v>1.95</v>
      </c>
    </row>
    <row r="33">
      <c r="B33" t="inlineStr">
        <is>
          <t>Divi's Laboratories Ltd.</t>
        </is>
      </c>
      <c r="C33" t="inlineStr">
        <is>
          <t>INE361B01024</t>
        </is>
      </c>
      <c r="D33" t="inlineStr">
        <is>
          <t>Pharmaceuticals &amp; Biotechnology</t>
        </is>
      </c>
      <c r="E33" t="n">
        <v>16380</v>
      </c>
      <c r="F33" t="n">
        <v>1060.93</v>
      </c>
      <c r="G33" t="n">
        <v>1.75</v>
      </c>
    </row>
    <row r="34">
      <c r="B34" t="inlineStr">
        <is>
          <t>Tata Capital Ltd.</t>
        </is>
      </c>
      <c r="C34" t="inlineStr">
        <is>
          <t>INE976I01016</t>
        </is>
      </c>
      <c r="D34" t="inlineStr">
        <is>
          <t>Finance</t>
        </is>
      </c>
      <c r="E34" t="n">
        <v>322460</v>
      </c>
      <c r="F34" t="n">
        <v>1057.35</v>
      </c>
      <c r="G34" t="n">
        <v>1.75</v>
      </c>
    </row>
    <row r="35">
      <c r="B35" t="inlineStr">
        <is>
          <t>NTPC Ltd.</t>
        </is>
      </c>
      <c r="C35" t="inlineStr">
        <is>
          <t>INE733E01010</t>
        </is>
      </c>
      <c r="D35" t="inlineStr">
        <is>
          <t>Power</t>
        </is>
      </c>
      <c r="E35" t="n">
        <v>317000</v>
      </c>
      <c r="F35" t="n">
        <v>1034.85</v>
      </c>
      <c r="G35" t="n">
        <v>1.71</v>
      </c>
    </row>
    <row r="36">
      <c r="B36" t="inlineStr">
        <is>
          <t>CG Power and Industrial Solutions Ltd.</t>
        </is>
      </c>
      <c r="C36" t="inlineStr">
        <is>
          <t>INE067A01029</t>
        </is>
      </c>
      <c r="D36" t="inlineStr">
        <is>
          <t>Electrical Equipment</t>
        </is>
      </c>
      <c r="E36" t="n">
        <v>136373</v>
      </c>
      <c r="F36" t="n">
        <v>917.65</v>
      </c>
      <c r="G36" t="n">
        <v>1.52</v>
      </c>
    </row>
    <row r="37">
      <c r="B37" t="inlineStr">
        <is>
          <t>Kotak Mahindra Bank Ltd.</t>
        </is>
      </c>
      <c r="C37" t="inlineStr">
        <is>
          <t>INE237A01028</t>
        </is>
      </c>
      <c r="D37" t="inlineStr">
        <is>
          <t>Banks</t>
        </is>
      </c>
      <c r="E37" t="n">
        <v>41895</v>
      </c>
      <c r="F37" t="n">
        <v>890.02</v>
      </c>
      <c r="G37" t="n">
        <v>1.47</v>
      </c>
    </row>
    <row r="38">
      <c r="B38" t="inlineStr">
        <is>
          <t>ICICI Lombard General Insurance Co. Ltd.</t>
        </is>
      </c>
      <c r="C38" t="inlineStr">
        <is>
          <t>INE765G01017</t>
        </is>
      </c>
      <c r="D38" t="inlineStr">
        <is>
          <t>Insurance</t>
        </is>
      </c>
      <c r="E38" t="n">
        <v>44368</v>
      </c>
      <c r="F38" t="n">
        <v>874.27</v>
      </c>
      <c r="G38" t="n">
        <v>1.45</v>
      </c>
    </row>
    <row r="39">
      <c r="B39" t="inlineStr">
        <is>
          <t>Persistent Systems Ltd.</t>
        </is>
      </c>
      <c r="C39" t="inlineStr">
        <is>
          <t>INE262H01021</t>
        </is>
      </c>
      <c r="D39" t="inlineStr">
        <is>
          <t>IT - Software</t>
        </is>
      </c>
      <c r="E39" t="n">
        <v>12360</v>
      </c>
      <c r="F39" t="n">
        <v>785.23</v>
      </c>
      <c r="G39" t="n">
        <v>1.3</v>
      </c>
    </row>
    <row r="40">
      <c r="B40" t="inlineStr">
        <is>
          <t>Mankind Pharma Ltd.</t>
        </is>
      </c>
      <c r="C40" t="inlineStr">
        <is>
          <t>INE634S01028</t>
        </is>
      </c>
      <c r="D40" t="inlineStr">
        <is>
          <t>Pharmaceuticals &amp; Biotechnology</t>
        </is>
      </c>
      <c r="E40" t="n">
        <v>34023</v>
      </c>
      <c r="F40" t="n">
        <v>765.86</v>
      </c>
      <c r="G40" t="n">
        <v>1.27</v>
      </c>
    </row>
    <row r="41">
      <c r="B41" t="inlineStr">
        <is>
          <t>Cummins India Ltd.</t>
        </is>
      </c>
      <c r="C41" t="inlineStr">
        <is>
          <t>INE298A01020</t>
        </is>
      </c>
      <c r="D41" t="inlineStr">
        <is>
          <t>Industrial Products</t>
        </is>
      </c>
      <c r="E41" t="n">
        <v>16745</v>
      </c>
      <c r="F41" t="n">
        <v>750.0599999999999</v>
      </c>
      <c r="G41" t="n">
        <v>1.24</v>
      </c>
    </row>
    <row r="42">
      <c r="B42" t="inlineStr">
        <is>
          <t>PB Fintech Ltd.</t>
        </is>
      </c>
      <c r="C42" t="inlineStr">
        <is>
          <t>INE417T01026</t>
        </is>
      </c>
      <c r="D42" t="inlineStr">
        <is>
          <t>Financial Technology (Fintech)</t>
        </is>
      </c>
      <c r="E42" t="n">
        <v>40726</v>
      </c>
      <c r="F42" t="n">
        <v>740.77</v>
      </c>
      <c r="G42" t="n">
        <v>1.22</v>
      </c>
    </row>
    <row r="43">
      <c r="B43" t="inlineStr">
        <is>
          <t>Britannia Industries Ltd.</t>
        </is>
      </c>
      <c r="C43" t="inlineStr">
        <is>
          <t>INE216A01030</t>
        </is>
      </c>
      <c r="D43" t="inlineStr">
        <is>
          <t>Food Products</t>
        </is>
      </c>
      <c r="E43" t="n">
        <v>12093</v>
      </c>
      <c r="F43" t="n">
        <v>706.96</v>
      </c>
      <c r="G43" t="n">
        <v>1.17</v>
      </c>
    </row>
    <row r="44">
      <c r="B44" t="inlineStr">
        <is>
          <t>Prestige Estates Projects Ltd.</t>
        </is>
      </c>
      <c r="C44" t="inlineStr">
        <is>
          <t>INE811K01011</t>
        </is>
      </c>
      <c r="D44" t="inlineStr">
        <is>
          <t>Realty</t>
        </is>
      </c>
      <c r="E44" t="n">
        <v>39836</v>
      </c>
      <c r="F44" t="n">
        <v>668.17</v>
      </c>
      <c r="G44" t="n">
        <v>1.1</v>
      </c>
    </row>
    <row r="45">
      <c r="B45" t="inlineStr">
        <is>
          <t>United Spirits Ltd.</t>
        </is>
      </c>
      <c r="C45" t="inlineStr">
        <is>
          <t>INE854D01024</t>
        </is>
      </c>
      <c r="D45" t="inlineStr">
        <is>
          <t>Beverages</t>
        </is>
      </c>
      <c r="E45" t="n">
        <v>45902</v>
      </c>
      <c r="F45" t="n">
        <v>666.3099999999999</v>
      </c>
      <c r="G45" t="n">
        <v>1.1</v>
      </c>
    </row>
    <row r="46">
      <c r="B46" t="inlineStr">
        <is>
          <t>Tech Mahindra Ltd.</t>
        </is>
      </c>
      <c r="C46" t="inlineStr">
        <is>
          <t>INE669C01036</t>
        </is>
      </c>
      <c r="D46" t="inlineStr">
        <is>
          <t>IT - Software</t>
        </is>
      </c>
      <c r="E46" t="n">
        <v>41751</v>
      </c>
      <c r="F46" t="n">
        <v>633.49</v>
      </c>
      <c r="G46" t="n">
        <v>1.05</v>
      </c>
    </row>
    <row r="47">
      <c r="B47" t="inlineStr">
        <is>
          <t>Solar Industries India Ltd.</t>
        </is>
      </c>
      <c r="C47" t="inlineStr">
        <is>
          <t>INE343H01029</t>
        </is>
      </c>
      <c r="D47" t="inlineStr">
        <is>
          <t>Chemicals &amp; Petrochemicals</t>
        </is>
      </c>
      <c r="E47" t="n">
        <v>4677</v>
      </c>
      <c r="F47" t="n">
        <v>620.73</v>
      </c>
      <c r="G47" t="n">
        <v>1.03</v>
      </c>
    </row>
    <row r="48">
      <c r="B48" t="inlineStr">
        <is>
          <t>Dr. Reddy's Laboratories Ltd.</t>
        </is>
      </c>
      <c r="C48" t="inlineStr">
        <is>
          <t>INE089A01031</t>
        </is>
      </c>
      <c r="D48" t="inlineStr">
        <is>
          <t>Pharmaceuticals &amp; Biotechnology</t>
        </is>
      </c>
      <c r="E48" t="n">
        <v>49310</v>
      </c>
      <c r="F48" t="n">
        <v>620.71</v>
      </c>
      <c r="G48" t="n">
        <v>1.03</v>
      </c>
    </row>
    <row r="49">
      <c r="B49" t="inlineStr">
        <is>
          <t>JSW Steel Ltd.</t>
        </is>
      </c>
      <c r="C49" t="inlineStr">
        <is>
          <t>INE019A01038</t>
        </is>
      </c>
      <c r="D49" t="inlineStr">
        <is>
          <t>Ferrous Metals</t>
        </is>
      </c>
      <c r="E49" t="n">
        <v>50038</v>
      </c>
      <c r="F49" t="n">
        <v>580.59</v>
      </c>
      <c r="G49" t="n">
        <v>0.96</v>
      </c>
    </row>
    <row r="50">
      <c r="B50" t="inlineStr">
        <is>
          <t>ITC Ltd.</t>
        </is>
      </c>
      <c r="C50" t="inlineStr">
        <is>
          <t>INE154A01025</t>
        </is>
      </c>
      <c r="D50" t="inlineStr">
        <is>
          <t>Diversified FMCG</t>
        </is>
      </c>
      <c r="E50" t="n">
        <v>135588</v>
      </c>
      <c r="F50" t="n">
        <v>548.11</v>
      </c>
      <c r="G50" t="n">
        <v>0.91</v>
      </c>
    </row>
    <row r="51">
      <c r="B51" t="inlineStr">
        <is>
          <t>Sun Pharmaceutical Industries Ltd.</t>
        </is>
      </c>
      <c r="C51" t="inlineStr">
        <is>
          <t>INE044A01036</t>
        </is>
      </c>
      <c r="D51" t="inlineStr">
        <is>
          <t>Pharmaceuticals &amp; Biotechnology</t>
        </is>
      </c>
      <c r="E51" t="n">
        <v>29660</v>
      </c>
      <c r="F51" t="n">
        <v>543.25</v>
      </c>
      <c r="G51" t="n">
        <v>0.9</v>
      </c>
    </row>
    <row r="52">
      <c r="B52" t="inlineStr">
        <is>
          <t>Samvardhana Motherson International Ltd.</t>
        </is>
      </c>
      <c r="C52" t="inlineStr">
        <is>
          <t>INE775A01035</t>
        </is>
      </c>
      <c r="D52" t="inlineStr">
        <is>
          <t>Auto Components</t>
        </is>
      </c>
      <c r="E52" t="n">
        <v>459600</v>
      </c>
      <c r="F52" t="n">
        <v>534.5599999999999</v>
      </c>
      <c r="G52" t="n">
        <v>0.88</v>
      </c>
    </row>
    <row r="53">
      <c r="B53" t="inlineStr">
        <is>
          <t>Dixon Technologies (India) Ltd.</t>
        </is>
      </c>
      <c r="C53" t="inlineStr">
        <is>
          <t>INE935N01020</t>
        </is>
      </c>
      <c r="D53" t="inlineStr">
        <is>
          <t>Consumer Durables</t>
        </is>
      </c>
      <c r="E53" t="n">
        <v>3660</v>
      </c>
      <c r="F53" t="n">
        <v>534.4</v>
      </c>
      <c r="G53" t="n">
        <v>0.88</v>
      </c>
    </row>
    <row r="54">
      <c r="B54" t="inlineStr">
        <is>
          <t>LG Electronics India Ltd.</t>
        </is>
      </c>
      <c r="C54" t="inlineStr">
        <is>
          <t>INE324D01010</t>
        </is>
      </c>
      <c r="D54" t="inlineStr">
        <is>
          <t>Consumer Durables</t>
        </is>
      </c>
      <c r="E54" t="n">
        <v>30404</v>
      </c>
      <c r="F54" t="n">
        <v>504.49</v>
      </c>
      <c r="G54" t="n">
        <v>0.83</v>
      </c>
    </row>
    <row r="55">
      <c r="B55" t="inlineStr">
        <is>
          <t>HDFC Life Insurance Company Ltd.</t>
        </is>
      </c>
      <c r="C55" t="inlineStr">
        <is>
          <t>INE795G01014</t>
        </is>
      </c>
      <c r="D55" t="inlineStr">
        <is>
          <t>Insurance</t>
        </is>
      </c>
      <c r="E55" t="n">
        <v>59008</v>
      </c>
      <c r="F55" t="n">
        <v>451</v>
      </c>
      <c r="G55" t="n">
        <v>0.75</v>
      </c>
    </row>
    <row r="56">
      <c r="B56" t="inlineStr">
        <is>
          <t>Vishal Mega Mart Ltd</t>
        </is>
      </c>
      <c r="C56" t="inlineStr">
        <is>
          <t>INE01EA01019</t>
        </is>
      </c>
      <c r="D56" t="inlineStr">
        <is>
          <t>Retailing</t>
        </is>
      </c>
      <c r="E56" t="n">
        <v>298376</v>
      </c>
      <c r="F56" t="n">
        <v>405.19</v>
      </c>
      <c r="G56" t="n">
        <v>0.67</v>
      </c>
    </row>
    <row r="57">
      <c r="B57" t="inlineStr">
        <is>
          <t>Hindustan Aeronautics Ltd.</t>
        </is>
      </c>
      <c r="C57" t="inlineStr">
        <is>
          <t>INE066F01020</t>
        </is>
      </c>
      <c r="D57" t="inlineStr">
        <is>
          <t>Aerospace &amp; Defense</t>
        </is>
      </c>
      <c r="E57" t="n">
        <v>7410</v>
      </c>
      <c r="F57" t="n">
        <v>336.59</v>
      </c>
      <c r="G57" t="n">
        <v>0.5600000000000001</v>
      </c>
    </row>
    <row r="58">
      <c r="B58" t="inlineStr">
        <is>
          <t>Hindalco Industries Ltd.</t>
        </is>
      </c>
      <c r="C58" t="inlineStr">
        <is>
          <t>INE038A01020</t>
        </is>
      </c>
      <c r="D58" t="inlineStr">
        <is>
          <t>Non - Ferrous Metals</t>
        </is>
      </c>
      <c r="E58" t="n">
        <v>40000</v>
      </c>
      <c r="F58" t="n">
        <v>323.36</v>
      </c>
      <c r="G58" t="n">
        <v>0.53</v>
      </c>
    </row>
    <row r="59">
      <c r="B59" t="inlineStr">
        <is>
          <t>Axis Bank Ltd.</t>
        </is>
      </c>
      <c r="C59" t="inlineStr">
        <is>
          <t>INE238A01034</t>
        </is>
      </c>
      <c r="D59" t="inlineStr">
        <is>
          <t>Banks</t>
        </is>
      </c>
      <c r="E59" t="n">
        <v>24218</v>
      </c>
      <c r="F59" t="n">
        <v>309.92</v>
      </c>
      <c r="G59" t="n">
        <v>0.51</v>
      </c>
    </row>
    <row r="60">
      <c r="B60" t="inlineStr">
        <is>
          <t>The Indian Hotels Company Ltd.</t>
        </is>
      </c>
      <c r="C60" t="inlineStr">
        <is>
          <t>INE053A01029</t>
        </is>
      </c>
      <c r="D60" t="inlineStr">
        <is>
          <t>Leisure Services</t>
        </is>
      </c>
      <c r="E60" t="n">
        <v>39580</v>
      </c>
      <c r="F60" t="n">
        <v>294.59</v>
      </c>
      <c r="G60" t="n">
        <v>0.49</v>
      </c>
    </row>
    <row r="61">
      <c r="B61" t="inlineStr">
        <is>
          <t>Sub Total</t>
        </is>
      </c>
      <c r="F61" t="n">
        <v>59497.36</v>
      </c>
      <c r="G61" t="n">
        <v>98.38</v>
      </c>
    </row>
    <row r="62"/>
    <row r="63">
      <c r="B63" t="inlineStr">
        <is>
          <t>(b) Unlisted</t>
        </is>
      </c>
    </row>
    <row r="64">
      <c r="F64" t="n">
        <v>0</v>
      </c>
      <c r="G64" t="n">
        <v>0</v>
      </c>
    </row>
    <row r="65">
      <c r="B65" t="inlineStr">
        <is>
          <t>Sub Total</t>
        </is>
      </c>
      <c r="F65" t="inlineStr">
        <is>
          <t>NIL</t>
        </is>
      </c>
      <c r="G65" t="inlineStr">
        <is>
          <t>NIL</t>
        </is>
      </c>
    </row>
    <row r="66"/>
    <row r="67">
      <c r="B67" t="inlineStr">
        <is>
          <t>TOTAL</t>
        </is>
      </c>
      <c r="F67" t="n">
        <v>59497.36</v>
      </c>
      <c r="G67" t="n">
        <v>98.38</v>
      </c>
    </row>
    <row r="68">
      <c r="B68" t="inlineStr">
        <is>
          <t>Debt Instruments</t>
        </is>
      </c>
    </row>
    <row r="69"/>
    <row r="70">
      <c r="B70" t="inlineStr">
        <is>
          <t>(a) Listed / Awaiting listing on Stock Exchanges</t>
        </is>
      </c>
    </row>
    <row r="71"/>
    <row r="72">
      <c r="B72" t="inlineStr">
        <is>
          <t>Sub Total</t>
        </is>
      </c>
      <c r="F72" t="inlineStr">
        <is>
          <t>NIL</t>
        </is>
      </c>
      <c r="G72" t="inlineStr">
        <is>
          <t>NIL</t>
        </is>
      </c>
    </row>
    <row r="73"/>
    <row r="74">
      <c r="B74" t="inlineStr">
        <is>
          <t>(b)Privately Placed/Unlisted</t>
        </is>
      </c>
    </row>
    <row r="75">
      <c r="F75" t="n">
        <v>0</v>
      </c>
      <c r="G75" t="n">
        <v>0</v>
      </c>
    </row>
    <row r="76">
      <c r="B76" t="inlineStr">
        <is>
          <t>Sub Total</t>
        </is>
      </c>
      <c r="F76" t="inlineStr">
        <is>
          <t>NIL</t>
        </is>
      </c>
      <c r="G76" t="inlineStr">
        <is>
          <t>NIL</t>
        </is>
      </c>
    </row>
    <row r="77"/>
    <row r="78">
      <c r="B78" t="inlineStr">
        <is>
          <t>(c)Securitised Debt Instruments</t>
        </is>
      </c>
    </row>
    <row r="79">
      <c r="F79" t="n">
        <v>0</v>
      </c>
      <c r="G79" t="n">
        <v>0</v>
      </c>
    </row>
    <row r="80">
      <c r="B80" t="inlineStr">
        <is>
          <t>Sub Total</t>
        </is>
      </c>
      <c r="F80" t="inlineStr">
        <is>
          <t>NIL</t>
        </is>
      </c>
      <c r="G80" t="inlineStr">
        <is>
          <t>NIL</t>
        </is>
      </c>
    </row>
    <row r="81"/>
    <row r="82">
      <c r="B82" t="inlineStr">
        <is>
          <t>TOTAL</t>
        </is>
      </c>
      <c r="F82" t="inlineStr">
        <is>
          <t>NIL</t>
        </is>
      </c>
      <c r="G82" t="inlineStr">
        <is>
          <t>NIL</t>
        </is>
      </c>
    </row>
    <row r="83"/>
    <row r="84">
      <c r="B84" t="inlineStr">
        <is>
          <t>Preference Shares - (Awaiting listing on Stock Exchanges)</t>
        </is>
      </c>
    </row>
    <row r="85">
      <c r="B85" t="inlineStr">
        <is>
          <t>TVS Motor Company Ltd. ** #</t>
        </is>
      </c>
      <c r="C85" t="inlineStr">
        <is>
          <t>INE494B04019</t>
        </is>
      </c>
      <c r="D85" t="inlineStr">
        <is>
          <t>CARE A1+</t>
        </is>
      </c>
      <c r="E85" t="n">
        <v>239480</v>
      </c>
      <c r="F85" t="n">
        <v>24.28</v>
      </c>
      <c r="G85" t="n">
        <v>0.04</v>
      </c>
      <c r="H85" t="n">
        <v>6.04</v>
      </c>
    </row>
    <row r="86">
      <c r="B86" t="inlineStr">
        <is>
          <t>Sub Total</t>
        </is>
      </c>
      <c r="F86">
        <f>SUM(F85)</f>
        <v/>
      </c>
      <c r="G86">
        <f>SUM(G85)</f>
        <v/>
      </c>
    </row>
    <row r="87"/>
    <row r="88">
      <c r="B88" t="inlineStr">
        <is>
          <t>TOTAL</t>
        </is>
      </c>
      <c r="F88">
        <f>F86</f>
        <v/>
      </c>
      <c r="G88">
        <f>G86</f>
        <v/>
      </c>
    </row>
    <row r="89"/>
    <row r="90">
      <c r="B90" t="inlineStr">
        <is>
          <t>Money Market Instruments</t>
        </is>
      </c>
    </row>
    <row r="91"/>
    <row r="92">
      <c r="B92" t="inlineStr">
        <is>
          <t>Treasury Bill</t>
        </is>
      </c>
    </row>
    <row r="93">
      <c r="B93" t="inlineStr">
        <is>
          <t>364 DAYS TBILL RED 29-10-2026</t>
        </is>
      </c>
      <c r="C93" t="inlineStr">
        <is>
          <t>IN002025Z310</t>
        </is>
      </c>
      <c r="D93" t="inlineStr">
        <is>
          <t>SOVEREIGN</t>
        </is>
      </c>
      <c r="E93" t="n">
        <v>50000</v>
      </c>
      <c r="F93" t="n">
        <v>47.61</v>
      </c>
      <c r="G93" t="n">
        <v>0.08</v>
      </c>
      <c r="H93" t="n">
        <v>5.5103</v>
      </c>
    </row>
    <row r="94">
      <c r="B94" t="inlineStr">
        <is>
          <t>Sub Total</t>
        </is>
      </c>
      <c r="F94" t="n">
        <v>47.61</v>
      </c>
      <c r="G94" t="n">
        <v>0.08</v>
      </c>
    </row>
    <row r="95"/>
    <row r="96">
      <c r="B96" t="inlineStr">
        <is>
          <t>TOTAL</t>
        </is>
      </c>
      <c r="F96" t="n">
        <v>47.61</v>
      </c>
      <c r="G96" t="n">
        <v>0.08</v>
      </c>
    </row>
    <row r="97"/>
    <row r="98"/>
    <row r="99">
      <c r="B99" t="inlineStr">
        <is>
          <t>Treps / Reverse Repo</t>
        </is>
      </c>
    </row>
    <row r="100">
      <c r="B100" t="inlineStr">
        <is>
          <t>Clearing Corporation of India Ltd.</t>
        </is>
      </c>
      <c r="F100" t="n">
        <v>994.45</v>
      </c>
      <c r="G100" t="n">
        <v>1.64</v>
      </c>
    </row>
    <row r="101">
      <c r="B101" t="inlineStr">
        <is>
          <t>Sub Total</t>
        </is>
      </c>
      <c r="F101" t="n">
        <v>994.45</v>
      </c>
      <c r="G101" t="n">
        <v>1.64</v>
      </c>
    </row>
    <row r="102"/>
    <row r="103">
      <c r="B103" t="inlineStr">
        <is>
          <t>TOTAL</t>
        </is>
      </c>
      <c r="F103" t="n">
        <v>994.45</v>
      </c>
      <c r="G103" t="n">
        <v>1.64</v>
      </c>
    </row>
    <row r="104"/>
    <row r="105">
      <c r="B105" t="inlineStr">
        <is>
          <t>Net Receivables / (Payables)</t>
        </is>
      </c>
      <c r="F105" t="n">
        <v>-74.22</v>
      </c>
      <c r="G105" t="n">
        <v>-0.1400000000000006</v>
      </c>
    </row>
    <row r="106"/>
    <row r="107">
      <c r="B107" t="inlineStr">
        <is>
          <t>GRAND TOTAL</t>
        </is>
      </c>
      <c r="F107" t="n">
        <v>60489.48</v>
      </c>
      <c r="G107" t="n">
        <v>100</v>
      </c>
    </row>
    <row r="108"/>
    <row r="109">
      <c r="B109" t="inlineStr">
        <is>
          <t>#  Unlisted Security</t>
        </is>
      </c>
    </row>
    <row r="110">
      <c r="B110" t="inlineStr">
        <is>
          <t>** Non Traded Security</t>
        </is>
      </c>
    </row>
    <row r="111"/>
    <row r="112"/>
    <row r="113"/>
    <row r="114"/>
    <row r="115"/>
    <row r="116">
      <c r="B116" t="inlineStr">
        <is>
          <t>Notes:</t>
        </is>
      </c>
    </row>
    <row r="117">
      <c r="B117" t="inlineStr">
        <is>
          <t>1. Plan / Option-wise Net Asset Value per unit are as below :   (Face Value per unit = Rs. 10)</t>
        </is>
      </c>
    </row>
    <row r="118">
      <c r="B118" t="inlineStr">
        <is>
          <t xml:space="preserve">Plan / Option </t>
        </is>
      </c>
      <c r="C118" s="1" t="n">
        <v>45961</v>
      </c>
      <c r="D118" s="1" t="n">
        <v>45989</v>
      </c>
    </row>
    <row r="119">
      <c r="B119" t="inlineStr">
        <is>
          <t>Direct Plan</t>
        </is>
      </c>
      <c r="C119" t="inlineStr">
        <is>
          <t>(INR)</t>
        </is>
      </c>
      <c r="D119" t="inlineStr">
        <is>
          <t>(INR)</t>
        </is>
      </c>
    </row>
    <row r="120">
      <c r="B120" t="inlineStr">
        <is>
          <t>Growth</t>
        </is>
      </c>
      <c r="C120" t="n">
        <v>414.9</v>
      </c>
      <c r="D120" t="n">
        <v>421.57</v>
      </c>
    </row>
    <row r="121">
      <c r="B121" t="inlineStr">
        <is>
          <t>IDCW (earlier called Dividend)</t>
        </is>
      </c>
      <c r="C121" t="n">
        <v>29.15</v>
      </c>
      <c r="D121" t="n">
        <v>29.62</v>
      </c>
    </row>
    <row r="122">
      <c r="B122" t="inlineStr">
        <is>
          <t>Regular Plan</t>
        </is>
      </c>
    </row>
    <row r="123">
      <c r="B123" t="inlineStr">
        <is>
          <t>Growth</t>
        </is>
      </c>
      <c r="C123" t="n">
        <v>348.19</v>
      </c>
      <c r="D123" t="n">
        <v>353.37</v>
      </c>
    </row>
    <row r="124">
      <c r="B124" t="inlineStr">
        <is>
          <t>IDCW (earlier called Dividend)</t>
        </is>
      </c>
      <c r="C124" t="n">
        <v>20.32</v>
      </c>
      <c r="D124" t="n">
        <v>20.62</v>
      </c>
    </row>
    <row r="125"/>
    <row r="126">
      <c r="B126" t="inlineStr">
        <is>
          <t>2.   Exposure to derivative instruments in the scheme at the end of the month</t>
        </is>
      </c>
      <c r="D126" t="inlineStr">
        <is>
          <t>NIL</t>
        </is>
      </c>
    </row>
    <row r="127"/>
    <row r="128">
      <c r="B128" t="inlineStr">
        <is>
          <t>3.  Derivatives Transactions in the scheme for the month</t>
        </is>
      </c>
      <c r="D128" t="inlineStr">
        <is>
          <t>NIL</t>
        </is>
      </c>
    </row>
    <row r="129"/>
    <row r="130">
      <c r="B130" t="inlineStr">
        <is>
          <t>4.   Investment in foreign securities/ADRs/GDRs at the end of the month (INR Lacs)</t>
        </is>
      </c>
      <c r="D130" t="inlineStr">
        <is>
          <t>NIL</t>
        </is>
      </c>
    </row>
    <row r="131"/>
    <row r="132">
      <c r="B132" t="inlineStr">
        <is>
          <t>5.   Investment in short term deposits at the end of the month (INR Lacs)</t>
        </is>
      </c>
      <c r="D132" t="inlineStr">
        <is>
          <t>NIL</t>
        </is>
      </c>
    </row>
    <row r="133"/>
    <row r="134">
      <c r="B134" t="inlineStr">
        <is>
          <t>6. Portfolio Turnover Ratio</t>
        </is>
      </c>
      <c r="D134" t="n">
        <v>0.22</v>
      </c>
    </row>
    <row r="135"/>
    <row r="136">
      <c r="B136" t="inlineStr">
        <is>
          <t>7.   Aggregate IDCW (earlier called Dividend) declared during the month</t>
        </is>
      </c>
      <c r="D136" t="inlineStr">
        <is>
          <t>NIL</t>
        </is>
      </c>
    </row>
    <row r="137"/>
    <row r="138">
      <c r="B138" t="inlineStr">
        <is>
          <t>8.   (a) Total Exposure to illiquid securities in the portfolio (INR Lacs)</t>
        </is>
      </c>
      <c r="D138" t="inlineStr">
        <is>
          <t>NIL</t>
        </is>
      </c>
    </row>
    <row r="139">
      <c r="B139" t="inlineStr">
        <is>
          <t xml:space="preserve">     (b) Total Exposure to illiquid securities in the portfolio (% of AUM)</t>
        </is>
      </c>
      <c r="D139" t="inlineStr">
        <is>
          <t>NIL</t>
        </is>
      </c>
    </row>
    <row r="140"/>
    <row r="141">
      <c r="B141" t="inlineStr">
        <is>
          <t>9.   Instances of Fair valuation of securities or Deviation in valuation from what is  provided by valuation agencies</t>
        </is>
      </c>
      <c r="D141" t="inlineStr">
        <is>
          <t>NIL</t>
        </is>
      </c>
    </row>
    <row r="142"/>
    <row r="143">
      <c r="B143" t="inlineStr">
        <is>
          <t>10. Securities in default beyond its maturity date in the portfolio of the scheme</t>
        </is>
      </c>
      <c r="D143" t="inlineStr">
        <is>
          <t>NIL</t>
        </is>
      </c>
    </row>
    <row r="144">
      <c r="B144" t="inlineStr">
        <is>
          <t xml:space="preserve">11. For Performance of the scheme refer - </t>
        </is>
      </c>
      <c r="C144" t="inlineStr">
        <is>
          <t xml:space="preserve">PGIM India Large Cap Fund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4"/>
  <sheetViews>
    <sheetView workbookViewId="0">
      <selection activeCell="A1" sqref="A1"/>
    </sheetView>
  </sheetViews>
  <sheetFormatPr baseColWidth="8" defaultRowHeight="15"/>
  <sheetData>
    <row r="1">
      <c r="B1" t="inlineStr">
        <is>
          <t>PGIM INDIA LARGE AND MIDCAP FUND</t>
        </is>
      </c>
    </row>
    <row r="2">
      <c r="B2" t="inlineStr">
        <is>
          <t>(An Open Ended Equity Scheme Investing In Both Large Cap &amp; Mid Cap Stocks)</t>
        </is>
      </c>
    </row>
    <row r="3">
      <c r="B3" t="inlineStr">
        <is>
          <t xml:space="preserve">Riskometer of the Scheme </t>
        </is>
      </c>
      <c r="E3" t="inlineStr">
        <is>
          <t xml:space="preserve">Riskometer of the Benchmark (NIFTY LargeMidcap 250 Index TRI) </t>
        </is>
      </c>
    </row>
    <row r="4"/>
    <row r="5"/>
    <row r="6"/>
    <row r="7"/>
    <row r="8"/>
    <row r="9"/>
    <row r="10">
      <c r="B10" t="inlineStr">
        <is>
          <t>Investors understand that their 
principal will be at very high risk</t>
        </is>
      </c>
      <c r="E10" t="inlineStr">
        <is>
          <t>Benchmark riskometer is at very high risk</t>
        </is>
      </c>
    </row>
    <row r="11">
      <c r="B11" t="inlineStr">
        <is>
          <t>Portfolio Statement as on November 30,2025</t>
        </is>
      </c>
    </row>
    <row r="12">
      <c r="B12" t="inlineStr">
        <is>
          <t>Name of  Instrument</t>
        </is>
      </c>
      <c r="C12" t="inlineStr">
        <is>
          <t>ISIN</t>
        </is>
      </c>
      <c r="D12" t="inlineStr">
        <is>
          <t>Industry/Rating</t>
        </is>
      </c>
      <c r="E12" t="inlineStr">
        <is>
          <t>Quantity</t>
        </is>
      </c>
      <c r="F12" t="inlineStr">
        <is>
          <t>Market/Fair Value  (INR Lacs)</t>
        </is>
      </c>
      <c r="G12" t="inlineStr">
        <is>
          <t>%  to Net Assets</t>
        </is>
      </c>
      <c r="H12" t="inlineStr">
        <is>
          <t xml:space="preserve">% Yield </t>
        </is>
      </c>
    </row>
    <row r="13">
      <c r="B13" t="inlineStr">
        <is>
          <t>Equity &amp; Equity related</t>
        </is>
      </c>
    </row>
    <row r="14"/>
    <row r="15">
      <c r="B15" t="inlineStr">
        <is>
          <t>(a)Listed / Awaiting listing on Stock Exchanges</t>
        </is>
      </c>
    </row>
    <row r="16">
      <c r="B16" t="inlineStr">
        <is>
          <t>ICICI Bank Ltd.</t>
        </is>
      </c>
      <c r="C16" t="inlineStr">
        <is>
          <t>INE090A01021</t>
        </is>
      </c>
      <c r="D16" t="inlineStr">
        <is>
          <t>Banks</t>
        </is>
      </c>
      <c r="E16" t="n">
        <v>424403</v>
      </c>
      <c r="F16" t="n">
        <v>5894.11</v>
      </c>
      <c r="G16" t="n">
        <v>7.23</v>
      </c>
    </row>
    <row r="17">
      <c r="B17" t="inlineStr">
        <is>
          <t>HDFC Bank Ltd.</t>
        </is>
      </c>
      <c r="C17" t="inlineStr">
        <is>
          <t>INE040A01034</t>
        </is>
      </c>
      <c r="D17" t="inlineStr">
        <is>
          <t>Banks</t>
        </is>
      </c>
      <c r="E17" t="n">
        <v>539130</v>
      </c>
      <c r="F17" t="n">
        <v>5432.27</v>
      </c>
      <c r="G17" t="n">
        <v>6.66</v>
      </c>
    </row>
    <row r="18">
      <c r="B18" t="inlineStr">
        <is>
          <t>Reliance Industries Ltd.</t>
        </is>
      </c>
      <c r="C18" t="inlineStr">
        <is>
          <t>INE002A01018</t>
        </is>
      </c>
      <c r="D18" t="inlineStr">
        <is>
          <t>Petroleum Products</t>
        </is>
      </c>
      <c r="E18" t="n">
        <v>276458</v>
      </c>
      <c r="F18" t="n">
        <v>4333.48</v>
      </c>
      <c r="G18" t="n">
        <v>5.32</v>
      </c>
    </row>
    <row r="19">
      <c r="B19" t="inlineStr">
        <is>
          <t>Eternal Ltd.</t>
        </is>
      </c>
      <c r="C19" t="inlineStr">
        <is>
          <t>INE758T01015</t>
        </is>
      </c>
      <c r="D19" t="inlineStr">
        <is>
          <t>Retailing</t>
        </is>
      </c>
      <c r="E19" t="n">
        <v>917264</v>
      </c>
      <c r="F19" t="n">
        <v>2752.71</v>
      </c>
      <c r="G19" t="n">
        <v>3.38</v>
      </c>
    </row>
    <row r="20">
      <c r="B20" t="inlineStr">
        <is>
          <t>Tata Consultancy Services Ltd.</t>
        </is>
      </c>
      <c r="C20" t="inlineStr">
        <is>
          <t>INE467B01029</t>
        </is>
      </c>
      <c r="D20" t="inlineStr">
        <is>
          <t>IT - Software</t>
        </is>
      </c>
      <c r="E20" t="n">
        <v>76610</v>
      </c>
      <c r="F20" t="n">
        <v>2403.64</v>
      </c>
      <c r="G20" t="n">
        <v>2.95</v>
      </c>
    </row>
    <row r="21">
      <c r="B21" t="inlineStr">
        <is>
          <t>Bharti Airtel Ltd.</t>
        </is>
      </c>
      <c r="C21" t="inlineStr">
        <is>
          <t>INE397D01024</t>
        </is>
      </c>
      <c r="D21" t="inlineStr">
        <is>
          <t>Telecom - Services</t>
        </is>
      </c>
      <c r="E21" t="n">
        <v>113763</v>
      </c>
      <c r="F21" t="n">
        <v>2390.84</v>
      </c>
      <c r="G21" t="n">
        <v>2.93</v>
      </c>
    </row>
    <row r="22">
      <c r="B22" t="inlineStr">
        <is>
          <t>Solar Industries India Ltd.</t>
        </is>
      </c>
      <c r="C22" t="inlineStr">
        <is>
          <t>INE343H01029</t>
        </is>
      </c>
      <c r="D22" t="inlineStr">
        <is>
          <t>Chemicals &amp; Petrochemicals</t>
        </is>
      </c>
      <c r="E22" t="n">
        <v>17786</v>
      </c>
      <c r="F22" t="n">
        <v>2360.56</v>
      </c>
      <c r="G22" t="n">
        <v>2.9</v>
      </c>
    </row>
    <row r="23">
      <c r="B23" t="inlineStr">
        <is>
          <t>Muthoot Finance Ltd.</t>
        </is>
      </c>
      <c r="C23" t="inlineStr">
        <is>
          <t>INE414G01012</t>
        </is>
      </c>
      <c r="D23" t="inlineStr">
        <is>
          <t>Finance</t>
        </is>
      </c>
      <c r="E23" t="n">
        <v>57730</v>
      </c>
      <c r="F23" t="n">
        <v>2161.53</v>
      </c>
      <c r="G23" t="n">
        <v>2.65</v>
      </c>
    </row>
    <row r="24">
      <c r="B24" t="inlineStr">
        <is>
          <t>Bajaj Finance Ltd.</t>
        </is>
      </c>
      <c r="C24" t="inlineStr">
        <is>
          <t>INE296A01032</t>
        </is>
      </c>
      <c r="D24" t="inlineStr">
        <is>
          <t>Finance</t>
        </is>
      </c>
      <c r="E24" t="n">
        <v>174680</v>
      </c>
      <c r="F24" t="n">
        <v>1812.31</v>
      </c>
      <c r="G24" t="n">
        <v>2.22</v>
      </c>
    </row>
    <row r="25">
      <c r="B25" t="inlineStr">
        <is>
          <t>Mankind Pharma Ltd.</t>
        </is>
      </c>
      <c r="C25" t="inlineStr">
        <is>
          <t>INE634S01028</t>
        </is>
      </c>
      <c r="D25" t="inlineStr">
        <is>
          <t>Pharmaceuticals &amp; Biotechnology</t>
        </is>
      </c>
      <c r="E25" t="n">
        <v>65470</v>
      </c>
      <c r="F25" t="n">
        <v>1473.73</v>
      </c>
      <c r="G25" t="n">
        <v>1.81</v>
      </c>
    </row>
    <row r="26">
      <c r="B26" t="inlineStr">
        <is>
          <t>JK Cement Ltd.</t>
        </is>
      </c>
      <c r="C26" t="inlineStr">
        <is>
          <t>INE823G01014</t>
        </is>
      </c>
      <c r="D26" t="inlineStr">
        <is>
          <t>Cement &amp; Cement Products</t>
        </is>
      </c>
      <c r="E26" t="n">
        <v>25413</v>
      </c>
      <c r="F26" t="n">
        <v>1463.28</v>
      </c>
      <c r="G26" t="n">
        <v>1.8</v>
      </c>
    </row>
    <row r="27">
      <c r="B27" t="inlineStr">
        <is>
          <t>VARUN BEVERAGES LIMITED</t>
        </is>
      </c>
      <c r="C27" t="inlineStr">
        <is>
          <t>INE200M01039</t>
        </is>
      </c>
      <c r="D27" t="inlineStr">
        <is>
          <t>Beverages</t>
        </is>
      </c>
      <c r="E27" t="n">
        <v>302895</v>
      </c>
      <c r="F27" t="n">
        <v>1458.59</v>
      </c>
      <c r="G27" t="n">
        <v>1.79</v>
      </c>
    </row>
    <row r="28">
      <c r="B28" t="inlineStr">
        <is>
          <t>InterGlobe Aviation Ltd.</t>
        </is>
      </c>
      <c r="C28" t="inlineStr">
        <is>
          <t>INE646L01027</t>
        </is>
      </c>
      <c r="D28" t="inlineStr">
        <is>
          <t>Transport Services</t>
        </is>
      </c>
      <c r="E28" t="n">
        <v>24505</v>
      </c>
      <c r="F28" t="n">
        <v>1446.16</v>
      </c>
      <c r="G28" t="n">
        <v>1.77</v>
      </c>
    </row>
    <row r="29">
      <c r="B29" t="inlineStr">
        <is>
          <t>FSN E-Commerce Ventures Ltd.</t>
        </is>
      </c>
      <c r="C29" t="inlineStr">
        <is>
          <t>INE388Y01029</t>
        </is>
      </c>
      <c r="D29" t="inlineStr">
        <is>
          <t>Retailing</t>
        </is>
      </c>
      <c r="E29" t="n">
        <v>539952</v>
      </c>
      <c r="F29" t="n">
        <v>1443.35</v>
      </c>
      <c r="G29" t="n">
        <v>1.77</v>
      </c>
    </row>
    <row r="30">
      <c r="B30" t="inlineStr">
        <is>
          <t>Bharti Hexacom Ltd.</t>
        </is>
      </c>
      <c r="C30" t="inlineStr">
        <is>
          <t>INE343G01021</t>
        </is>
      </c>
      <c r="D30" t="inlineStr">
        <is>
          <t>Telecom - Services</t>
        </is>
      </c>
      <c r="E30" t="n">
        <v>81310</v>
      </c>
      <c r="F30" t="n">
        <v>1437.8</v>
      </c>
      <c r="G30" t="n">
        <v>1.76</v>
      </c>
    </row>
    <row r="31">
      <c r="B31" t="inlineStr">
        <is>
          <t>ICICI Lombard General Insurance Co. Ltd.</t>
        </is>
      </c>
      <c r="C31" t="inlineStr">
        <is>
          <t>INE765G01017</t>
        </is>
      </c>
      <c r="D31" t="inlineStr">
        <is>
          <t>Insurance</t>
        </is>
      </c>
      <c r="E31" t="n">
        <v>71795</v>
      </c>
      <c r="F31" t="n">
        <v>1414.72</v>
      </c>
      <c r="G31" t="n">
        <v>1.74</v>
      </c>
    </row>
    <row r="32">
      <c r="B32" t="inlineStr">
        <is>
          <t>SRF Ltd.</t>
        </is>
      </c>
      <c r="C32" t="inlineStr">
        <is>
          <t>INE647A01010</t>
        </is>
      </c>
      <c r="D32" t="inlineStr">
        <is>
          <t>Chemicals &amp; Petrochemicals</t>
        </is>
      </c>
      <c r="E32" t="n">
        <v>47106</v>
      </c>
      <c r="F32" t="n">
        <v>1378.93</v>
      </c>
      <c r="G32" t="n">
        <v>1.69</v>
      </c>
    </row>
    <row r="33">
      <c r="B33" t="inlineStr">
        <is>
          <t>Max Healthcare Institute Ltd.</t>
        </is>
      </c>
      <c r="C33" t="inlineStr">
        <is>
          <t>INE027H01010</t>
        </is>
      </c>
      <c r="D33" t="inlineStr">
        <is>
          <t>Healthcare Services</t>
        </is>
      </c>
      <c r="E33" t="n">
        <v>112398</v>
      </c>
      <c r="F33" t="n">
        <v>1306.96</v>
      </c>
      <c r="G33" t="n">
        <v>1.6</v>
      </c>
    </row>
    <row r="34">
      <c r="B34" t="inlineStr">
        <is>
          <t>Dixon Technologies (India) Ltd.</t>
        </is>
      </c>
      <c r="C34" t="inlineStr">
        <is>
          <t>INE935N01020</t>
        </is>
      </c>
      <c r="D34" t="inlineStr">
        <is>
          <t>Consumer Durables</t>
        </is>
      </c>
      <c r="E34" t="n">
        <v>8925</v>
      </c>
      <c r="F34" t="n">
        <v>1303.14</v>
      </c>
      <c r="G34" t="n">
        <v>1.6</v>
      </c>
    </row>
    <row r="35">
      <c r="B35" t="inlineStr">
        <is>
          <t>UNO Minda Ltd.</t>
        </is>
      </c>
      <c r="C35" t="inlineStr">
        <is>
          <t>INE405E01023</t>
        </is>
      </c>
      <c r="D35" t="inlineStr">
        <is>
          <t>Auto Components</t>
        </is>
      </c>
      <c r="E35" t="n">
        <v>99713</v>
      </c>
      <c r="F35" t="n">
        <v>1303.05</v>
      </c>
      <c r="G35" t="n">
        <v>1.6</v>
      </c>
    </row>
    <row r="36">
      <c r="B36" t="inlineStr">
        <is>
          <t>Coromandel International Ltd.</t>
        </is>
      </c>
      <c r="C36" t="inlineStr">
        <is>
          <t>INE169A01031</t>
        </is>
      </c>
      <c r="D36" t="inlineStr">
        <is>
          <t>Fertilizers &amp; Agrochemicals</t>
        </is>
      </c>
      <c r="E36" t="n">
        <v>54577</v>
      </c>
      <c r="F36" t="n">
        <v>1300.08</v>
      </c>
      <c r="G36" t="n">
        <v>1.59</v>
      </c>
    </row>
    <row r="37">
      <c r="B37" t="inlineStr">
        <is>
          <t>PB Fintech Ltd.</t>
        </is>
      </c>
      <c r="C37" t="inlineStr">
        <is>
          <t>INE417T01026</t>
        </is>
      </c>
      <c r="D37" t="inlineStr">
        <is>
          <t>Financial Technology (Fintech)</t>
        </is>
      </c>
      <c r="E37" t="n">
        <v>69326</v>
      </c>
      <c r="F37" t="n">
        <v>1260.97</v>
      </c>
      <c r="G37" t="n">
        <v>1.55</v>
      </c>
    </row>
    <row r="38">
      <c r="B38" t="inlineStr">
        <is>
          <t>Maruti Suzuki India Ltd.</t>
        </is>
      </c>
      <c r="C38" t="inlineStr">
        <is>
          <t>INE585B01010</t>
        </is>
      </c>
      <c r="D38" t="inlineStr">
        <is>
          <t>Automobiles</t>
        </is>
      </c>
      <c r="E38" t="n">
        <v>7725</v>
      </c>
      <c r="F38" t="n">
        <v>1228.28</v>
      </c>
      <c r="G38" t="n">
        <v>1.51</v>
      </c>
    </row>
    <row r="39">
      <c r="B39" t="inlineStr">
        <is>
          <t>Larsen &amp; Toubro Ltd.</t>
        </is>
      </c>
      <c r="C39" t="inlineStr">
        <is>
          <t>INE018A01030</t>
        </is>
      </c>
      <c r="D39" t="inlineStr">
        <is>
          <t>Construction</t>
        </is>
      </c>
      <c r="E39" t="n">
        <v>30133</v>
      </c>
      <c r="F39" t="n">
        <v>1226.29</v>
      </c>
      <c r="G39" t="n">
        <v>1.5</v>
      </c>
    </row>
    <row r="40">
      <c r="B40" t="inlineStr">
        <is>
          <t>Nestle India Ltd.</t>
        </is>
      </c>
      <c r="C40" t="inlineStr">
        <is>
          <t>INE239A01024</t>
        </is>
      </c>
      <c r="D40" t="inlineStr">
        <is>
          <t>Food Products</t>
        </is>
      </c>
      <c r="E40" t="n">
        <v>93402</v>
      </c>
      <c r="F40" t="n">
        <v>1177.89</v>
      </c>
      <c r="G40" t="n">
        <v>1.45</v>
      </c>
    </row>
    <row r="41">
      <c r="B41" t="inlineStr">
        <is>
          <t>Divi's Laboratories Ltd.</t>
        </is>
      </c>
      <c r="C41" t="inlineStr">
        <is>
          <t>INE361B01024</t>
        </is>
      </c>
      <c r="D41" t="inlineStr">
        <is>
          <t>Pharmaceuticals &amp; Biotechnology</t>
        </is>
      </c>
      <c r="E41" t="n">
        <v>17640</v>
      </c>
      <c r="F41" t="n">
        <v>1142.54</v>
      </c>
      <c r="G41" t="n">
        <v>1.4</v>
      </c>
    </row>
    <row r="42">
      <c r="B42" t="inlineStr">
        <is>
          <t>Info Edge (India) Ltd.</t>
        </is>
      </c>
      <c r="C42" t="inlineStr">
        <is>
          <t>INE663F01032</t>
        </is>
      </c>
      <c r="D42" t="inlineStr">
        <is>
          <t>Retailing</t>
        </is>
      </c>
      <c r="E42" t="n">
        <v>82774</v>
      </c>
      <c r="F42" t="n">
        <v>1101.06</v>
      </c>
      <c r="G42" t="n">
        <v>1.35</v>
      </c>
    </row>
    <row r="43">
      <c r="B43" t="inlineStr">
        <is>
          <t>Bharat Electronics Ltd.</t>
        </is>
      </c>
      <c r="C43" t="inlineStr">
        <is>
          <t>INE263A01024</t>
        </is>
      </c>
      <c r="D43" t="inlineStr">
        <is>
          <t>Aerospace &amp; Defense</t>
        </is>
      </c>
      <c r="E43" t="n">
        <v>257207</v>
      </c>
      <c r="F43" t="n">
        <v>1059.05</v>
      </c>
      <c r="G43" t="n">
        <v>1.3</v>
      </c>
    </row>
    <row r="44">
      <c r="B44" t="inlineStr">
        <is>
          <t>SBI Life Insurance Company Ltd.</t>
        </is>
      </c>
      <c r="C44" t="inlineStr">
        <is>
          <t>INE123W01016</t>
        </is>
      </c>
      <c r="D44" t="inlineStr">
        <is>
          <t>Insurance</t>
        </is>
      </c>
      <c r="E44" t="n">
        <v>52695</v>
      </c>
      <c r="F44" t="n">
        <v>1035.98</v>
      </c>
      <c r="G44" t="n">
        <v>1.27</v>
      </c>
    </row>
    <row r="45">
      <c r="B45" t="inlineStr">
        <is>
          <t>Rubicon Research Ltd.</t>
        </is>
      </c>
      <c r="C45" t="inlineStr">
        <is>
          <t>INE506V01022</t>
        </is>
      </c>
      <c r="D45" t="inlineStr">
        <is>
          <t>Pharmaceuticals &amp; Biotechnology</t>
        </is>
      </c>
      <c r="E45" t="n">
        <v>156660</v>
      </c>
      <c r="F45" t="n">
        <v>1027.45</v>
      </c>
      <c r="G45" t="n">
        <v>1.26</v>
      </c>
    </row>
    <row r="46">
      <c r="B46" t="inlineStr">
        <is>
          <t>Vishal Mega Mart Ltd</t>
        </is>
      </c>
      <c r="C46" t="inlineStr">
        <is>
          <t>INE01EA01019</t>
        </is>
      </c>
      <c r="D46" t="inlineStr">
        <is>
          <t>Retailing</t>
        </is>
      </c>
      <c r="E46" t="n">
        <v>730577</v>
      </c>
      <c r="F46" t="n">
        <v>992.12</v>
      </c>
      <c r="G46" t="n">
        <v>1.22</v>
      </c>
    </row>
    <row r="47">
      <c r="B47" t="inlineStr">
        <is>
          <t>Prestige Estates Projects Ltd.</t>
        </is>
      </c>
      <c r="C47" t="inlineStr">
        <is>
          <t>INE811K01011</t>
        </is>
      </c>
      <c r="D47" t="inlineStr">
        <is>
          <t>Realty</t>
        </is>
      </c>
      <c r="E47" t="n">
        <v>58032</v>
      </c>
      <c r="F47" t="n">
        <v>973.37</v>
      </c>
      <c r="G47" t="n">
        <v>1.19</v>
      </c>
    </row>
    <row r="48">
      <c r="B48" t="inlineStr">
        <is>
          <t>Global Health Ltd.</t>
        </is>
      </c>
      <c r="C48" t="inlineStr">
        <is>
          <t>INE474Q01031</t>
        </is>
      </c>
      <c r="D48" t="inlineStr">
        <is>
          <t>Healthcare Services</t>
        </is>
      </c>
      <c r="E48" t="n">
        <v>75956</v>
      </c>
      <c r="F48" t="n">
        <v>946.41</v>
      </c>
      <c r="G48" t="n">
        <v>1.16</v>
      </c>
    </row>
    <row r="49">
      <c r="B49" t="inlineStr">
        <is>
          <t>Supreme Industries Ltd.</t>
        </is>
      </c>
      <c r="C49" t="inlineStr">
        <is>
          <t>INE195A01028</t>
        </is>
      </c>
      <c r="D49" t="inlineStr">
        <is>
          <t>Industrial Products</t>
        </is>
      </c>
      <c r="E49" t="n">
        <v>27778</v>
      </c>
      <c r="F49" t="n">
        <v>942.12</v>
      </c>
      <c r="G49" t="n">
        <v>1.16</v>
      </c>
    </row>
    <row r="50">
      <c r="B50" t="inlineStr">
        <is>
          <t>JSW Infrastructure Ltd.</t>
        </is>
      </c>
      <c r="C50" t="inlineStr">
        <is>
          <t>INE880J01026</t>
        </is>
      </c>
      <c r="D50" t="inlineStr">
        <is>
          <t>Transport Infrastructure</t>
        </is>
      </c>
      <c r="E50" t="n">
        <v>341254</v>
      </c>
      <c r="F50" t="n">
        <v>922.58</v>
      </c>
      <c r="G50" t="n">
        <v>1.13</v>
      </c>
    </row>
    <row r="51">
      <c r="B51" t="inlineStr">
        <is>
          <t>Blue Star Ltd.</t>
        </is>
      </c>
      <c r="C51" t="inlineStr">
        <is>
          <t>INE472A01039</t>
        </is>
      </c>
      <c r="D51" t="inlineStr">
        <is>
          <t>Consumer Durables</t>
        </is>
      </c>
      <c r="E51" t="n">
        <v>48550</v>
      </c>
      <c r="F51" t="n">
        <v>857.1</v>
      </c>
      <c r="G51" t="n">
        <v>1.05</v>
      </c>
    </row>
    <row r="52">
      <c r="B52" t="inlineStr">
        <is>
          <t>Ajanta Pharma Ltd.</t>
        </is>
      </c>
      <c r="C52" t="inlineStr">
        <is>
          <t>INE031B01049</t>
        </is>
      </c>
      <c r="D52" t="inlineStr">
        <is>
          <t>Pharmaceuticals &amp; Biotechnology</t>
        </is>
      </c>
      <c r="E52" t="n">
        <v>33012</v>
      </c>
      <c r="F52" t="n">
        <v>845.37</v>
      </c>
      <c r="G52" t="n">
        <v>1.04</v>
      </c>
    </row>
    <row r="53">
      <c r="B53" t="inlineStr">
        <is>
          <t>CG Power and Industrial Solutions Ltd.</t>
        </is>
      </c>
      <c r="C53" t="inlineStr">
        <is>
          <t>INE067A01029</t>
        </is>
      </c>
      <c r="D53" t="inlineStr">
        <is>
          <t>Electrical Equipment</t>
        </is>
      </c>
      <c r="E53" t="n">
        <v>123974</v>
      </c>
      <c r="F53" t="n">
        <v>834.22</v>
      </c>
      <c r="G53" t="n">
        <v>1.02</v>
      </c>
    </row>
    <row r="54">
      <c r="B54" t="inlineStr">
        <is>
          <t>LG Electronics India Ltd.</t>
        </is>
      </c>
      <c r="C54" t="inlineStr">
        <is>
          <t>INE324D01010</t>
        </is>
      </c>
      <c r="D54" t="inlineStr">
        <is>
          <t>Consumer Durables</t>
        </is>
      </c>
      <c r="E54" t="n">
        <v>50029</v>
      </c>
      <c r="F54" t="n">
        <v>830.13</v>
      </c>
      <c r="G54" t="n">
        <v>1.02</v>
      </c>
    </row>
    <row r="55">
      <c r="B55" t="inlineStr">
        <is>
          <t>Multi Commodity Exchange Of India Ltd.</t>
        </is>
      </c>
      <c r="C55" t="inlineStr">
        <is>
          <t>INE745G01035</t>
        </is>
      </c>
      <c r="D55" t="inlineStr">
        <is>
          <t>Capital Markets</t>
        </is>
      </c>
      <c r="E55" t="n">
        <v>7881</v>
      </c>
      <c r="F55" t="n">
        <v>793.89</v>
      </c>
      <c r="G55" t="n">
        <v>0.97</v>
      </c>
    </row>
    <row r="56">
      <c r="B56" t="inlineStr">
        <is>
          <t>HDFC Asset Management Company Ltd.</t>
        </is>
      </c>
      <c r="C56" t="inlineStr">
        <is>
          <t>INE127D01025</t>
        </is>
      </c>
      <c r="D56" t="inlineStr">
        <is>
          <t>Capital Markets</t>
        </is>
      </c>
      <c r="E56" t="n">
        <v>29090</v>
      </c>
      <c r="F56" t="n">
        <v>777.58</v>
      </c>
      <c r="G56" t="n">
        <v>0.95</v>
      </c>
    </row>
    <row r="57">
      <c r="B57" t="inlineStr">
        <is>
          <t>Anthem Biosciences Ltd.</t>
        </is>
      </c>
      <c r="C57" t="inlineStr">
        <is>
          <t>INE0CZ201020</t>
        </is>
      </c>
      <c r="D57" t="inlineStr">
        <is>
          <t>Pharmaceuticals &amp; Biotechnology</t>
        </is>
      </c>
      <c r="E57" t="n">
        <v>114823</v>
      </c>
      <c r="F57" t="n">
        <v>728.78</v>
      </c>
      <c r="G57" t="n">
        <v>0.89</v>
      </c>
    </row>
    <row r="58">
      <c r="B58" t="inlineStr">
        <is>
          <t>TVS Motor Company Ltd.</t>
        </is>
      </c>
      <c r="C58" t="inlineStr">
        <is>
          <t>INE494B01023</t>
        </is>
      </c>
      <c r="D58" t="inlineStr">
        <is>
          <t>Automobiles</t>
        </is>
      </c>
      <c r="E58" t="n">
        <v>20606</v>
      </c>
      <c r="F58" t="n">
        <v>727.7</v>
      </c>
      <c r="G58" t="n">
        <v>0.89</v>
      </c>
    </row>
    <row r="59">
      <c r="B59" t="inlineStr">
        <is>
          <t>Tube Investments Of India Ltd.</t>
        </is>
      </c>
      <c r="C59" t="inlineStr">
        <is>
          <t>INE974X01010</t>
        </is>
      </c>
      <c r="D59" t="inlineStr">
        <is>
          <t>Auto Components</t>
        </is>
      </c>
      <c r="E59" t="n">
        <v>25969</v>
      </c>
      <c r="F59" t="n">
        <v>723.08</v>
      </c>
      <c r="G59" t="n">
        <v>0.89</v>
      </c>
    </row>
    <row r="60">
      <c r="B60" t="inlineStr">
        <is>
          <t>Pidilite Industries Ltd.</t>
        </is>
      </c>
      <c r="C60" t="inlineStr">
        <is>
          <t>INE318A01026</t>
        </is>
      </c>
      <c r="D60" t="inlineStr">
        <is>
          <t>Chemicals &amp; Petrochemicals</t>
        </is>
      </c>
      <c r="E60" t="n">
        <v>45548</v>
      </c>
      <c r="F60" t="n">
        <v>669.46</v>
      </c>
      <c r="G60" t="n">
        <v>0.82</v>
      </c>
    </row>
    <row r="61">
      <c r="B61" t="inlineStr">
        <is>
          <t>NTPC Ltd.</t>
        </is>
      </c>
      <c r="C61" t="inlineStr">
        <is>
          <t>INE733E01010</t>
        </is>
      </c>
      <c r="D61" t="inlineStr">
        <is>
          <t>Power</t>
        </is>
      </c>
      <c r="E61" t="n">
        <v>201799</v>
      </c>
      <c r="F61" t="n">
        <v>658.77</v>
      </c>
      <c r="G61" t="n">
        <v>0.8100000000000001</v>
      </c>
    </row>
    <row r="62">
      <c r="B62" t="inlineStr">
        <is>
          <t>Physicswallah Ltd.</t>
        </is>
      </c>
      <c r="C62" t="inlineStr">
        <is>
          <t>INE0LP301011</t>
        </is>
      </c>
      <c r="D62" t="inlineStr">
        <is>
          <t>Other Consumer Services</t>
        </is>
      </c>
      <c r="E62" t="n">
        <v>522655</v>
      </c>
      <c r="F62" t="n">
        <v>652.74</v>
      </c>
      <c r="G62" t="n">
        <v>0.8</v>
      </c>
    </row>
    <row r="63">
      <c r="B63" t="inlineStr">
        <is>
          <t>Hexaware Technologies Ltd.</t>
        </is>
      </c>
      <c r="C63" t="inlineStr">
        <is>
          <t>INE093A01041</t>
        </is>
      </c>
      <c r="D63" t="inlineStr">
        <is>
          <t>IT - Software</t>
        </is>
      </c>
      <c r="E63" t="n">
        <v>85713</v>
      </c>
      <c r="F63" t="n">
        <v>648.63</v>
      </c>
      <c r="G63" t="n">
        <v>0.8</v>
      </c>
    </row>
    <row r="64">
      <c r="B64" t="inlineStr">
        <is>
          <t>360 One Wam Ltd.</t>
        </is>
      </c>
      <c r="C64" t="inlineStr">
        <is>
          <t>INE466L01038</t>
        </is>
      </c>
      <c r="D64" t="inlineStr">
        <is>
          <t>Capital Markets</t>
        </is>
      </c>
      <c r="E64" t="n">
        <v>50338</v>
      </c>
      <c r="F64" t="n">
        <v>595.6</v>
      </c>
      <c r="G64" t="n">
        <v>0.73</v>
      </c>
    </row>
    <row r="65">
      <c r="B65" t="inlineStr">
        <is>
          <t>Container Corporation Of India Ltd.</t>
        </is>
      </c>
      <c r="C65" t="inlineStr">
        <is>
          <t>INE111A01025</t>
        </is>
      </c>
      <c r="D65" t="inlineStr">
        <is>
          <t>Transport Services</t>
        </is>
      </c>
      <c r="E65" t="n">
        <v>107796</v>
      </c>
      <c r="F65" t="n">
        <v>551.11</v>
      </c>
      <c r="G65" t="n">
        <v>0.68</v>
      </c>
    </row>
    <row r="66">
      <c r="B66" t="inlineStr">
        <is>
          <t>Persistent Systems Ltd.</t>
        </is>
      </c>
      <c r="C66" t="inlineStr">
        <is>
          <t>INE262H01021</t>
        </is>
      </c>
      <c r="D66" t="inlineStr">
        <is>
          <t>IT - Software</t>
        </is>
      </c>
      <c r="E66" t="n">
        <v>8388</v>
      </c>
      <c r="F66" t="n">
        <v>532.89</v>
      </c>
      <c r="G66" t="n">
        <v>0.65</v>
      </c>
    </row>
    <row r="67">
      <c r="B67" t="inlineStr">
        <is>
          <t>Nippon Life India Asset Management Ltd.</t>
        </is>
      </c>
      <c r="C67" t="inlineStr">
        <is>
          <t>INE298J01013</t>
        </is>
      </c>
      <c r="D67" t="inlineStr">
        <is>
          <t>Capital Markets</t>
        </is>
      </c>
      <c r="E67" t="n">
        <v>59020</v>
      </c>
      <c r="F67" t="n">
        <v>516.78</v>
      </c>
      <c r="G67" t="n">
        <v>0.63</v>
      </c>
    </row>
    <row r="68">
      <c r="B68" t="inlineStr">
        <is>
          <t>Voltas Ltd.</t>
        </is>
      </c>
      <c r="C68" t="inlineStr">
        <is>
          <t>INE226A01021</t>
        </is>
      </c>
      <c r="D68" t="inlineStr">
        <is>
          <t>Consumer Durables</t>
        </is>
      </c>
      <c r="E68" t="n">
        <v>36742</v>
      </c>
      <c r="F68" t="n">
        <v>505.68</v>
      </c>
      <c r="G68" t="n">
        <v>0.62</v>
      </c>
    </row>
    <row r="69">
      <c r="B69" t="inlineStr">
        <is>
          <t>Sun Pharmaceutical Industries Ltd.</t>
        </is>
      </c>
      <c r="C69" t="inlineStr">
        <is>
          <t>INE044A01036</t>
        </is>
      </c>
      <c r="D69" t="inlineStr">
        <is>
          <t>Pharmaceuticals &amp; Biotechnology</t>
        </is>
      </c>
      <c r="E69" t="n">
        <v>27303</v>
      </c>
      <c r="F69" t="n">
        <v>500.08</v>
      </c>
      <c r="G69" t="n">
        <v>0.61</v>
      </c>
    </row>
    <row r="70">
      <c r="B70" t="inlineStr">
        <is>
          <t>Urban Company Ltd.</t>
        </is>
      </c>
      <c r="C70" t="inlineStr">
        <is>
          <t>INE0CAZ01013</t>
        </is>
      </c>
      <c r="D70" t="inlineStr">
        <is>
          <t>Retailing</t>
        </is>
      </c>
      <c r="E70" t="n">
        <v>363950</v>
      </c>
      <c r="F70" t="n">
        <v>491.44</v>
      </c>
      <c r="G70" t="n">
        <v>0.6</v>
      </c>
    </row>
    <row r="71">
      <c r="B71" t="inlineStr">
        <is>
          <t>Titan Company Ltd.</t>
        </is>
      </c>
      <c r="C71" t="inlineStr">
        <is>
          <t>INE280A01028</t>
        </is>
      </c>
      <c r="D71" t="inlineStr">
        <is>
          <t>Consumer Durables</t>
        </is>
      </c>
      <c r="E71" t="n">
        <v>12574</v>
      </c>
      <c r="F71" t="n">
        <v>491.35</v>
      </c>
      <c r="G71" t="n">
        <v>0.6</v>
      </c>
    </row>
    <row r="72">
      <c r="B72" t="inlineStr">
        <is>
          <t>JB Chemicals &amp; Pharmaceuticals Ltd.</t>
        </is>
      </c>
      <c r="C72" t="inlineStr">
        <is>
          <t>INE572A01036</t>
        </is>
      </c>
      <c r="D72" t="inlineStr">
        <is>
          <t>Pharmaceuticals &amp; Biotechnology</t>
        </is>
      </c>
      <c r="E72" t="n">
        <v>26991</v>
      </c>
      <c r="F72" t="n">
        <v>478.09</v>
      </c>
      <c r="G72" t="n">
        <v>0.59</v>
      </c>
    </row>
    <row r="73">
      <c r="B73" t="inlineStr">
        <is>
          <t>United Spirits Ltd.</t>
        </is>
      </c>
      <c r="C73" t="inlineStr">
        <is>
          <t>INE854D01024</t>
        </is>
      </c>
      <c r="D73" t="inlineStr">
        <is>
          <t>Beverages</t>
        </is>
      </c>
      <c r="E73" t="n">
        <v>30897</v>
      </c>
      <c r="F73" t="n">
        <v>448.5</v>
      </c>
      <c r="G73" t="n">
        <v>0.55</v>
      </c>
    </row>
    <row r="74">
      <c r="B74" t="inlineStr">
        <is>
          <t>The Phoenix Mills Ltd.</t>
        </is>
      </c>
      <c r="C74" t="inlineStr">
        <is>
          <t>INE211B01039</t>
        </is>
      </c>
      <c r="D74" t="inlineStr">
        <is>
          <t>Realty</t>
        </is>
      </c>
      <c r="E74" t="n">
        <v>25306</v>
      </c>
      <c r="F74" t="n">
        <v>439.51</v>
      </c>
      <c r="G74" t="n">
        <v>0.54</v>
      </c>
    </row>
    <row r="75">
      <c r="B75" t="inlineStr">
        <is>
          <t>KEI Industries Ltd.</t>
        </is>
      </c>
      <c r="C75" t="inlineStr">
        <is>
          <t>INE878B01027</t>
        </is>
      </c>
      <c r="D75" t="inlineStr">
        <is>
          <t>Industrial Products</t>
        </is>
      </c>
      <c r="E75" t="n">
        <v>10229</v>
      </c>
      <c r="F75" t="n">
        <v>424.05</v>
      </c>
      <c r="G75" t="n">
        <v>0.52</v>
      </c>
    </row>
    <row r="76">
      <c r="B76" t="inlineStr">
        <is>
          <t>Astral Ltd.</t>
        </is>
      </c>
      <c r="C76" t="inlineStr">
        <is>
          <t>INE006I01046</t>
        </is>
      </c>
      <c r="D76" t="inlineStr">
        <is>
          <t>Industrial Products</t>
        </is>
      </c>
      <c r="E76" t="n">
        <v>28531</v>
      </c>
      <c r="F76" t="n">
        <v>411.07</v>
      </c>
      <c r="G76" t="n">
        <v>0.5</v>
      </c>
    </row>
    <row r="77">
      <c r="B77" t="inlineStr">
        <is>
          <t>Endurance Technologies Ltd.</t>
        </is>
      </c>
      <c r="C77" t="inlineStr">
        <is>
          <t>INE913H01037</t>
        </is>
      </c>
      <c r="D77" t="inlineStr">
        <is>
          <t>Auto Components</t>
        </is>
      </c>
      <c r="E77" t="n">
        <v>15540</v>
      </c>
      <c r="F77" t="n">
        <v>410.82</v>
      </c>
      <c r="G77" t="n">
        <v>0.5</v>
      </c>
    </row>
    <row r="78">
      <c r="B78" t="inlineStr">
        <is>
          <t>Jubilant Foodworks Ltd.</t>
        </is>
      </c>
      <c r="C78" t="inlineStr">
        <is>
          <t>INE797F01020</t>
        </is>
      </c>
      <c r="D78" t="inlineStr">
        <is>
          <t>Leisure Services</t>
        </is>
      </c>
      <c r="E78" t="n">
        <v>63303</v>
      </c>
      <c r="F78" t="n">
        <v>380.77</v>
      </c>
      <c r="G78" t="n">
        <v>0.47</v>
      </c>
    </row>
    <row r="79">
      <c r="B79" t="inlineStr">
        <is>
          <t>Akzo Nobel India Ltd.</t>
        </is>
      </c>
      <c r="C79" t="inlineStr">
        <is>
          <t>INE133A01011</t>
        </is>
      </c>
      <c r="D79" t="inlineStr">
        <is>
          <t>Consumer Durables</t>
        </is>
      </c>
      <c r="E79" t="n">
        <v>10344</v>
      </c>
      <c r="F79" t="n">
        <v>342.47</v>
      </c>
      <c r="G79" t="n">
        <v>0.42</v>
      </c>
    </row>
    <row r="80">
      <c r="B80" t="inlineStr">
        <is>
          <t>Schaeffler India Ltd.</t>
        </is>
      </c>
      <c r="C80" t="inlineStr">
        <is>
          <t>INE513A01022</t>
        </is>
      </c>
      <c r="D80" t="inlineStr">
        <is>
          <t>Auto Components</t>
        </is>
      </c>
      <c r="E80" t="n">
        <v>7853</v>
      </c>
      <c r="F80" t="n">
        <v>306.22</v>
      </c>
      <c r="G80" t="n">
        <v>0.38</v>
      </c>
    </row>
    <row r="81">
      <c r="B81" t="inlineStr">
        <is>
          <t>Sub Total</t>
        </is>
      </c>
      <c r="F81" t="n">
        <v>78881.23</v>
      </c>
      <c r="G81" t="n">
        <v>96.75</v>
      </c>
    </row>
    <row r="82"/>
    <row r="83">
      <c r="B83" t="inlineStr">
        <is>
          <t>(b) Unlisted</t>
        </is>
      </c>
    </row>
    <row r="84">
      <c r="F84" t="n">
        <v>0</v>
      </c>
      <c r="G84" t="n">
        <v>0</v>
      </c>
    </row>
    <row r="85">
      <c r="B85" t="inlineStr">
        <is>
          <t>Sub Total</t>
        </is>
      </c>
      <c r="F85" t="inlineStr">
        <is>
          <t>NIL</t>
        </is>
      </c>
      <c r="G85" t="inlineStr">
        <is>
          <t>NIL</t>
        </is>
      </c>
    </row>
    <row r="86"/>
    <row r="87">
      <c r="B87" t="inlineStr">
        <is>
          <t>TOTAL</t>
        </is>
      </c>
      <c r="F87" t="n">
        <v>78881.23</v>
      </c>
      <c r="G87" t="n">
        <v>96.75</v>
      </c>
    </row>
    <row r="88">
      <c r="B88" t="inlineStr">
        <is>
          <t>Debt Instruments</t>
        </is>
      </c>
    </row>
    <row r="89"/>
    <row r="90">
      <c r="B90" t="inlineStr">
        <is>
          <t>(a) Listed / Awaiting listing on Stock Exchanges</t>
        </is>
      </c>
    </row>
    <row r="91"/>
    <row r="92">
      <c r="B92" t="inlineStr">
        <is>
          <t>Sub Total</t>
        </is>
      </c>
      <c r="F92" t="inlineStr">
        <is>
          <t>NIL</t>
        </is>
      </c>
      <c r="G92" t="inlineStr">
        <is>
          <t>NIL</t>
        </is>
      </c>
    </row>
    <row r="93"/>
    <row r="94">
      <c r="B94" t="inlineStr">
        <is>
          <t>(b)Privately Placed/Unlisted</t>
        </is>
      </c>
    </row>
    <row r="95">
      <c r="F95" t="n">
        <v>0</v>
      </c>
      <c r="G95" t="n">
        <v>0</v>
      </c>
    </row>
    <row r="96">
      <c r="B96" t="inlineStr">
        <is>
          <t>Sub Total</t>
        </is>
      </c>
      <c r="F96" t="inlineStr">
        <is>
          <t>NIL</t>
        </is>
      </c>
      <c r="G96" t="inlineStr">
        <is>
          <t>NIL</t>
        </is>
      </c>
    </row>
    <row r="97"/>
    <row r="98">
      <c r="B98" t="inlineStr">
        <is>
          <t>(c)Securitised Debt Instruments</t>
        </is>
      </c>
    </row>
    <row r="99">
      <c r="F99" t="n">
        <v>0</v>
      </c>
      <c r="G99" t="n">
        <v>0</v>
      </c>
    </row>
    <row r="100">
      <c r="B100" t="inlineStr">
        <is>
          <t>Sub Total</t>
        </is>
      </c>
      <c r="F100" t="inlineStr">
        <is>
          <t>NIL</t>
        </is>
      </c>
      <c r="G100" t="inlineStr">
        <is>
          <t>NIL</t>
        </is>
      </c>
    </row>
    <row r="101"/>
    <row r="102">
      <c r="B102" t="inlineStr">
        <is>
          <t>TOTAL</t>
        </is>
      </c>
      <c r="F102" t="inlineStr">
        <is>
          <t>NIL</t>
        </is>
      </c>
      <c r="G102" t="inlineStr">
        <is>
          <t>NIL</t>
        </is>
      </c>
    </row>
    <row r="103"/>
    <row r="104">
      <c r="B104" t="inlineStr">
        <is>
          <t>Preference Shares - (Awaiting listing on Stock Exchanges)</t>
        </is>
      </c>
    </row>
    <row r="105">
      <c r="B105" t="inlineStr">
        <is>
          <t>TVS Motor Company Ltd. ** #</t>
        </is>
      </c>
      <c r="C105" t="inlineStr">
        <is>
          <t>INE494B04019</t>
        </is>
      </c>
      <c r="D105" t="inlineStr">
        <is>
          <t>CARE A1+</t>
        </is>
      </c>
      <c r="E105" t="n">
        <v>82424</v>
      </c>
      <c r="F105" t="n">
        <v>8.359999999999999</v>
      </c>
      <c r="G105" t="n">
        <v>0.01</v>
      </c>
      <c r="H105" t="n">
        <v>6.04</v>
      </c>
    </row>
    <row r="106">
      <c r="B106" t="inlineStr">
        <is>
          <t>Sub Total</t>
        </is>
      </c>
      <c r="F106">
        <f>SUM(F105)</f>
        <v/>
      </c>
      <c r="G106">
        <f>SUM(G105)</f>
        <v/>
      </c>
    </row>
    <row r="107"/>
    <row r="108">
      <c r="B108" t="inlineStr">
        <is>
          <t>TOTAL</t>
        </is>
      </c>
      <c r="F108">
        <f>F106</f>
        <v/>
      </c>
      <c r="G108">
        <f>G106</f>
        <v/>
      </c>
    </row>
    <row r="109"/>
    <row r="110">
      <c r="B110" t="inlineStr">
        <is>
          <t>Money Market Instruments</t>
        </is>
      </c>
    </row>
    <row r="111"/>
    <row r="112">
      <c r="B112" t="inlineStr">
        <is>
          <t>Treasury Bill</t>
        </is>
      </c>
    </row>
    <row r="113">
      <c r="B113" t="inlineStr">
        <is>
          <t>364 DAYS TBILL RED 29-10-2026</t>
        </is>
      </c>
      <c r="C113" t="inlineStr">
        <is>
          <t>IN002025Z310</t>
        </is>
      </c>
      <c r="D113" t="inlineStr">
        <is>
          <t>SOVEREIGN</t>
        </is>
      </c>
      <c r="E113" t="n">
        <v>150000</v>
      </c>
      <c r="F113" t="n">
        <v>142.84</v>
      </c>
      <c r="G113" t="n">
        <v>0.18</v>
      </c>
      <c r="H113" t="n">
        <v>5.5103</v>
      </c>
    </row>
    <row r="114">
      <c r="B114" t="inlineStr">
        <is>
          <t>Sub Total</t>
        </is>
      </c>
      <c r="F114" t="n">
        <v>142.84</v>
      </c>
      <c r="G114" t="n">
        <v>0.18</v>
      </c>
    </row>
    <row r="115"/>
    <row r="116">
      <c r="B116" t="inlineStr">
        <is>
          <t>TOTAL</t>
        </is>
      </c>
      <c r="F116" t="n">
        <v>142.84</v>
      </c>
      <c r="G116" t="n">
        <v>0.18</v>
      </c>
    </row>
    <row r="117"/>
    <row r="118"/>
    <row r="119">
      <c r="B119" t="inlineStr">
        <is>
          <t>Treps / Reverse Repo</t>
        </is>
      </c>
    </row>
    <row r="120">
      <c r="B120" t="inlineStr">
        <is>
          <t>Clearing Corporation of India Ltd.</t>
        </is>
      </c>
      <c r="F120" t="n">
        <v>2622.23</v>
      </c>
      <c r="G120" t="n">
        <v>3.22</v>
      </c>
    </row>
    <row r="121">
      <c r="B121" t="inlineStr">
        <is>
          <t>Sub Total</t>
        </is>
      </c>
      <c r="F121" t="n">
        <v>2622.23</v>
      </c>
      <c r="G121" t="n">
        <v>3.22</v>
      </c>
    </row>
    <row r="122"/>
    <row r="123">
      <c r="B123" t="inlineStr">
        <is>
          <t>TOTAL</t>
        </is>
      </c>
      <c r="F123" t="n">
        <v>2622.23</v>
      </c>
      <c r="G123" t="n">
        <v>3.22</v>
      </c>
    </row>
    <row r="124"/>
    <row r="125">
      <c r="B125" t="inlineStr">
        <is>
          <t>Net Receivables / (Payables)</t>
        </is>
      </c>
      <c r="F125" t="n">
        <v>-140.15</v>
      </c>
      <c r="G125" t="n">
        <v>-0.1600000000000108</v>
      </c>
    </row>
    <row r="126"/>
    <row r="127">
      <c r="B127" t="inlineStr">
        <is>
          <t>GRAND TOTAL</t>
        </is>
      </c>
      <c r="F127" t="n">
        <v>81514.50999999999</v>
      </c>
      <c r="G127" t="n">
        <v>100</v>
      </c>
    </row>
    <row r="128"/>
    <row r="129">
      <c r="B129" t="inlineStr">
        <is>
          <t>#  Unlisted Security</t>
        </is>
      </c>
    </row>
    <row r="130">
      <c r="B130" t="inlineStr">
        <is>
          <t>** Non Traded Security</t>
        </is>
      </c>
    </row>
    <row r="131"/>
    <row r="132"/>
    <row r="133"/>
    <row r="134"/>
    <row r="135"/>
    <row r="136">
      <c r="B136" t="inlineStr">
        <is>
          <t>Notes:</t>
        </is>
      </c>
    </row>
    <row r="137">
      <c r="B137" t="inlineStr">
        <is>
          <t>1. Plan / Option-wise Net Asset Value per unit are as below :   (Face Value per unit = Rs. 10)</t>
        </is>
      </c>
    </row>
    <row r="138">
      <c r="B138" t="inlineStr">
        <is>
          <t xml:space="preserve">Plan / Option </t>
        </is>
      </c>
      <c r="C138" s="1" t="n">
        <v>45961</v>
      </c>
      <c r="D138" s="1" t="n">
        <v>45989</v>
      </c>
    </row>
    <row r="139">
      <c r="B139" t="inlineStr">
        <is>
          <t>Direct Plan</t>
        </is>
      </c>
      <c r="C139" t="inlineStr">
        <is>
          <t>(INR)</t>
        </is>
      </c>
      <c r="D139" t="inlineStr">
        <is>
          <t>(INR)</t>
        </is>
      </c>
    </row>
    <row r="140">
      <c r="B140" t="inlineStr">
        <is>
          <t>Growth</t>
        </is>
      </c>
      <c r="C140" t="n">
        <v>13.06</v>
      </c>
      <c r="D140" t="n">
        <v>13.11</v>
      </c>
    </row>
    <row r="141">
      <c r="B141" t="inlineStr">
        <is>
          <t>IDCW (earlier called Dividend)</t>
        </is>
      </c>
      <c r="C141" t="n">
        <v>12.46</v>
      </c>
      <c r="D141" t="n">
        <v>12.51</v>
      </c>
    </row>
    <row r="142">
      <c r="B142" t="inlineStr">
        <is>
          <t>Regular Plan</t>
        </is>
      </c>
    </row>
    <row r="143">
      <c r="B143" t="inlineStr">
        <is>
          <t>IDCW (earlier called Dividend)</t>
        </is>
      </c>
      <c r="C143" t="n">
        <v>12.38</v>
      </c>
      <c r="D143" t="n">
        <v>12.41</v>
      </c>
    </row>
    <row r="144">
      <c r="B144" t="inlineStr">
        <is>
          <t>Growth</t>
        </is>
      </c>
      <c r="C144" t="n">
        <v>12.67</v>
      </c>
      <c r="D144" t="n">
        <v>12.71</v>
      </c>
    </row>
    <row r="145"/>
    <row r="146">
      <c r="B146" t="inlineStr">
        <is>
          <t>2.   Exposure to derivative instruments in the scheme at the end of the month</t>
        </is>
      </c>
      <c r="D146" t="inlineStr">
        <is>
          <t>NIL</t>
        </is>
      </c>
    </row>
    <row r="147"/>
    <row r="148">
      <c r="B148" t="inlineStr">
        <is>
          <t>3.  Derivatives Transactions in the scheme for the month</t>
        </is>
      </c>
      <c r="D148" t="inlineStr">
        <is>
          <t>NIL</t>
        </is>
      </c>
    </row>
    <row r="149"/>
    <row r="150">
      <c r="B150" t="inlineStr">
        <is>
          <t>4.   Investment in foreign securities/ADRs/GDRs at the end of the month (INR Lacs)</t>
        </is>
      </c>
      <c r="D150" t="inlineStr">
        <is>
          <t>NIL</t>
        </is>
      </c>
    </row>
    <row r="151"/>
    <row r="152">
      <c r="B152" t="inlineStr">
        <is>
          <t>5.   Investment in short term deposits at the end of the month (INR Lacs)</t>
        </is>
      </c>
      <c r="D152" t="inlineStr">
        <is>
          <t>NIL</t>
        </is>
      </c>
    </row>
    <row r="153"/>
    <row r="154">
      <c r="B154" t="inlineStr">
        <is>
          <t>6. Portfolio Turnover Ratio</t>
        </is>
      </c>
      <c r="D154" t="n">
        <v>0.21</v>
      </c>
    </row>
    <row r="155"/>
    <row r="156">
      <c r="B156" t="inlineStr">
        <is>
          <t>7.   Aggregate IDCW (earlier called Dividend) declared during the month</t>
        </is>
      </c>
      <c r="D156" t="inlineStr">
        <is>
          <t>NIL</t>
        </is>
      </c>
    </row>
    <row r="157"/>
    <row r="158">
      <c r="B158" t="inlineStr">
        <is>
          <t>8.   (a) Total Exposure to illiquid securities in the portfolio (INR Lacs)</t>
        </is>
      </c>
      <c r="D158" t="inlineStr">
        <is>
          <t>NIL</t>
        </is>
      </c>
    </row>
    <row r="159">
      <c r="B159" t="inlineStr">
        <is>
          <t xml:space="preserve">     (b) Total Exposure to illiquid securities in the portfolio (% of AUM)</t>
        </is>
      </c>
      <c r="D159" t="inlineStr">
        <is>
          <t>NIL</t>
        </is>
      </c>
    </row>
    <row r="160"/>
    <row r="161">
      <c r="B161" t="inlineStr">
        <is>
          <t>9.   Instances of Fair valuation of securities or Deviation in valuation from what is  provided by valuation agencies</t>
        </is>
      </c>
      <c r="D161" t="inlineStr">
        <is>
          <t>NIL</t>
        </is>
      </c>
    </row>
    <row r="162"/>
    <row r="163">
      <c r="B163" t="inlineStr">
        <is>
          <t>10. Securities in default beyond its maturity date in the portfolio of the scheme</t>
        </is>
      </c>
      <c r="D163" t="inlineStr">
        <is>
          <t>NIL</t>
        </is>
      </c>
    </row>
    <row r="164">
      <c r="B164" t="inlineStr">
        <is>
          <t xml:space="preserve">11. For Performance of the scheme refer - </t>
        </is>
      </c>
      <c r="C164" t="inlineStr">
        <is>
          <t xml:space="preserve">PGIM India Large and Mid Cap Fund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84"/>
  <sheetViews>
    <sheetView workbookViewId="0">
      <selection activeCell="A1" sqref="A1"/>
    </sheetView>
  </sheetViews>
  <sheetFormatPr baseColWidth="8" defaultRowHeight="15"/>
  <sheetData>
    <row r="1">
      <c r="B1" t="inlineStr">
        <is>
          <t>PGIM INDIA MIDCAP FUND</t>
        </is>
      </c>
    </row>
    <row r="2">
      <c r="B2" t="inlineStr">
        <is>
          <t>(An Open Ended Equity Scheme Predominantly Investing In Mid Cap Stocks)</t>
        </is>
      </c>
    </row>
    <row r="3">
      <c r="B3" t="inlineStr">
        <is>
          <t xml:space="preserve">Riskometer of the Scheme </t>
        </is>
      </c>
      <c r="E3" t="inlineStr">
        <is>
          <t xml:space="preserve">Riskometer of the Benchmark (Nifty Midcap 150 TRI) </t>
        </is>
      </c>
    </row>
    <row r="4"/>
    <row r="5"/>
    <row r="6"/>
    <row r="7"/>
    <row r="8"/>
    <row r="9"/>
    <row r="10">
      <c r="B10" t="inlineStr">
        <is>
          <t>Investors understand that their 
principal will be at very high risk</t>
        </is>
      </c>
      <c r="E10" t="inlineStr">
        <is>
          <t>Benchmark riskometer is at very high risk</t>
        </is>
      </c>
    </row>
    <row r="11">
      <c r="B11" t="inlineStr">
        <is>
          <t>Portfolio Statement as on November 30,2025</t>
        </is>
      </c>
    </row>
    <row r="12">
      <c r="B12" t="inlineStr">
        <is>
          <t>Name of  Instrument</t>
        </is>
      </c>
      <c r="C12" t="inlineStr">
        <is>
          <t>ISIN</t>
        </is>
      </c>
      <c r="D12" t="inlineStr">
        <is>
          <t>Industry/Rating</t>
        </is>
      </c>
      <c r="E12" t="inlineStr">
        <is>
          <t>Quantity</t>
        </is>
      </c>
      <c r="F12" t="inlineStr">
        <is>
          <t>Market/Fair Value  (INR Lacs)</t>
        </is>
      </c>
      <c r="G12" t="inlineStr">
        <is>
          <t>%  to Net Assets</t>
        </is>
      </c>
      <c r="H12" t="inlineStr">
        <is>
          <t xml:space="preserve">% Yield </t>
        </is>
      </c>
    </row>
    <row r="13">
      <c r="B13" t="inlineStr">
        <is>
          <t>Equity &amp; Equity related</t>
        </is>
      </c>
    </row>
    <row r="14"/>
    <row r="15">
      <c r="B15" t="inlineStr">
        <is>
          <t>(a)Listed / Awaiting listing on Stock Exchanges</t>
        </is>
      </c>
    </row>
    <row r="16">
      <c r="B16" t="inlineStr">
        <is>
          <t>Muthoot Finance Ltd.</t>
        </is>
      </c>
      <c r="C16" t="inlineStr">
        <is>
          <t>INE414G01012</t>
        </is>
      </c>
      <c r="D16" t="inlineStr">
        <is>
          <t>Finance</t>
        </is>
      </c>
      <c r="E16" t="n">
        <v>1079711</v>
      </c>
      <c r="F16" t="n">
        <v>40426.54</v>
      </c>
      <c r="G16" t="n">
        <v>3.51</v>
      </c>
    </row>
    <row r="17">
      <c r="B17" t="inlineStr">
        <is>
          <t>Max Healthcare Institute Ltd.</t>
        </is>
      </c>
      <c r="C17" t="inlineStr">
        <is>
          <t>INE027H01010</t>
        </is>
      </c>
      <c r="D17" t="inlineStr">
        <is>
          <t>Healthcare Services</t>
        </is>
      </c>
      <c r="E17" t="n">
        <v>2981264</v>
      </c>
      <c r="F17" t="n">
        <v>34666.14</v>
      </c>
      <c r="G17" t="n">
        <v>3.01</v>
      </c>
    </row>
    <row r="18">
      <c r="B18" t="inlineStr">
        <is>
          <t>Max Financial Services Ltd.</t>
        </is>
      </c>
      <c r="C18" t="inlineStr">
        <is>
          <t>INE180A01020</t>
        </is>
      </c>
      <c r="D18" t="inlineStr">
        <is>
          <t>Insurance</t>
        </is>
      </c>
      <c r="E18" t="n">
        <v>1992769</v>
      </c>
      <c r="F18" t="n">
        <v>33918.92</v>
      </c>
      <c r="G18" t="n">
        <v>2.94</v>
      </c>
    </row>
    <row r="19">
      <c r="B19" t="inlineStr">
        <is>
          <t>UNO Minda Ltd.</t>
        </is>
      </c>
      <c r="C19" t="inlineStr">
        <is>
          <t>INE405E01023</t>
        </is>
      </c>
      <c r="D19" t="inlineStr">
        <is>
          <t>Auto Components</t>
        </is>
      </c>
      <c r="E19" t="n">
        <v>2433285</v>
      </c>
      <c r="F19" t="n">
        <v>31798.17</v>
      </c>
      <c r="G19" t="n">
        <v>2.76</v>
      </c>
    </row>
    <row r="20">
      <c r="B20" t="inlineStr">
        <is>
          <t>HDFC Asset Management Company Ltd.</t>
        </is>
      </c>
      <c r="C20" t="inlineStr">
        <is>
          <t>INE127D01025</t>
        </is>
      </c>
      <c r="D20" t="inlineStr">
        <is>
          <t>Capital Markets</t>
        </is>
      </c>
      <c r="E20" t="n">
        <v>1154200</v>
      </c>
      <c r="F20" t="n">
        <v>30851.77</v>
      </c>
      <c r="G20" t="n">
        <v>2.68</v>
      </c>
    </row>
    <row r="21">
      <c r="B21" t="inlineStr">
        <is>
          <t>Bharti Hexacom Ltd.</t>
        </is>
      </c>
      <c r="C21" t="inlineStr">
        <is>
          <t>INE343G01021</t>
        </is>
      </c>
      <c r="D21" t="inlineStr">
        <is>
          <t>Telecom - Services</t>
        </is>
      </c>
      <c r="E21" t="n">
        <v>1704465</v>
      </c>
      <c r="F21" t="n">
        <v>30140.05</v>
      </c>
      <c r="G21" t="n">
        <v>2.61</v>
      </c>
    </row>
    <row r="22">
      <c r="B22" t="inlineStr">
        <is>
          <t>Persistent Systems Ltd.</t>
        </is>
      </c>
      <c r="C22" t="inlineStr">
        <is>
          <t>INE262H01021</t>
        </is>
      </c>
      <c r="D22" t="inlineStr">
        <is>
          <t>IT - Software</t>
        </is>
      </c>
      <c r="E22" t="n">
        <v>465968</v>
      </c>
      <c r="F22" t="n">
        <v>29602.95</v>
      </c>
      <c r="G22" t="n">
        <v>2.57</v>
      </c>
    </row>
    <row r="23">
      <c r="B23" t="inlineStr">
        <is>
          <t>Solar Industries India Ltd.</t>
        </is>
      </c>
      <c r="C23" t="inlineStr">
        <is>
          <t>INE343H01029</t>
        </is>
      </c>
      <c r="D23" t="inlineStr">
        <is>
          <t>Chemicals &amp; Petrochemicals</t>
        </is>
      </c>
      <c r="E23" t="n">
        <v>219060</v>
      </c>
      <c r="F23" t="n">
        <v>29073.64</v>
      </c>
      <c r="G23" t="n">
        <v>2.52</v>
      </c>
    </row>
    <row r="24">
      <c r="B24" t="inlineStr">
        <is>
          <t>JK Cement Ltd.</t>
        </is>
      </c>
      <c r="C24" t="inlineStr">
        <is>
          <t>INE823G01014</t>
        </is>
      </c>
      <c r="D24" t="inlineStr">
        <is>
          <t>Cement &amp; Cement Products</t>
        </is>
      </c>
      <c r="E24" t="n">
        <v>502919</v>
      </c>
      <c r="F24" t="n">
        <v>28958.08</v>
      </c>
      <c r="G24" t="n">
        <v>2.51</v>
      </c>
    </row>
    <row r="25">
      <c r="B25" t="inlineStr">
        <is>
          <t>Vishal Mega Mart Ltd</t>
        </is>
      </c>
      <c r="C25" t="inlineStr">
        <is>
          <t>INE01EA01019</t>
        </is>
      </c>
      <c r="D25" t="inlineStr">
        <is>
          <t>Retailing</t>
        </is>
      </c>
      <c r="E25" t="n">
        <v>20547181</v>
      </c>
      <c r="F25" t="n">
        <v>27903.07</v>
      </c>
      <c r="G25" t="n">
        <v>2.42</v>
      </c>
    </row>
    <row r="26">
      <c r="B26" t="inlineStr">
        <is>
          <t>Eternal Ltd.</t>
        </is>
      </c>
      <c r="C26" t="inlineStr">
        <is>
          <t>INE758T01015</t>
        </is>
      </c>
      <c r="D26" t="inlineStr">
        <is>
          <t>Retailing</t>
        </is>
      </c>
      <c r="E26" t="n">
        <v>9112137</v>
      </c>
      <c r="F26" t="n">
        <v>27345.52</v>
      </c>
      <c r="G26" t="n">
        <v>2.37</v>
      </c>
    </row>
    <row r="27">
      <c r="B27" t="inlineStr">
        <is>
          <t>Prestige Estates Projects Ltd.</t>
        </is>
      </c>
      <c r="C27" t="inlineStr">
        <is>
          <t>INE811K01011</t>
        </is>
      </c>
      <c r="D27" t="inlineStr">
        <is>
          <t>Realty</t>
        </is>
      </c>
      <c r="E27" t="n">
        <v>1476904</v>
      </c>
      <c r="F27" t="n">
        <v>24772.11</v>
      </c>
      <c r="G27" t="n">
        <v>2.15</v>
      </c>
    </row>
    <row r="28">
      <c r="B28" t="inlineStr">
        <is>
          <t>Dixon Technologies (India) Ltd.</t>
        </is>
      </c>
      <c r="C28" t="inlineStr">
        <is>
          <t>INE935N01020</t>
        </is>
      </c>
      <c r="D28" t="inlineStr">
        <is>
          <t>Consumer Durables</t>
        </is>
      </c>
      <c r="E28" t="n">
        <v>161089</v>
      </c>
      <c r="F28" t="n">
        <v>23520.6</v>
      </c>
      <c r="G28" t="n">
        <v>2.04</v>
      </c>
    </row>
    <row r="29">
      <c r="B29" t="inlineStr">
        <is>
          <t>Abbott India Ltd.</t>
        </is>
      </c>
      <c r="C29" t="inlineStr">
        <is>
          <t>INE358A01014</t>
        </is>
      </c>
      <c r="D29" t="inlineStr">
        <is>
          <t>Pharmaceuticals &amp; Biotechnology</t>
        </is>
      </c>
      <c r="E29" t="n">
        <v>74300</v>
      </c>
      <c r="F29" t="n">
        <v>22345.73</v>
      </c>
      <c r="G29" t="n">
        <v>1.94</v>
      </c>
    </row>
    <row r="30">
      <c r="B30" t="inlineStr">
        <is>
          <t>TVS Motor Company Ltd.</t>
        </is>
      </c>
      <c r="C30" t="inlineStr">
        <is>
          <t>INE494B01023</t>
        </is>
      </c>
      <c r="D30" t="inlineStr">
        <is>
          <t>Automobiles</t>
        </is>
      </c>
      <c r="E30" t="n">
        <v>629527</v>
      </c>
      <c r="F30" t="n">
        <v>22231.75</v>
      </c>
      <c r="G30" t="n">
        <v>1.93</v>
      </c>
    </row>
    <row r="31">
      <c r="B31" t="inlineStr">
        <is>
          <t>ICICI Lombard General Insurance Co. Ltd.</t>
        </is>
      </c>
      <c r="C31" t="inlineStr">
        <is>
          <t>INE765G01017</t>
        </is>
      </c>
      <c r="D31" t="inlineStr">
        <is>
          <t>Insurance</t>
        </is>
      </c>
      <c r="E31" t="n">
        <v>1124005</v>
      </c>
      <c r="F31" t="n">
        <v>22148.52</v>
      </c>
      <c r="G31" t="n">
        <v>1.92</v>
      </c>
    </row>
    <row r="32">
      <c r="B32" t="inlineStr">
        <is>
          <t>Coromandel International Ltd.</t>
        </is>
      </c>
      <c r="C32" t="inlineStr">
        <is>
          <t>INE169A01031</t>
        </is>
      </c>
      <c r="D32" t="inlineStr">
        <is>
          <t>Fertilizers &amp; Agrochemicals</t>
        </is>
      </c>
      <c r="E32" t="n">
        <v>872543</v>
      </c>
      <c r="F32" t="n">
        <v>20784.85</v>
      </c>
      <c r="G32" t="n">
        <v>1.8</v>
      </c>
    </row>
    <row r="33">
      <c r="B33" t="inlineStr">
        <is>
          <t>Mankind Pharma Ltd.</t>
        </is>
      </c>
      <c r="C33" t="inlineStr">
        <is>
          <t>INE634S01028</t>
        </is>
      </c>
      <c r="D33" t="inlineStr">
        <is>
          <t>Pharmaceuticals &amp; Biotechnology</t>
        </is>
      </c>
      <c r="E33" t="n">
        <v>923014</v>
      </c>
      <c r="F33" t="n">
        <v>20777.05</v>
      </c>
      <c r="G33" t="n">
        <v>1.8</v>
      </c>
    </row>
    <row r="34">
      <c r="B34" t="inlineStr">
        <is>
          <t>Multi Commodity Exchange Of India Ltd.</t>
        </is>
      </c>
      <c r="C34" t="inlineStr">
        <is>
          <t>INE745G01035</t>
        </is>
      </c>
      <c r="D34" t="inlineStr">
        <is>
          <t>Capital Markets</t>
        </is>
      </c>
      <c r="E34" t="n">
        <v>201157</v>
      </c>
      <c r="F34" t="n">
        <v>20263.55</v>
      </c>
      <c r="G34" t="n">
        <v>1.76</v>
      </c>
    </row>
    <row r="35">
      <c r="B35" t="inlineStr">
        <is>
          <t>VARUN BEVERAGES LIMITED</t>
        </is>
      </c>
      <c r="C35" t="inlineStr">
        <is>
          <t>INE200M01039</t>
        </is>
      </c>
      <c r="D35" t="inlineStr">
        <is>
          <t>Beverages</t>
        </is>
      </c>
      <c r="E35" t="n">
        <v>4058845</v>
      </c>
      <c r="F35" t="n">
        <v>19545.37</v>
      </c>
      <c r="G35" t="n">
        <v>1.7</v>
      </c>
    </row>
    <row r="36">
      <c r="B36" t="inlineStr">
        <is>
          <t>Bajaj Finance Ltd.</t>
        </is>
      </c>
      <c r="C36" t="inlineStr">
        <is>
          <t>INE296A01032</t>
        </is>
      </c>
      <c r="D36" t="inlineStr">
        <is>
          <t>Finance</t>
        </is>
      </c>
      <c r="E36" t="n">
        <v>1825000</v>
      </c>
      <c r="F36" t="n">
        <v>18934.38</v>
      </c>
      <c r="G36" t="n">
        <v>1.64</v>
      </c>
    </row>
    <row r="37">
      <c r="B37" t="inlineStr">
        <is>
          <t>Aditya Birla Capital Ltd.</t>
        </is>
      </c>
      <c r="C37" t="inlineStr">
        <is>
          <t>INE674K01013</t>
        </is>
      </c>
      <c r="D37" t="inlineStr">
        <is>
          <t>Finance</t>
        </is>
      </c>
      <c r="E37" t="n">
        <v>5217388</v>
      </c>
      <c r="F37" t="n">
        <v>18680.86</v>
      </c>
      <c r="G37" t="n">
        <v>1.62</v>
      </c>
    </row>
    <row r="38">
      <c r="B38" t="inlineStr">
        <is>
          <t>Cummins India Ltd.</t>
        </is>
      </c>
      <c r="C38" t="inlineStr">
        <is>
          <t>INE298A01020</t>
        </is>
      </c>
      <c r="D38" t="inlineStr">
        <is>
          <t>Industrial Products</t>
        </is>
      </c>
      <c r="E38" t="n">
        <v>402933</v>
      </c>
      <c r="F38" t="n">
        <v>18048.58</v>
      </c>
      <c r="G38" t="n">
        <v>1.57</v>
      </c>
    </row>
    <row r="39">
      <c r="B39" t="inlineStr">
        <is>
          <t>InterGlobe Aviation Ltd.</t>
        </is>
      </c>
      <c r="C39" t="inlineStr">
        <is>
          <t>INE646L01027</t>
        </is>
      </c>
      <c r="D39" t="inlineStr">
        <is>
          <t>Transport Services</t>
        </is>
      </c>
      <c r="E39" t="n">
        <v>304208</v>
      </c>
      <c r="F39" t="n">
        <v>17952.84</v>
      </c>
      <c r="G39" t="n">
        <v>1.56</v>
      </c>
    </row>
    <row r="40">
      <c r="B40" t="inlineStr">
        <is>
          <t>Blue Star Ltd.</t>
        </is>
      </c>
      <c r="C40" t="inlineStr">
        <is>
          <t>INE472A01039</t>
        </is>
      </c>
      <c r="D40" t="inlineStr">
        <is>
          <t>Consumer Durables</t>
        </is>
      </c>
      <c r="E40" t="n">
        <v>964677</v>
      </c>
      <c r="F40" t="n">
        <v>17030.41</v>
      </c>
      <c r="G40" t="n">
        <v>1.48</v>
      </c>
    </row>
    <row r="41">
      <c r="B41" t="inlineStr">
        <is>
          <t>SRF Ltd.</t>
        </is>
      </c>
      <c r="C41" t="inlineStr">
        <is>
          <t>INE647A01010</t>
        </is>
      </c>
      <c r="D41" t="inlineStr">
        <is>
          <t>Chemicals &amp; Petrochemicals</t>
        </is>
      </c>
      <c r="E41" t="n">
        <v>571500</v>
      </c>
      <c r="F41" t="n">
        <v>16729.52</v>
      </c>
      <c r="G41" t="n">
        <v>1.45</v>
      </c>
    </row>
    <row r="42">
      <c r="B42" t="inlineStr">
        <is>
          <t>Global Health Ltd.</t>
        </is>
      </c>
      <c r="C42" t="inlineStr">
        <is>
          <t>INE474Q01031</t>
        </is>
      </c>
      <c r="D42" t="inlineStr">
        <is>
          <t>Healthcare Services</t>
        </is>
      </c>
      <c r="E42" t="n">
        <v>1271978</v>
      </c>
      <c r="F42" t="n">
        <v>15848.85</v>
      </c>
      <c r="G42" t="n">
        <v>1.37</v>
      </c>
    </row>
    <row r="43">
      <c r="B43" t="inlineStr">
        <is>
          <t>FSN E-Commerce Ventures Ltd.</t>
        </is>
      </c>
      <c r="C43" t="inlineStr">
        <is>
          <t>INE388Y01029</t>
        </is>
      </c>
      <c r="D43" t="inlineStr">
        <is>
          <t>Retailing</t>
        </is>
      </c>
      <c r="E43" t="n">
        <v>5794961</v>
      </c>
      <c r="F43" t="n">
        <v>15490.51</v>
      </c>
      <c r="G43" t="n">
        <v>1.34</v>
      </c>
    </row>
    <row r="44">
      <c r="B44" t="inlineStr">
        <is>
          <t>PB Fintech Ltd.</t>
        </is>
      </c>
      <c r="C44" t="inlineStr">
        <is>
          <t>INE417T01026</t>
        </is>
      </c>
      <c r="D44" t="inlineStr">
        <is>
          <t>Financial Technology (Fintech)</t>
        </is>
      </c>
      <c r="E44" t="n">
        <v>788158</v>
      </c>
      <c r="F44" t="n">
        <v>14335.81</v>
      </c>
      <c r="G44" t="n">
        <v>1.24</v>
      </c>
    </row>
    <row r="45">
      <c r="B45" t="inlineStr">
        <is>
          <t>Astral Ltd.</t>
        </is>
      </c>
      <c r="C45" t="inlineStr">
        <is>
          <t>INE006I01046</t>
        </is>
      </c>
      <c r="D45" t="inlineStr">
        <is>
          <t>Industrial Products</t>
        </is>
      </c>
      <c r="E45" t="n">
        <v>976625</v>
      </c>
      <c r="F45" t="n">
        <v>14071.21</v>
      </c>
      <c r="G45" t="n">
        <v>1.22</v>
      </c>
    </row>
    <row r="46">
      <c r="B46" t="inlineStr">
        <is>
          <t>Tube Investments Of India Ltd.</t>
        </is>
      </c>
      <c r="C46" t="inlineStr">
        <is>
          <t>INE974X01010</t>
        </is>
      </c>
      <c r="D46" t="inlineStr">
        <is>
          <t>Auto Components</t>
        </is>
      </c>
      <c r="E46" t="n">
        <v>482959</v>
      </c>
      <c r="F46" t="n">
        <v>13447.51</v>
      </c>
      <c r="G46" t="n">
        <v>1.17</v>
      </c>
    </row>
    <row r="47">
      <c r="B47" t="inlineStr">
        <is>
          <t>Hexaware Technologies Ltd.</t>
        </is>
      </c>
      <c r="C47" t="inlineStr">
        <is>
          <t>INE093A01041</t>
        </is>
      </c>
      <c r="D47" t="inlineStr">
        <is>
          <t>IT - Software</t>
        </is>
      </c>
      <c r="E47" t="n">
        <v>1750500</v>
      </c>
      <c r="F47" t="n">
        <v>13246.91</v>
      </c>
      <c r="G47" t="n">
        <v>1.15</v>
      </c>
    </row>
    <row r="48">
      <c r="B48" t="inlineStr">
        <is>
          <t>ICICI Bank Ltd.</t>
        </is>
      </c>
      <c r="C48" t="inlineStr">
        <is>
          <t>INE090A01021</t>
        </is>
      </c>
      <c r="D48" t="inlineStr">
        <is>
          <t>Banks</t>
        </is>
      </c>
      <c r="E48" t="n">
        <v>920000</v>
      </c>
      <c r="F48" t="n">
        <v>12776.96</v>
      </c>
      <c r="G48" t="n">
        <v>1.11</v>
      </c>
    </row>
    <row r="49">
      <c r="B49" t="inlineStr">
        <is>
          <t>CG Power and Industrial Solutions Ltd.</t>
        </is>
      </c>
      <c r="C49" t="inlineStr">
        <is>
          <t>INE067A01029</t>
        </is>
      </c>
      <c r="D49" t="inlineStr">
        <is>
          <t>Electrical Equipment</t>
        </is>
      </c>
      <c r="E49" t="n">
        <v>1791182</v>
      </c>
      <c r="F49" t="n">
        <v>12052.86</v>
      </c>
      <c r="G49" t="n">
        <v>1.05</v>
      </c>
    </row>
    <row r="50">
      <c r="B50" t="inlineStr">
        <is>
          <t>LG Electronics India Ltd.</t>
        </is>
      </c>
      <c r="C50" t="inlineStr">
        <is>
          <t>INE324D01010</t>
        </is>
      </c>
      <c r="D50" t="inlineStr">
        <is>
          <t>Consumer Durables</t>
        </is>
      </c>
      <c r="E50" t="n">
        <v>720223</v>
      </c>
      <c r="F50" t="n">
        <v>11950.66</v>
      </c>
      <c r="G50" t="n">
        <v>1.04</v>
      </c>
    </row>
    <row r="51">
      <c r="B51" t="inlineStr">
        <is>
          <t>Dr. Lal Path Labs Ltd.</t>
        </is>
      </c>
      <c r="C51" t="inlineStr">
        <is>
          <t>INE600L01024</t>
        </is>
      </c>
      <c r="D51" t="inlineStr">
        <is>
          <t>Healthcare Services</t>
        </is>
      </c>
      <c r="E51" t="n">
        <v>388808</v>
      </c>
      <c r="F51" t="n">
        <v>11865.64</v>
      </c>
      <c r="G51" t="n">
        <v>1.03</v>
      </c>
    </row>
    <row r="52">
      <c r="B52" t="inlineStr">
        <is>
          <t>Polycab India Ltd.</t>
        </is>
      </c>
      <c r="C52" t="inlineStr">
        <is>
          <t>INE455K01017</t>
        </is>
      </c>
      <c r="D52" t="inlineStr">
        <is>
          <t>Industrial Products</t>
        </is>
      </c>
      <c r="E52" t="n">
        <v>157950</v>
      </c>
      <c r="F52" t="n">
        <v>11798.87</v>
      </c>
      <c r="G52" t="n">
        <v>1.02</v>
      </c>
    </row>
    <row r="53">
      <c r="B53" t="inlineStr">
        <is>
          <t>Ajanta Pharma Ltd.</t>
        </is>
      </c>
      <c r="C53" t="inlineStr">
        <is>
          <t>INE031B01049</t>
        </is>
      </c>
      <c r="D53" t="inlineStr">
        <is>
          <t>Pharmaceuticals &amp; Biotechnology</t>
        </is>
      </c>
      <c r="E53" t="n">
        <v>454661</v>
      </c>
      <c r="F53" t="n">
        <v>11642.96</v>
      </c>
      <c r="G53" t="n">
        <v>1.01</v>
      </c>
    </row>
    <row r="54">
      <c r="B54" t="inlineStr">
        <is>
          <t>Escorts Kubota Ltd.</t>
        </is>
      </c>
      <c r="C54" t="inlineStr">
        <is>
          <t>INE042A01014</t>
        </is>
      </c>
      <c r="D54" t="inlineStr">
        <is>
          <t>Agricultural, Commercial &amp; Construction Vehicles</t>
        </is>
      </c>
      <c r="E54" t="n">
        <v>290746</v>
      </c>
      <c r="F54" t="n">
        <v>11098.94</v>
      </c>
      <c r="G54" t="n">
        <v>0.96</v>
      </c>
    </row>
    <row r="55">
      <c r="B55" t="inlineStr">
        <is>
          <t>Torrent Power Ltd.</t>
        </is>
      </c>
      <c r="C55" t="inlineStr">
        <is>
          <t>INE813H01021</t>
        </is>
      </c>
      <c r="D55" t="inlineStr">
        <is>
          <t>Power</t>
        </is>
      </c>
      <c r="E55" t="n">
        <v>843872</v>
      </c>
      <c r="F55" t="n">
        <v>11092.7</v>
      </c>
      <c r="G55" t="n">
        <v>0.96</v>
      </c>
    </row>
    <row r="56">
      <c r="B56" t="inlineStr">
        <is>
          <t>Timken India Ltd.</t>
        </is>
      </c>
      <c r="C56" t="inlineStr">
        <is>
          <t>INE325A01013</t>
        </is>
      </c>
      <c r="D56" t="inlineStr">
        <is>
          <t>Industrial Products</t>
        </is>
      </c>
      <c r="E56" t="n">
        <v>348954</v>
      </c>
      <c r="F56" t="n">
        <v>11007.4</v>
      </c>
      <c r="G56" t="n">
        <v>0.95</v>
      </c>
    </row>
    <row r="57">
      <c r="B57" t="inlineStr">
        <is>
          <t>Container Corporation Of India Ltd.</t>
        </is>
      </c>
      <c r="C57" t="inlineStr">
        <is>
          <t>INE111A01025</t>
        </is>
      </c>
      <c r="D57" t="inlineStr">
        <is>
          <t>Transport Services</t>
        </is>
      </c>
      <c r="E57" t="n">
        <v>2124599</v>
      </c>
      <c r="F57" t="n">
        <v>10862.01</v>
      </c>
      <c r="G57" t="n">
        <v>0.9399999999999999</v>
      </c>
    </row>
    <row r="58">
      <c r="B58" t="inlineStr">
        <is>
          <t>Jubilant Foodworks Ltd.</t>
        </is>
      </c>
      <c r="C58" t="inlineStr">
        <is>
          <t>INE797F01020</t>
        </is>
      </c>
      <c r="D58" t="inlineStr">
        <is>
          <t>Leisure Services</t>
        </is>
      </c>
      <c r="E58" t="n">
        <v>1729197</v>
      </c>
      <c r="F58" t="n">
        <v>10401.12</v>
      </c>
      <c r="G58" t="n">
        <v>0.9</v>
      </c>
    </row>
    <row r="59">
      <c r="B59" t="inlineStr">
        <is>
          <t>JSW Infrastructure Ltd.</t>
        </is>
      </c>
      <c r="C59" t="inlineStr">
        <is>
          <t>INE880J01026</t>
        </is>
      </c>
      <c r="D59" t="inlineStr">
        <is>
          <t>Transport Infrastructure</t>
        </is>
      </c>
      <c r="E59" t="n">
        <v>3773538</v>
      </c>
      <c r="F59" t="n">
        <v>10201.76</v>
      </c>
      <c r="G59" t="n">
        <v>0.88</v>
      </c>
    </row>
    <row r="60">
      <c r="B60" t="inlineStr">
        <is>
          <t>ITC Hotels Ltd.</t>
        </is>
      </c>
      <c r="C60" t="inlineStr">
        <is>
          <t>INE379A01028</t>
        </is>
      </c>
      <c r="D60" t="inlineStr">
        <is>
          <t>Leisure Services</t>
        </is>
      </c>
      <c r="E60" t="n">
        <v>4717480</v>
      </c>
      <c r="F60" t="n">
        <v>9845.379999999999</v>
      </c>
      <c r="G60" t="n">
        <v>0.85</v>
      </c>
    </row>
    <row r="61">
      <c r="B61" t="inlineStr">
        <is>
          <t>Karur Vysya Bank Ltd.</t>
        </is>
      </c>
      <c r="C61" t="inlineStr">
        <is>
          <t>INE036D01028</t>
        </is>
      </c>
      <c r="D61" t="inlineStr">
        <is>
          <t>Banks</t>
        </is>
      </c>
      <c r="E61" t="n">
        <v>3937755</v>
      </c>
      <c r="F61" t="n">
        <v>9764.450000000001</v>
      </c>
      <c r="G61" t="n">
        <v>0.85</v>
      </c>
    </row>
    <row r="62">
      <c r="B62" t="inlineStr">
        <is>
          <t>Cholamandalam Financial Holdings Ltd.</t>
        </is>
      </c>
      <c r="C62" t="inlineStr">
        <is>
          <t>INE149A01033</t>
        </is>
      </c>
      <c r="D62" t="inlineStr">
        <is>
          <t>Finance</t>
        </is>
      </c>
      <c r="E62" t="n">
        <v>525468</v>
      </c>
      <c r="F62" t="n">
        <v>9701.190000000001</v>
      </c>
      <c r="G62" t="n">
        <v>0.84</v>
      </c>
    </row>
    <row r="63">
      <c r="B63" t="inlineStr">
        <is>
          <t>GE Vernova T&amp;D India Limited</t>
        </is>
      </c>
      <c r="C63" t="inlineStr">
        <is>
          <t>INE200A01026</t>
        </is>
      </c>
      <c r="D63" t="inlineStr">
        <is>
          <t>Electrical Equipment</t>
        </is>
      </c>
      <c r="E63" t="n">
        <v>334043</v>
      </c>
      <c r="F63" t="n">
        <v>9625.120000000001</v>
      </c>
      <c r="G63" t="n">
        <v>0.83</v>
      </c>
    </row>
    <row r="64">
      <c r="B64" t="inlineStr">
        <is>
          <t>The Phoenix Mills Ltd.</t>
        </is>
      </c>
      <c r="C64" t="inlineStr">
        <is>
          <t>INE211B01039</t>
        </is>
      </c>
      <c r="D64" t="inlineStr">
        <is>
          <t>Realty</t>
        </is>
      </c>
      <c r="E64" t="n">
        <v>547595</v>
      </c>
      <c r="F64" t="n">
        <v>9510.629999999999</v>
      </c>
      <c r="G64" t="n">
        <v>0.83</v>
      </c>
    </row>
    <row r="65">
      <c r="B65" t="inlineStr">
        <is>
          <t>APL Apollo Tubes Ltd.</t>
        </is>
      </c>
      <c r="C65" t="inlineStr">
        <is>
          <t>INE702C01027</t>
        </is>
      </c>
      <c r="D65" t="inlineStr">
        <is>
          <t>Industrial Products</t>
        </is>
      </c>
      <c r="E65" t="n">
        <v>528422</v>
      </c>
      <c r="F65" t="n">
        <v>9083.049999999999</v>
      </c>
      <c r="G65" t="n">
        <v>0.79</v>
      </c>
    </row>
    <row r="66">
      <c r="B66" t="inlineStr">
        <is>
          <t>Supreme Industries Ltd.</t>
        </is>
      </c>
      <c r="C66" t="inlineStr">
        <is>
          <t>INE195A01028</t>
        </is>
      </c>
      <c r="D66" t="inlineStr">
        <is>
          <t>Industrial Products</t>
        </is>
      </c>
      <c r="E66" t="n">
        <v>244309</v>
      </c>
      <c r="F66" t="n">
        <v>8285.98</v>
      </c>
      <c r="G66" t="n">
        <v>0.72</v>
      </c>
    </row>
    <row r="67">
      <c r="B67" t="inlineStr">
        <is>
          <t>JSW Steel Ltd.</t>
        </is>
      </c>
      <c r="C67" t="inlineStr">
        <is>
          <t>INE019A01038</t>
        </is>
      </c>
      <c r="D67" t="inlineStr">
        <is>
          <t>Ferrous Metals</t>
        </is>
      </c>
      <c r="E67" t="n">
        <v>690795</v>
      </c>
      <c r="F67" t="n">
        <v>8015.29</v>
      </c>
      <c r="G67" t="n">
        <v>0.7</v>
      </c>
    </row>
    <row r="68">
      <c r="B68" t="inlineStr">
        <is>
          <t>BSE Ltd.</t>
        </is>
      </c>
      <c r="C68" t="inlineStr">
        <is>
          <t>INE118H01025</t>
        </is>
      </c>
      <c r="D68" t="inlineStr">
        <is>
          <t>Capital Markets</t>
        </is>
      </c>
      <c r="E68" t="n">
        <v>270000</v>
      </c>
      <c r="F68" t="n">
        <v>7836.48</v>
      </c>
      <c r="G68" t="n">
        <v>0.68</v>
      </c>
    </row>
    <row r="69">
      <c r="B69" t="inlineStr">
        <is>
          <t>Kaynes Technology India Ltd.</t>
        </is>
      </c>
      <c r="C69" t="inlineStr">
        <is>
          <t>INE918Z01012</t>
        </is>
      </c>
      <c r="D69" t="inlineStr">
        <is>
          <t>Industrial Manufacturing</t>
        </is>
      </c>
      <c r="E69" t="n">
        <v>141245</v>
      </c>
      <c r="F69" t="n">
        <v>7754.35</v>
      </c>
      <c r="G69" t="n">
        <v>0.67</v>
      </c>
    </row>
    <row r="70">
      <c r="B70" t="inlineStr">
        <is>
          <t>KEI Industries Ltd.</t>
        </is>
      </c>
      <c r="C70" t="inlineStr">
        <is>
          <t>INE878B01027</t>
        </is>
      </c>
      <c r="D70" t="inlineStr">
        <is>
          <t>Industrial Products</t>
        </is>
      </c>
      <c r="E70" t="n">
        <v>186657</v>
      </c>
      <c r="F70" t="n">
        <v>7738.05</v>
      </c>
      <c r="G70" t="n">
        <v>0.67</v>
      </c>
    </row>
    <row r="71">
      <c r="B71" t="inlineStr">
        <is>
          <t>Sumitomo Chemical India Ltd.</t>
        </is>
      </c>
      <c r="C71" t="inlineStr">
        <is>
          <t>INE258G01013</t>
        </is>
      </c>
      <c r="D71" t="inlineStr">
        <is>
          <t>Fertilizers &amp; Agrochemicals</t>
        </is>
      </c>
      <c r="E71" t="n">
        <v>1578298</v>
      </c>
      <c r="F71" t="n">
        <v>7354.87</v>
      </c>
      <c r="G71" t="n">
        <v>0.64</v>
      </c>
    </row>
    <row r="72">
      <c r="B72" t="inlineStr">
        <is>
          <t>CRISIL Ltd.</t>
        </is>
      </c>
      <c r="C72" t="inlineStr">
        <is>
          <t>INE007A01025</t>
        </is>
      </c>
      <c r="D72" t="inlineStr">
        <is>
          <t>Finance</t>
        </is>
      </c>
      <c r="E72" t="n">
        <v>165774</v>
      </c>
      <c r="F72" t="n">
        <v>7333.34</v>
      </c>
      <c r="G72" t="n">
        <v>0.64</v>
      </c>
    </row>
    <row r="73">
      <c r="B73" t="inlineStr">
        <is>
          <t>Schaeffler India Ltd.</t>
        </is>
      </c>
      <c r="C73" t="inlineStr">
        <is>
          <t>INE513A01022</t>
        </is>
      </c>
      <c r="D73" t="inlineStr">
        <is>
          <t>Auto Components</t>
        </is>
      </c>
      <c r="E73" t="n">
        <v>180338</v>
      </c>
      <c r="F73" t="n">
        <v>7032.1</v>
      </c>
      <c r="G73" t="n">
        <v>0.61</v>
      </c>
    </row>
    <row r="74">
      <c r="B74" t="inlineStr">
        <is>
          <t>Radico Khaitan Ltd.</t>
        </is>
      </c>
      <c r="C74" t="inlineStr">
        <is>
          <t>INE944F01028</t>
        </is>
      </c>
      <c r="D74" t="inlineStr">
        <is>
          <t>Beverages</t>
        </is>
      </c>
      <c r="E74" t="n">
        <v>214013</v>
      </c>
      <c r="F74" t="n">
        <v>6865.75</v>
      </c>
      <c r="G74" t="n">
        <v>0.6</v>
      </c>
    </row>
    <row r="75">
      <c r="B75" t="inlineStr">
        <is>
          <t>Bharat Rasayan Ltd.</t>
        </is>
      </c>
      <c r="C75" t="inlineStr">
        <is>
          <t>INE838B01013</t>
        </is>
      </c>
      <c r="D75" t="inlineStr">
        <is>
          <t>Fertilizers &amp; Agrochemicals</t>
        </is>
      </c>
      <c r="E75" t="n">
        <v>63964</v>
      </c>
      <c r="F75" t="n">
        <v>6653.54</v>
      </c>
      <c r="G75" t="n">
        <v>0.58</v>
      </c>
    </row>
    <row r="76">
      <c r="B76" t="inlineStr">
        <is>
          <t>Hitachi Energy India Ltd.</t>
        </is>
      </c>
      <c r="C76" t="inlineStr">
        <is>
          <t>INE07Y701011</t>
        </is>
      </c>
      <c r="D76" t="inlineStr">
        <is>
          <t>Electrical Equipment</t>
        </is>
      </c>
      <c r="E76" t="n">
        <v>29748</v>
      </c>
      <c r="F76" t="n">
        <v>6561.22</v>
      </c>
      <c r="G76" t="n">
        <v>0.57</v>
      </c>
    </row>
    <row r="77">
      <c r="B77" t="inlineStr">
        <is>
          <t>Page Industries Ltd.</t>
        </is>
      </c>
      <c r="C77" t="inlineStr">
        <is>
          <t>INE761H01022</t>
        </is>
      </c>
      <c r="D77" t="inlineStr">
        <is>
          <t>Textiles &amp; Apparels</t>
        </is>
      </c>
      <c r="E77" t="n">
        <v>17013</v>
      </c>
      <c r="F77" t="n">
        <v>6519.38</v>
      </c>
      <c r="G77" t="n">
        <v>0.57</v>
      </c>
    </row>
    <row r="78">
      <c r="B78" t="inlineStr">
        <is>
          <t>Sagility Ltd.</t>
        </is>
      </c>
      <c r="C78" t="inlineStr">
        <is>
          <t>INE0W2G01015</t>
        </is>
      </c>
      <c r="D78" t="inlineStr">
        <is>
          <t>IT - Services</t>
        </is>
      </c>
      <c r="E78" t="n">
        <v>12709036</v>
      </c>
      <c r="F78" t="n">
        <v>6364.69</v>
      </c>
      <c r="G78" t="n">
        <v>0.55</v>
      </c>
    </row>
    <row r="79">
      <c r="B79" t="inlineStr">
        <is>
          <t>Suzlon Energy Ltd.</t>
        </is>
      </c>
      <c r="C79" t="inlineStr">
        <is>
          <t>INE040H01021</t>
        </is>
      </c>
      <c r="D79" t="inlineStr">
        <is>
          <t>Electrical Equipment</t>
        </is>
      </c>
      <c r="E79" t="n">
        <v>11692153</v>
      </c>
      <c r="F79" t="n">
        <v>6314.93</v>
      </c>
      <c r="G79" t="n">
        <v>0.55</v>
      </c>
    </row>
    <row r="80">
      <c r="B80" t="inlineStr">
        <is>
          <t>360 One Wam Ltd.</t>
        </is>
      </c>
      <c r="C80" t="inlineStr">
        <is>
          <t>INE466L01038</t>
        </is>
      </c>
      <c r="D80" t="inlineStr">
        <is>
          <t>Capital Markets</t>
        </is>
      </c>
      <c r="E80" t="n">
        <v>530904</v>
      </c>
      <c r="F80" t="n">
        <v>6281.66</v>
      </c>
      <c r="G80" t="n">
        <v>0.54</v>
      </c>
    </row>
    <row r="81">
      <c r="B81" t="inlineStr">
        <is>
          <t>Bharat Electronics Ltd.</t>
        </is>
      </c>
      <c r="C81" t="inlineStr">
        <is>
          <t>INE263A01024</t>
        </is>
      </c>
      <c r="D81" t="inlineStr">
        <is>
          <t>Aerospace &amp; Defense</t>
        </is>
      </c>
      <c r="E81" t="n">
        <v>1512000</v>
      </c>
      <c r="F81" t="n">
        <v>6225.66</v>
      </c>
      <c r="G81" t="n">
        <v>0.54</v>
      </c>
    </row>
    <row r="82">
      <c r="B82" t="inlineStr">
        <is>
          <t>Triveni Turbine Ltd.</t>
        </is>
      </c>
      <c r="C82" t="inlineStr">
        <is>
          <t>INE152M01016</t>
        </is>
      </c>
      <c r="D82" t="inlineStr">
        <is>
          <t>Electrical Equipment</t>
        </is>
      </c>
      <c r="E82" t="n">
        <v>1127032</v>
      </c>
      <c r="F82" t="n">
        <v>6051.03</v>
      </c>
      <c r="G82" t="n">
        <v>0.52</v>
      </c>
    </row>
    <row r="83">
      <c r="B83" t="inlineStr">
        <is>
          <t>Sai Life Sciences Ltd</t>
        </is>
      </c>
      <c r="C83" t="inlineStr">
        <is>
          <t>INE570L01029</t>
        </is>
      </c>
      <c r="D83" t="inlineStr">
        <is>
          <t>Pharmaceuticals &amp; Biotechnology</t>
        </is>
      </c>
      <c r="E83" t="n">
        <v>679164</v>
      </c>
      <c r="F83" t="n">
        <v>6006.53</v>
      </c>
      <c r="G83" t="n">
        <v>0.52</v>
      </c>
    </row>
    <row r="84">
      <c r="B84" t="inlineStr">
        <is>
          <t>Anthem Biosciences Ltd.</t>
        </is>
      </c>
      <c r="C84" t="inlineStr">
        <is>
          <t>INE0CZ201020</t>
        </is>
      </c>
      <c r="D84" t="inlineStr">
        <is>
          <t>Pharmaceuticals &amp; Biotechnology</t>
        </is>
      </c>
      <c r="E84" t="n">
        <v>919299</v>
      </c>
      <c r="F84" t="n">
        <v>5834.79</v>
      </c>
      <c r="G84" t="n">
        <v>0.51</v>
      </c>
    </row>
    <row r="85">
      <c r="B85" t="inlineStr">
        <is>
          <t>City Union Bank Ltd.</t>
        </is>
      </c>
      <c r="C85" t="inlineStr">
        <is>
          <t>INE491A01021</t>
        </is>
      </c>
      <c r="D85" t="inlineStr">
        <is>
          <t>Banks</t>
        </is>
      </c>
      <c r="E85" t="n">
        <v>2098979</v>
      </c>
      <c r="F85" t="n">
        <v>5689.91</v>
      </c>
      <c r="G85" t="n">
        <v>0.49</v>
      </c>
    </row>
    <row r="86">
      <c r="B86" t="inlineStr">
        <is>
          <t>KPIT Technologies Ltd.</t>
        </is>
      </c>
      <c r="C86" t="inlineStr">
        <is>
          <t>INE04I401011</t>
        </is>
      </c>
      <c r="D86" t="inlineStr">
        <is>
          <t>IT - Software</t>
        </is>
      </c>
      <c r="E86" t="n">
        <v>465183</v>
      </c>
      <c r="F86" t="n">
        <v>5686.4</v>
      </c>
      <c r="G86" t="n">
        <v>0.49</v>
      </c>
    </row>
    <row r="87">
      <c r="B87" t="inlineStr">
        <is>
          <t>Aster DM Healthcare Ltd.</t>
        </is>
      </c>
      <c r="C87" t="inlineStr">
        <is>
          <t>INE914M01019</t>
        </is>
      </c>
      <c r="D87" t="inlineStr">
        <is>
          <t>Healthcare Services</t>
        </is>
      </c>
      <c r="E87" t="n">
        <v>832679</v>
      </c>
      <c r="F87" t="n">
        <v>5541.06</v>
      </c>
      <c r="G87" t="n">
        <v>0.48</v>
      </c>
    </row>
    <row r="88">
      <c r="B88" t="inlineStr">
        <is>
          <t>Endurance Technologies Ltd.</t>
        </is>
      </c>
      <c r="C88" t="inlineStr">
        <is>
          <t>INE913H01037</t>
        </is>
      </c>
      <c r="D88" t="inlineStr">
        <is>
          <t>Auto Components</t>
        </is>
      </c>
      <c r="E88" t="n">
        <v>199401</v>
      </c>
      <c r="F88" t="n">
        <v>5271.36</v>
      </c>
      <c r="G88" t="n">
        <v>0.46</v>
      </c>
    </row>
    <row r="89">
      <c r="B89" t="inlineStr">
        <is>
          <t>Sona BLW Precision Forgings Ltd.</t>
        </is>
      </c>
      <c r="C89" t="inlineStr">
        <is>
          <t>INE073K01018</t>
        </is>
      </c>
      <c r="D89" t="inlineStr">
        <is>
          <t>Auto Components</t>
        </is>
      </c>
      <c r="E89" t="n">
        <v>940591</v>
      </c>
      <c r="F89" t="n">
        <v>4813.47</v>
      </c>
      <c r="G89" t="n">
        <v>0.42</v>
      </c>
    </row>
    <row r="90">
      <c r="B90" t="inlineStr">
        <is>
          <t>PI Industries Ltd.</t>
        </is>
      </c>
      <c r="C90" t="inlineStr">
        <is>
          <t>INE603J01030</t>
        </is>
      </c>
      <c r="D90" t="inlineStr">
        <is>
          <t>Fertilizers &amp; Agrochemicals</t>
        </is>
      </c>
      <c r="E90" t="n">
        <v>137568</v>
      </c>
      <c r="F90" t="n">
        <v>4671.26</v>
      </c>
      <c r="G90" t="n">
        <v>0.41</v>
      </c>
    </row>
    <row r="91">
      <c r="B91" t="inlineStr">
        <is>
          <t>Trent Ltd.</t>
        </is>
      </c>
      <c r="C91" t="inlineStr">
        <is>
          <t>INE849A01020</t>
        </is>
      </c>
      <c r="D91" t="inlineStr">
        <is>
          <t>Retailing</t>
        </is>
      </c>
      <c r="E91" t="n">
        <v>109335</v>
      </c>
      <c r="F91" t="n">
        <v>4647.17</v>
      </c>
      <c r="G91" t="n">
        <v>0.4</v>
      </c>
    </row>
    <row r="92">
      <c r="B92" t="inlineStr">
        <is>
          <t>Affle 3i Ltd.</t>
        </is>
      </c>
      <c r="C92" t="inlineStr">
        <is>
          <t>INE00WC01027</t>
        </is>
      </c>
      <c r="D92" t="inlineStr">
        <is>
          <t>IT - Services</t>
        </is>
      </c>
      <c r="E92" t="n">
        <v>217954</v>
      </c>
      <c r="F92" t="n">
        <v>3620</v>
      </c>
      <c r="G92" t="n">
        <v>0.31</v>
      </c>
    </row>
    <row r="93">
      <c r="B93" t="inlineStr">
        <is>
          <t>Dr Agarwal's Health Care Ltd.</t>
        </is>
      </c>
      <c r="C93" t="inlineStr">
        <is>
          <t>INE943P01029</t>
        </is>
      </c>
      <c r="D93" t="inlineStr">
        <is>
          <t>Healthcare Services</t>
        </is>
      </c>
      <c r="E93" t="n">
        <v>429407</v>
      </c>
      <c r="F93" t="n">
        <v>2291.96</v>
      </c>
      <c r="G93" t="n">
        <v>0.2</v>
      </c>
    </row>
    <row r="94">
      <c r="B94" t="inlineStr">
        <is>
          <t>Voltas Ltd.</t>
        </is>
      </c>
      <c r="C94" t="inlineStr">
        <is>
          <t>INE226A01021</t>
        </is>
      </c>
      <c r="D94" t="inlineStr">
        <is>
          <t>Consumer Durables</t>
        </is>
      </c>
      <c r="E94" t="n">
        <v>153983</v>
      </c>
      <c r="F94" t="n">
        <v>2119.27</v>
      </c>
      <c r="G94" t="n">
        <v>0.18</v>
      </c>
    </row>
    <row r="95">
      <c r="B95" t="inlineStr">
        <is>
          <t>MRS Bectors Food Specialities Ltd.</t>
        </is>
      </c>
      <c r="C95" t="inlineStr">
        <is>
          <t>INE495P01012</t>
        </is>
      </c>
      <c r="D95" t="inlineStr">
        <is>
          <t>Food Products</t>
        </is>
      </c>
      <c r="E95" t="n">
        <v>24675</v>
      </c>
      <c r="F95" t="n">
        <v>320.85</v>
      </c>
      <c r="G95" t="n">
        <v>0.03</v>
      </c>
    </row>
    <row r="96">
      <c r="B96" t="inlineStr">
        <is>
          <t>Sub Total</t>
        </is>
      </c>
      <c r="F96" t="n">
        <v>1104875.82</v>
      </c>
      <c r="G96" t="n">
        <v>95.84</v>
      </c>
    </row>
    <row r="97"/>
    <row r="98">
      <c r="B98" t="inlineStr">
        <is>
          <t>(b) Unlisted</t>
        </is>
      </c>
    </row>
    <row r="99">
      <c r="F99" t="n">
        <v>0</v>
      </c>
      <c r="G99" t="n">
        <v>0</v>
      </c>
    </row>
    <row r="100">
      <c r="B100" t="inlineStr">
        <is>
          <t>Sub Total</t>
        </is>
      </c>
      <c r="F100" t="inlineStr">
        <is>
          <t>NIL</t>
        </is>
      </c>
      <c r="G100" t="inlineStr">
        <is>
          <t>NIL</t>
        </is>
      </c>
    </row>
    <row r="101"/>
    <row r="102">
      <c r="B102" t="inlineStr">
        <is>
          <t>TOTAL</t>
        </is>
      </c>
      <c r="F102" t="n">
        <v>1104875.82</v>
      </c>
      <c r="G102" t="n">
        <v>95.84</v>
      </c>
    </row>
    <row r="103">
      <c r="B103" t="inlineStr">
        <is>
          <t>Debt Instruments</t>
        </is>
      </c>
    </row>
    <row r="104"/>
    <row r="105">
      <c r="B105" t="inlineStr">
        <is>
          <t>(a) Listed / Awaiting listing on Stock Exchanges</t>
        </is>
      </c>
    </row>
    <row r="106"/>
    <row r="107">
      <c r="B107" t="inlineStr">
        <is>
          <t>Sub Total</t>
        </is>
      </c>
      <c r="F107" t="inlineStr">
        <is>
          <t>NIL</t>
        </is>
      </c>
      <c r="G107" t="inlineStr">
        <is>
          <t>NIL</t>
        </is>
      </c>
    </row>
    <row r="108"/>
    <row r="109">
      <c r="B109" t="inlineStr">
        <is>
          <t>(b)Privately Placed/Unlisted</t>
        </is>
      </c>
    </row>
    <row r="110">
      <c r="F110" t="n">
        <v>0</v>
      </c>
      <c r="G110" t="n">
        <v>0</v>
      </c>
    </row>
    <row r="111">
      <c r="B111" t="inlineStr">
        <is>
          <t>Sub Total</t>
        </is>
      </c>
      <c r="F111" t="inlineStr">
        <is>
          <t>NIL</t>
        </is>
      </c>
      <c r="G111" t="inlineStr">
        <is>
          <t>NIL</t>
        </is>
      </c>
    </row>
    <row r="112"/>
    <row r="113">
      <c r="B113" t="inlineStr">
        <is>
          <t>(c)Securitised Debt Instruments</t>
        </is>
      </c>
    </row>
    <row r="114">
      <c r="F114" t="n">
        <v>0</v>
      </c>
      <c r="G114" t="n">
        <v>0</v>
      </c>
    </row>
    <row r="115">
      <c r="B115" t="inlineStr">
        <is>
          <t>Sub Total</t>
        </is>
      </c>
      <c r="F115" t="inlineStr">
        <is>
          <t>NIL</t>
        </is>
      </c>
      <c r="G115" t="inlineStr">
        <is>
          <t>NIL</t>
        </is>
      </c>
    </row>
    <row r="116"/>
    <row r="117">
      <c r="B117" t="inlineStr">
        <is>
          <t>TOTAL</t>
        </is>
      </c>
      <c r="F117" t="inlineStr">
        <is>
          <t>NIL</t>
        </is>
      </c>
      <c r="G117" t="inlineStr">
        <is>
          <t>NIL</t>
        </is>
      </c>
    </row>
    <row r="118"/>
    <row r="119">
      <c r="B119" t="inlineStr">
        <is>
          <t>Preference Shares - (Awaiting listing on Stock Exchanges)</t>
        </is>
      </c>
    </row>
    <row r="120">
      <c r="B120" t="inlineStr">
        <is>
          <t>TVS Motor Company Ltd. ** #</t>
        </is>
      </c>
      <c r="C120" t="inlineStr">
        <is>
          <t>INE494B04019</t>
        </is>
      </c>
      <c r="D120" t="inlineStr">
        <is>
          <t>CARE A1+</t>
        </is>
      </c>
      <c r="E120" t="n">
        <v>2518108</v>
      </c>
      <c r="F120" t="n">
        <v>255.35</v>
      </c>
      <c r="G120" t="n">
        <v>0.02</v>
      </c>
      <c r="H120" t="n">
        <v>6.04</v>
      </c>
    </row>
    <row r="121">
      <c r="B121" t="inlineStr">
        <is>
          <t>Sub Total</t>
        </is>
      </c>
      <c r="F121">
        <f>SUM(F120)</f>
        <v/>
      </c>
      <c r="G121">
        <f>SUM(G120)</f>
        <v/>
      </c>
    </row>
    <row r="122"/>
    <row r="123">
      <c r="B123" t="inlineStr">
        <is>
          <t>TOTAL</t>
        </is>
      </c>
      <c r="F123">
        <f>F121</f>
        <v/>
      </c>
      <c r="G123">
        <f>G121</f>
        <v/>
      </c>
    </row>
    <row r="124"/>
    <row r="125">
      <c r="B125" t="inlineStr">
        <is>
          <t>Money Market Instruments</t>
        </is>
      </c>
    </row>
    <row r="126"/>
    <row r="127">
      <c r="B127" t="inlineStr">
        <is>
          <t>Treasury Bill</t>
        </is>
      </c>
    </row>
    <row r="128">
      <c r="B128" t="inlineStr">
        <is>
          <t>364 DAYS TBILL RED 29-10-2026</t>
        </is>
      </c>
      <c r="C128" t="inlineStr">
        <is>
          <t>IN002025Z310</t>
        </is>
      </c>
      <c r="D128" t="inlineStr">
        <is>
          <t>SOVEREIGN</t>
        </is>
      </c>
      <c r="E128" t="n">
        <v>1700000</v>
      </c>
      <c r="F128" t="n">
        <v>1618.86</v>
      </c>
      <c r="G128" t="n">
        <v>0.14</v>
      </c>
      <c r="H128" t="n">
        <v>5.5103</v>
      </c>
    </row>
    <row r="129">
      <c r="B129" t="inlineStr">
        <is>
          <t>Sub Total</t>
        </is>
      </c>
      <c r="F129" t="n">
        <v>1618.86</v>
      </c>
      <c r="G129" t="n">
        <v>0.14</v>
      </c>
    </row>
    <row r="130"/>
    <row r="131">
      <c r="B131" t="inlineStr">
        <is>
          <t>TOTAL</t>
        </is>
      </c>
      <c r="F131" t="n">
        <v>1618.86</v>
      </c>
      <c r="G131" t="n">
        <v>0.14</v>
      </c>
    </row>
    <row r="132"/>
    <row r="133">
      <c r="B133" t="inlineStr">
        <is>
          <t>Margin Mutual Fund Units</t>
        </is>
      </c>
    </row>
    <row r="134">
      <c r="B134" t="inlineStr">
        <is>
          <t>PGIM India Liquid Fund</t>
        </is>
      </c>
      <c r="C134" t="inlineStr">
        <is>
          <t>INF223J01NS5</t>
        </is>
      </c>
      <c r="E134" t="n">
        <v>1449826.958</v>
      </c>
      <c r="F134" t="n">
        <v>5109.67</v>
      </c>
      <c r="G134" t="n">
        <v>0.44</v>
      </c>
    </row>
    <row r="135">
      <c r="B135" t="inlineStr">
        <is>
          <t>Sub Total</t>
        </is>
      </c>
      <c r="F135" t="n">
        <v>5109.67</v>
      </c>
      <c r="G135" t="n">
        <v>0.44</v>
      </c>
    </row>
    <row r="136"/>
    <row r="137">
      <c r="B137" t="inlineStr">
        <is>
          <t>TOTAL</t>
        </is>
      </c>
      <c r="F137" t="n">
        <v>5109.67</v>
      </c>
      <c r="G137" t="n">
        <v>0.44</v>
      </c>
    </row>
    <row r="138"/>
    <row r="139">
      <c r="B139" t="inlineStr">
        <is>
          <t>Treps / Reverse Repo</t>
        </is>
      </c>
    </row>
    <row r="140">
      <c r="B140" t="inlineStr">
        <is>
          <t>Clearing Corporation of India Ltd.</t>
        </is>
      </c>
      <c r="F140" t="n">
        <v>42440.66</v>
      </c>
      <c r="G140" t="n">
        <v>3.68</v>
      </c>
    </row>
    <row r="141">
      <c r="B141" t="inlineStr">
        <is>
          <t>Sub Total</t>
        </is>
      </c>
      <c r="F141" t="n">
        <v>42440.66</v>
      </c>
      <c r="G141" t="n">
        <v>3.68</v>
      </c>
    </row>
    <row r="142"/>
    <row r="143">
      <c r="B143" t="inlineStr">
        <is>
          <t>TOTAL</t>
        </is>
      </c>
      <c r="F143" t="n">
        <v>42440.66</v>
      </c>
      <c r="G143" t="n">
        <v>3.68</v>
      </c>
    </row>
    <row r="144"/>
    <row r="145">
      <c r="B145" t="inlineStr">
        <is>
          <t>Net Receivables / (Payables)</t>
        </is>
      </c>
      <c r="F145" t="n">
        <v>-1551.99</v>
      </c>
      <c r="G145" t="n">
        <v>-0.1200000000000045</v>
      </c>
    </row>
    <row r="146"/>
    <row r="147">
      <c r="B147" t="inlineStr">
        <is>
          <t>GRAND TOTAL</t>
        </is>
      </c>
      <c r="F147" t="n">
        <v>1152748.37</v>
      </c>
      <c r="G147" t="n">
        <v>100</v>
      </c>
    </row>
    <row r="148"/>
    <row r="149">
      <c r="B149" t="inlineStr">
        <is>
          <t>#  Unlisted Security</t>
        </is>
      </c>
    </row>
    <row r="150">
      <c r="B150" t="inlineStr">
        <is>
          <t>** Non Traded Security</t>
        </is>
      </c>
    </row>
    <row r="151"/>
    <row r="152"/>
    <row r="153"/>
    <row r="154"/>
    <row r="155"/>
    <row r="156">
      <c r="B156" t="inlineStr">
        <is>
          <t>Notes:</t>
        </is>
      </c>
    </row>
    <row r="157">
      <c r="B157" t="inlineStr">
        <is>
          <t>1. Plan / Option-wise Net Asset Value per unit are as below :   (Face Value per unit = Rs. 10)</t>
        </is>
      </c>
    </row>
    <row r="158">
      <c r="B158" t="inlineStr">
        <is>
          <t xml:space="preserve">Plan / Option </t>
        </is>
      </c>
      <c r="C158" s="1" t="n">
        <v>45961</v>
      </c>
      <c r="D158" s="1" t="n">
        <v>45989</v>
      </c>
    </row>
    <row r="159">
      <c r="B159" t="inlineStr">
        <is>
          <t>Direct Plan</t>
        </is>
      </c>
      <c r="C159" t="inlineStr">
        <is>
          <t>(INR)</t>
        </is>
      </c>
      <c r="D159" t="inlineStr">
        <is>
          <t>(INR)</t>
        </is>
      </c>
    </row>
    <row r="160">
      <c r="B160" t="inlineStr">
        <is>
          <t>Growth</t>
        </is>
      </c>
      <c r="C160" t="n">
        <v>76.05</v>
      </c>
      <c r="D160" t="n">
        <v>75.84</v>
      </c>
    </row>
    <row r="161">
      <c r="B161" t="inlineStr">
        <is>
          <t>IDCW (earlier called Dividend)</t>
        </is>
      </c>
      <c r="C161" t="n">
        <v>63.03</v>
      </c>
      <c r="D161" t="n">
        <v>62.86</v>
      </c>
    </row>
    <row r="162">
      <c r="B162" t="inlineStr">
        <is>
          <t>Regular Plan</t>
        </is>
      </c>
    </row>
    <row r="163">
      <c r="B163" t="inlineStr">
        <is>
          <t>Growth</t>
        </is>
      </c>
      <c r="C163" t="n">
        <v>65.43000000000001</v>
      </c>
      <c r="D163" t="n">
        <v>65.19</v>
      </c>
    </row>
    <row r="164">
      <c r="B164" t="inlineStr">
        <is>
          <t>IDCW (earlier called Dividend)</t>
        </is>
      </c>
      <c r="C164" t="n">
        <v>25.63</v>
      </c>
      <c r="D164" t="n">
        <v>25.54</v>
      </c>
    </row>
    <row r="165"/>
    <row r="166">
      <c r="B166" t="inlineStr">
        <is>
          <t>2.   Exposure to derivative instruments in the scheme at the end of the month</t>
        </is>
      </c>
      <c r="D166" t="inlineStr">
        <is>
          <t>NIL</t>
        </is>
      </c>
    </row>
    <row r="167"/>
    <row r="168">
      <c r="B168" t="inlineStr">
        <is>
          <t>3.  Derivatives Transactions in the scheme for the month</t>
        </is>
      </c>
      <c r="D168" t="inlineStr">
        <is>
          <t>NIL</t>
        </is>
      </c>
    </row>
    <row r="169"/>
    <row r="170">
      <c r="B170" t="inlineStr">
        <is>
          <t>4.   Investment in foreign securities/ADRs/GDRs at the end of the month (INR Lacs)</t>
        </is>
      </c>
      <c r="D170" t="inlineStr">
        <is>
          <t>NIL</t>
        </is>
      </c>
    </row>
    <row r="171"/>
    <row r="172">
      <c r="B172" t="inlineStr">
        <is>
          <t>5.   Investment in short term deposits at the end of the month (INR Lacs)</t>
        </is>
      </c>
      <c r="D172" t="inlineStr">
        <is>
          <t>NIL</t>
        </is>
      </c>
    </row>
    <row r="173"/>
    <row r="174">
      <c r="B174" t="inlineStr">
        <is>
          <t>6. Portfolio Turnover Ratio</t>
        </is>
      </c>
      <c r="D174" t="n">
        <v>0.38</v>
      </c>
    </row>
    <row r="175"/>
    <row r="176">
      <c r="B176" t="inlineStr">
        <is>
          <t>7.   Aggregate IDCW (earlier called Dividend) declared during the month</t>
        </is>
      </c>
      <c r="D176" t="inlineStr">
        <is>
          <t>NIL</t>
        </is>
      </c>
    </row>
    <row r="177"/>
    <row r="178">
      <c r="B178" t="inlineStr">
        <is>
          <t>8.   (a) Total Exposure to illiquid securities in the portfolio (INR Lacs)</t>
        </is>
      </c>
      <c r="D178" t="inlineStr">
        <is>
          <t>NIL</t>
        </is>
      </c>
    </row>
    <row r="179">
      <c r="B179" t="inlineStr">
        <is>
          <t xml:space="preserve">     (b) Total Exposure to illiquid securities in the portfolio (% of AUM)</t>
        </is>
      </c>
      <c r="D179" t="inlineStr">
        <is>
          <t>NIL</t>
        </is>
      </c>
    </row>
    <row r="180"/>
    <row r="181">
      <c r="B181" t="inlineStr">
        <is>
          <t>9.   Instances of Fair valuation of securities or Deviation in valuation from what is  provided by valuation agencies</t>
        </is>
      </c>
      <c r="D181" t="inlineStr">
        <is>
          <t>NIL</t>
        </is>
      </c>
    </row>
    <row r="182"/>
    <row r="183">
      <c r="B183" t="inlineStr">
        <is>
          <t>10. Securities in default beyond its maturity date in the portfolio of the scheme</t>
        </is>
      </c>
      <c r="D183" t="inlineStr">
        <is>
          <t>NIL</t>
        </is>
      </c>
    </row>
    <row r="184">
      <c r="B184" t="inlineStr">
        <is>
          <t xml:space="preserve">11. For Performance of the scheme refer - </t>
        </is>
      </c>
      <c r="C184" t="inlineStr">
        <is>
          <t>PGIM India Mid Cap Opportunities Fund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43"/>
  <sheetViews>
    <sheetView workbookViewId="0">
      <selection activeCell="A1" sqref="A1"/>
    </sheetView>
  </sheetViews>
  <sheetFormatPr baseColWidth="8" defaultRowHeight="15"/>
  <sheetData>
    <row r="1">
      <c r="B1" t="inlineStr">
        <is>
          <t>PGIM INDIA SMALL CAP FUND</t>
        </is>
      </c>
    </row>
    <row r="2">
      <c r="B2" t="inlineStr">
        <is>
          <t>(An Open-Ended Equity Scheme Predominantly Investing In Small Cap Stocks)</t>
        </is>
      </c>
    </row>
    <row r="3">
      <c r="B3" t="inlineStr">
        <is>
          <t xml:space="preserve">Riskometer of the Scheme </t>
        </is>
      </c>
      <c r="E3" t="inlineStr">
        <is>
          <t xml:space="preserve">Riskometer of the Benchmark (Nifty Small Cap 250 TRI) </t>
        </is>
      </c>
    </row>
    <row r="4"/>
    <row r="5"/>
    <row r="6"/>
    <row r="7"/>
    <row r="8"/>
    <row r="9"/>
    <row r="10">
      <c r="B10" t="inlineStr">
        <is>
          <t>Investors understand that their 
principal will be at very high risk</t>
        </is>
      </c>
      <c r="E10" t="inlineStr">
        <is>
          <t>Benchmark riskometer is at very high risk</t>
        </is>
      </c>
    </row>
    <row r="11">
      <c r="B11" t="inlineStr">
        <is>
          <t>Portfolio Statement as on November 30,2025</t>
        </is>
      </c>
    </row>
    <row r="12">
      <c r="B12" t="inlineStr">
        <is>
          <t>Name of  Instrument</t>
        </is>
      </c>
      <c r="C12" t="inlineStr">
        <is>
          <t>ISIN</t>
        </is>
      </c>
      <c r="D12" t="inlineStr">
        <is>
          <t>Industry/Rating</t>
        </is>
      </c>
      <c r="E12" t="inlineStr">
        <is>
          <t>Quantity</t>
        </is>
      </c>
      <c r="F12" t="inlineStr">
        <is>
          <t>Market/Fair Value  (INR Lacs)</t>
        </is>
      </c>
      <c r="G12" t="inlineStr">
        <is>
          <t>%  to Net Assets</t>
        </is>
      </c>
      <c r="H12" t="inlineStr">
        <is>
          <t xml:space="preserve">% Yield </t>
        </is>
      </c>
    </row>
    <row r="13">
      <c r="B13" t="inlineStr">
        <is>
          <t>Equity &amp; Equity related</t>
        </is>
      </c>
    </row>
    <row r="14"/>
    <row r="15">
      <c r="B15" t="inlineStr">
        <is>
          <t>(a)Listed / Awaiting listing on Stock Exchanges</t>
        </is>
      </c>
    </row>
    <row r="16">
      <c r="B16" t="inlineStr">
        <is>
          <t>Multi Commodity Exchange Of India Ltd.</t>
        </is>
      </c>
      <c r="C16" t="inlineStr">
        <is>
          <t>INE745G01035</t>
        </is>
      </c>
      <c r="D16" t="inlineStr">
        <is>
          <t>Capital Markets</t>
        </is>
      </c>
      <c r="E16" t="n">
        <v>64331</v>
      </c>
      <c r="F16" t="n">
        <v>6480.38</v>
      </c>
      <c r="G16" t="n">
        <v>4.06</v>
      </c>
    </row>
    <row r="17">
      <c r="B17" t="inlineStr">
        <is>
          <t>CCL Products (India) Ltd.</t>
        </is>
      </c>
      <c r="C17" t="inlineStr">
        <is>
          <t>INE421D01022</t>
        </is>
      </c>
      <c r="D17" t="inlineStr">
        <is>
          <t>Agricultural Food &amp; other Products</t>
        </is>
      </c>
      <c r="E17" t="n">
        <v>475850</v>
      </c>
      <c r="F17" t="n">
        <v>4799.42</v>
      </c>
      <c r="G17" t="n">
        <v>3</v>
      </c>
    </row>
    <row r="18">
      <c r="B18" t="inlineStr">
        <is>
          <t>Krishna Inst of Medical Sciences Ltd.</t>
        </is>
      </c>
      <c r="C18" t="inlineStr">
        <is>
          <t>INE967H01025</t>
        </is>
      </c>
      <c r="D18" t="inlineStr">
        <is>
          <t>Healthcare Services</t>
        </is>
      </c>
      <c r="E18" t="n">
        <v>677329</v>
      </c>
      <c r="F18" t="n">
        <v>4640.38</v>
      </c>
      <c r="G18" t="n">
        <v>2.9</v>
      </c>
    </row>
    <row r="19">
      <c r="B19" t="inlineStr">
        <is>
          <t>Solar Industries India Ltd.</t>
        </is>
      </c>
      <c r="C19" t="inlineStr">
        <is>
          <t>INE343H01029</t>
        </is>
      </c>
      <c r="D19" t="inlineStr">
        <is>
          <t>Chemicals &amp; Petrochemicals</t>
        </is>
      </c>
      <c r="E19" t="n">
        <v>32376</v>
      </c>
      <c r="F19" t="n">
        <v>4296.94</v>
      </c>
      <c r="G19" t="n">
        <v>2.69</v>
      </c>
    </row>
    <row r="20">
      <c r="B20" t="inlineStr">
        <is>
          <t>Navin Fluorine International Ltd.</t>
        </is>
      </c>
      <c r="C20" t="inlineStr">
        <is>
          <t>INE048G01026</t>
        </is>
      </c>
      <c r="D20" t="inlineStr">
        <is>
          <t>Chemicals &amp; Petrochemicals</t>
        </is>
      </c>
      <c r="E20" t="n">
        <v>70355</v>
      </c>
      <c r="F20" t="n">
        <v>4035.21</v>
      </c>
      <c r="G20" t="n">
        <v>2.53</v>
      </c>
    </row>
    <row r="21">
      <c r="B21" t="inlineStr">
        <is>
          <t>Doms Industries Ltd.</t>
        </is>
      </c>
      <c r="C21" t="inlineStr">
        <is>
          <t>INE321T01012</t>
        </is>
      </c>
      <c r="D21" t="inlineStr">
        <is>
          <t>Household Products</t>
        </is>
      </c>
      <c r="E21" t="n">
        <v>156737</v>
      </c>
      <c r="F21" t="n">
        <v>3934.1</v>
      </c>
      <c r="G21" t="n">
        <v>2.46</v>
      </c>
    </row>
    <row r="22">
      <c r="B22" t="inlineStr">
        <is>
          <t>Affle 3i Ltd.</t>
        </is>
      </c>
      <c r="C22" t="inlineStr">
        <is>
          <t>INE00WC01027</t>
        </is>
      </c>
      <c r="D22" t="inlineStr">
        <is>
          <t>IT - Services</t>
        </is>
      </c>
      <c r="E22" t="n">
        <v>219887</v>
      </c>
      <c r="F22" t="n">
        <v>3652.1</v>
      </c>
      <c r="G22" t="n">
        <v>2.29</v>
      </c>
    </row>
    <row r="23">
      <c r="B23" t="inlineStr">
        <is>
          <t>JB Chemicals &amp; Pharmaceuticals Ltd.</t>
        </is>
      </c>
      <c r="C23" t="inlineStr">
        <is>
          <t>INE572A01036</t>
        </is>
      </c>
      <c r="D23" t="inlineStr">
        <is>
          <t>Pharmaceuticals &amp; Biotechnology</t>
        </is>
      </c>
      <c r="E23" t="n">
        <v>205663</v>
      </c>
      <c r="F23" t="n">
        <v>3642.91</v>
      </c>
      <c r="G23" t="n">
        <v>2.28</v>
      </c>
    </row>
    <row r="24">
      <c r="B24" t="inlineStr">
        <is>
          <t>MRS Bectors Food Specialities Ltd.</t>
        </is>
      </c>
      <c r="C24" t="inlineStr">
        <is>
          <t>INE495P01012</t>
        </is>
      </c>
      <c r="D24" t="inlineStr">
        <is>
          <t>Food Products</t>
        </is>
      </c>
      <c r="E24" t="n">
        <v>256385</v>
      </c>
      <c r="F24" t="n">
        <v>3333.77</v>
      </c>
      <c r="G24" t="n">
        <v>2.09</v>
      </c>
    </row>
    <row r="25">
      <c r="B25" t="inlineStr">
        <is>
          <t>Blue Star Ltd.</t>
        </is>
      </c>
      <c r="C25" t="inlineStr">
        <is>
          <t>INE472A01039</t>
        </is>
      </c>
      <c r="D25" t="inlineStr">
        <is>
          <t>Consumer Durables</t>
        </is>
      </c>
      <c r="E25" t="n">
        <v>188329</v>
      </c>
      <c r="F25" t="n">
        <v>3324.76</v>
      </c>
      <c r="G25" t="n">
        <v>2.08</v>
      </c>
    </row>
    <row r="26">
      <c r="B26" t="inlineStr">
        <is>
          <t>Radico Khaitan Ltd.</t>
        </is>
      </c>
      <c r="C26" t="inlineStr">
        <is>
          <t>INE944F01028</t>
        </is>
      </c>
      <c r="D26" t="inlineStr">
        <is>
          <t>Beverages</t>
        </is>
      </c>
      <c r="E26" t="n">
        <v>101377</v>
      </c>
      <c r="F26" t="n">
        <v>3252.28</v>
      </c>
      <c r="G26" t="n">
        <v>2.04</v>
      </c>
    </row>
    <row r="27">
      <c r="B27" t="inlineStr">
        <is>
          <t>AWFIS Space Solutions Ltd.</t>
        </is>
      </c>
      <c r="C27" t="inlineStr">
        <is>
          <t>INE108V01019</t>
        </is>
      </c>
      <c r="D27" t="inlineStr">
        <is>
          <t>Commercial Services &amp; Supplies</t>
        </is>
      </c>
      <c r="E27" t="n">
        <v>605067</v>
      </c>
      <c r="F27" t="n">
        <v>3243.16</v>
      </c>
      <c r="G27" t="n">
        <v>2.03</v>
      </c>
    </row>
    <row r="28">
      <c r="B28" t="inlineStr">
        <is>
          <t>Sagility Ltd.</t>
        </is>
      </c>
      <c r="C28" t="inlineStr">
        <is>
          <t>INE0W2G01015</t>
        </is>
      </c>
      <c r="D28" t="inlineStr">
        <is>
          <t>IT - Services</t>
        </is>
      </c>
      <c r="E28" t="n">
        <v>6163724</v>
      </c>
      <c r="F28" t="n">
        <v>3086.79</v>
      </c>
      <c r="G28" t="n">
        <v>1.93</v>
      </c>
    </row>
    <row r="29">
      <c r="B29" t="inlineStr">
        <is>
          <t>Karur Vysya Bank Ltd.</t>
        </is>
      </c>
      <c r="C29" t="inlineStr">
        <is>
          <t>INE036D01028</t>
        </is>
      </c>
      <c r="D29" t="inlineStr">
        <is>
          <t>Banks</t>
        </is>
      </c>
      <c r="E29" t="n">
        <v>1230585</v>
      </c>
      <c r="F29" t="n">
        <v>3051.48</v>
      </c>
      <c r="G29" t="n">
        <v>1.91</v>
      </c>
    </row>
    <row r="30">
      <c r="B30" t="inlineStr">
        <is>
          <t>Vishal Mega Mart Ltd</t>
        </is>
      </c>
      <c r="C30" t="inlineStr">
        <is>
          <t>INE01EA01019</t>
        </is>
      </c>
      <c r="D30" t="inlineStr">
        <is>
          <t>Retailing</t>
        </is>
      </c>
      <c r="E30" t="n">
        <v>2236441</v>
      </c>
      <c r="F30" t="n">
        <v>3037.09</v>
      </c>
      <c r="G30" t="n">
        <v>1.9</v>
      </c>
    </row>
    <row r="31">
      <c r="B31" t="inlineStr">
        <is>
          <t>Sumitomo Chemical India Ltd.</t>
        </is>
      </c>
      <c r="C31" t="inlineStr">
        <is>
          <t>INE258G01013</t>
        </is>
      </c>
      <c r="D31" t="inlineStr">
        <is>
          <t>Fertilizers &amp; Agrochemicals</t>
        </is>
      </c>
      <c r="E31" t="n">
        <v>630408</v>
      </c>
      <c r="F31" t="n">
        <v>2937.7</v>
      </c>
      <c r="G31" t="n">
        <v>1.84</v>
      </c>
    </row>
    <row r="32">
      <c r="B32" t="inlineStr">
        <is>
          <t>Eureka Forbes Ltd.</t>
        </is>
      </c>
      <c r="C32" t="inlineStr">
        <is>
          <t>INE0KCE01017</t>
        </is>
      </c>
      <c r="D32" t="inlineStr">
        <is>
          <t>Consumer Durables</t>
        </is>
      </c>
      <c r="E32" t="n">
        <v>448735</v>
      </c>
      <c r="F32" t="n">
        <v>2921.71</v>
      </c>
      <c r="G32" t="n">
        <v>1.83</v>
      </c>
    </row>
    <row r="33">
      <c r="B33" t="inlineStr">
        <is>
          <t>Dr Agarwal's Health Care Ltd.</t>
        </is>
      </c>
      <c r="C33" t="inlineStr">
        <is>
          <t>INE943P01029</t>
        </is>
      </c>
      <c r="D33" t="inlineStr">
        <is>
          <t>Healthcare Services</t>
        </is>
      </c>
      <c r="E33" t="n">
        <v>537755</v>
      </c>
      <c r="F33" t="n">
        <v>2870.27</v>
      </c>
      <c r="G33" t="n">
        <v>1.8</v>
      </c>
    </row>
    <row r="34">
      <c r="B34" t="inlineStr">
        <is>
          <t>Gabriel India Ltd.</t>
        </is>
      </c>
      <c r="C34" t="inlineStr">
        <is>
          <t>INE524A01029</t>
        </is>
      </c>
      <c r="D34" t="inlineStr">
        <is>
          <t>Auto Components</t>
        </is>
      </c>
      <c r="E34" t="n">
        <v>269101</v>
      </c>
      <c r="F34" t="n">
        <v>2768.24</v>
      </c>
      <c r="G34" t="n">
        <v>1.73</v>
      </c>
    </row>
    <row r="35">
      <c r="B35" t="inlineStr">
        <is>
          <t>Bharat Rasayan Ltd.</t>
        </is>
      </c>
      <c r="C35" t="inlineStr">
        <is>
          <t>INE838B01013</t>
        </is>
      </c>
      <c r="D35" t="inlineStr">
        <is>
          <t>Fertilizers &amp; Agrochemicals</t>
        </is>
      </c>
      <c r="E35" t="n">
        <v>25978</v>
      </c>
      <c r="F35" t="n">
        <v>2702.23</v>
      </c>
      <c r="G35" t="n">
        <v>1.69</v>
      </c>
    </row>
    <row r="36">
      <c r="B36" t="inlineStr">
        <is>
          <t>Sai Life Sciences Ltd</t>
        </is>
      </c>
      <c r="C36" t="inlineStr">
        <is>
          <t>INE570L01029</t>
        </is>
      </c>
      <c r="D36" t="inlineStr">
        <is>
          <t>Pharmaceuticals &amp; Biotechnology</t>
        </is>
      </c>
      <c r="E36" t="n">
        <v>302242</v>
      </c>
      <c r="F36" t="n">
        <v>2673.03</v>
      </c>
      <c r="G36" t="n">
        <v>1.67</v>
      </c>
    </row>
    <row r="37">
      <c r="B37" t="inlineStr">
        <is>
          <t>Data Patterns (India) Ltd.</t>
        </is>
      </c>
      <c r="C37" t="inlineStr">
        <is>
          <t>INE0IX101010</t>
        </is>
      </c>
      <c r="D37" t="inlineStr">
        <is>
          <t>Aerospace &amp; Defense</t>
        </is>
      </c>
      <c r="E37" t="n">
        <v>88500</v>
      </c>
      <c r="F37" t="n">
        <v>2629.16</v>
      </c>
      <c r="G37" t="n">
        <v>1.65</v>
      </c>
    </row>
    <row r="38">
      <c r="B38" t="inlineStr">
        <is>
          <t>Triveni Turbine Ltd.</t>
        </is>
      </c>
      <c r="C38" t="inlineStr">
        <is>
          <t>INE152M01016</t>
        </is>
      </c>
      <c r="D38" t="inlineStr">
        <is>
          <t>Electrical Equipment</t>
        </is>
      </c>
      <c r="E38" t="n">
        <v>487731</v>
      </c>
      <c r="F38" t="n">
        <v>2618.63</v>
      </c>
      <c r="G38" t="n">
        <v>1.64</v>
      </c>
    </row>
    <row r="39">
      <c r="B39" t="inlineStr">
        <is>
          <t>Sansera Engineering Ltd.</t>
        </is>
      </c>
      <c r="C39" t="inlineStr">
        <is>
          <t>INE953O01021</t>
        </is>
      </c>
      <c r="D39" t="inlineStr">
        <is>
          <t>Auto Components</t>
        </is>
      </c>
      <c r="E39" t="n">
        <v>149242</v>
      </c>
      <c r="F39" t="n">
        <v>2610.39</v>
      </c>
      <c r="G39" t="n">
        <v>1.63</v>
      </c>
    </row>
    <row r="40">
      <c r="B40" t="inlineStr">
        <is>
          <t>Safari Industries India Ltd.</t>
        </is>
      </c>
      <c r="C40" t="inlineStr">
        <is>
          <t>INE429E01023</t>
        </is>
      </c>
      <c r="D40" t="inlineStr">
        <is>
          <t>Consumer Durables</t>
        </is>
      </c>
      <c r="E40" t="n">
        <v>106768</v>
      </c>
      <c r="F40" t="n">
        <v>2594.25</v>
      </c>
      <c r="G40" t="n">
        <v>1.62</v>
      </c>
    </row>
    <row r="41">
      <c r="B41" t="inlineStr">
        <is>
          <t>Dixon Technologies (India) Ltd.</t>
        </is>
      </c>
      <c r="C41" t="inlineStr">
        <is>
          <t>INE935N01020</t>
        </is>
      </c>
      <c r="D41" t="inlineStr">
        <is>
          <t>Consumer Durables</t>
        </is>
      </c>
      <c r="E41" t="n">
        <v>17111</v>
      </c>
      <c r="F41" t="n">
        <v>2498.38</v>
      </c>
      <c r="G41" t="n">
        <v>1.56</v>
      </c>
    </row>
    <row r="42">
      <c r="B42" t="inlineStr">
        <is>
          <t>Bikaji Foods International Ltd.</t>
        </is>
      </c>
      <c r="C42" t="inlineStr">
        <is>
          <t>INE00E101023</t>
        </is>
      </c>
      <c r="D42" t="inlineStr">
        <is>
          <t>Food Products</t>
        </is>
      </c>
      <c r="E42" t="n">
        <v>343308</v>
      </c>
      <c r="F42" t="n">
        <v>2462.03</v>
      </c>
      <c r="G42" t="n">
        <v>1.54</v>
      </c>
    </row>
    <row r="43">
      <c r="B43" t="inlineStr">
        <is>
          <t>Ather Energy Ltd.</t>
        </is>
      </c>
      <c r="C43" t="inlineStr">
        <is>
          <t>INE0LEZ01016</t>
        </is>
      </c>
      <c r="D43" t="inlineStr">
        <is>
          <t>Automobiles</t>
        </is>
      </c>
      <c r="E43" t="n">
        <v>340038</v>
      </c>
      <c r="F43" t="n">
        <v>2441.3</v>
      </c>
      <c r="G43" t="n">
        <v>1.53</v>
      </c>
    </row>
    <row r="44">
      <c r="B44" t="inlineStr">
        <is>
          <t>Le Travenues Technology Ltd.</t>
        </is>
      </c>
      <c r="C44" t="inlineStr">
        <is>
          <t>INE0HV901016</t>
        </is>
      </c>
      <c r="D44" t="inlineStr">
        <is>
          <t>Leisure Services</t>
        </is>
      </c>
      <c r="E44" t="n">
        <v>894257</v>
      </c>
      <c r="F44" t="n">
        <v>2386.77</v>
      </c>
      <c r="G44" t="n">
        <v>1.49</v>
      </c>
    </row>
    <row r="45">
      <c r="B45" t="inlineStr">
        <is>
          <t>KEI Industries Ltd.</t>
        </is>
      </c>
      <c r="C45" t="inlineStr">
        <is>
          <t>INE878B01027</t>
        </is>
      </c>
      <c r="D45" t="inlineStr">
        <is>
          <t>Industrial Products</t>
        </is>
      </c>
      <c r="E45" t="n">
        <v>57500</v>
      </c>
      <c r="F45" t="n">
        <v>2383.72</v>
      </c>
      <c r="G45" t="n">
        <v>1.49</v>
      </c>
    </row>
    <row r="46">
      <c r="B46" t="inlineStr">
        <is>
          <t>International Gemmological Inst Ind Ltd.</t>
        </is>
      </c>
      <c r="C46" t="inlineStr">
        <is>
          <t>INE0Q9301021</t>
        </is>
      </c>
      <c r="D46" t="inlineStr">
        <is>
          <t>Commercial Services &amp; Supplies</t>
        </is>
      </c>
      <c r="E46" t="n">
        <v>684863</v>
      </c>
      <c r="F46" t="n">
        <v>2246.35</v>
      </c>
      <c r="G46" t="n">
        <v>1.41</v>
      </c>
    </row>
    <row r="47">
      <c r="B47" t="inlineStr">
        <is>
          <t>TBO Tek Ltd.</t>
        </is>
      </c>
      <c r="C47" t="inlineStr">
        <is>
          <t>INE673O01025</t>
        </is>
      </c>
      <c r="D47" t="inlineStr">
        <is>
          <t>Leisure Services</t>
        </is>
      </c>
      <c r="E47" t="n">
        <v>132934</v>
      </c>
      <c r="F47" t="n">
        <v>2196.47</v>
      </c>
      <c r="G47" t="n">
        <v>1.37</v>
      </c>
    </row>
    <row r="48">
      <c r="B48" t="inlineStr">
        <is>
          <t>Global Health Ltd.</t>
        </is>
      </c>
      <c r="C48" t="inlineStr">
        <is>
          <t>INE474Q01031</t>
        </is>
      </c>
      <c r="D48" t="inlineStr">
        <is>
          <t>Healthcare Services</t>
        </is>
      </c>
      <c r="E48" t="n">
        <v>175412</v>
      </c>
      <c r="F48" t="n">
        <v>2185.63</v>
      </c>
      <c r="G48" t="n">
        <v>1.37</v>
      </c>
    </row>
    <row r="49">
      <c r="B49" t="inlineStr">
        <is>
          <t>Neuland Laboratories Ltd.</t>
        </is>
      </c>
      <c r="C49" t="inlineStr">
        <is>
          <t>INE794A01010</t>
        </is>
      </c>
      <c r="D49" t="inlineStr">
        <is>
          <t>Pharmaceuticals &amp; Biotechnology</t>
        </is>
      </c>
      <c r="E49" t="n">
        <v>12369</v>
      </c>
      <c r="F49" t="n">
        <v>2138.35</v>
      </c>
      <c r="G49" t="n">
        <v>1.34</v>
      </c>
    </row>
    <row r="50">
      <c r="B50" t="inlineStr">
        <is>
          <t>Home First Finance Company India Ltd.</t>
        </is>
      </c>
      <c r="C50" t="inlineStr">
        <is>
          <t>INE481N01025</t>
        </is>
      </c>
      <c r="D50" t="inlineStr">
        <is>
          <t>Finance</t>
        </is>
      </c>
      <c r="E50" t="n">
        <v>191318</v>
      </c>
      <c r="F50" t="n">
        <v>2125.54</v>
      </c>
      <c r="G50" t="n">
        <v>1.33</v>
      </c>
    </row>
    <row r="51">
      <c r="B51" t="inlineStr">
        <is>
          <t>Inventurus Knowledge Solutions Ltd.</t>
        </is>
      </c>
      <c r="C51" t="inlineStr">
        <is>
          <t>INE115Q01022</t>
        </is>
      </c>
      <c r="D51" t="inlineStr">
        <is>
          <t>IT - Services</t>
        </is>
      </c>
      <c r="E51" t="n">
        <v>125000</v>
      </c>
      <c r="F51" t="n">
        <v>2100.75</v>
      </c>
      <c r="G51" t="n">
        <v>1.31</v>
      </c>
    </row>
    <row r="52">
      <c r="B52" t="inlineStr">
        <is>
          <t>JK Lakshmi Cement Ltd.</t>
        </is>
      </c>
      <c r="C52" t="inlineStr">
        <is>
          <t>INE786A01032</t>
        </is>
      </c>
      <c r="D52" t="inlineStr">
        <is>
          <t>Cement &amp; Cement Products</t>
        </is>
      </c>
      <c r="E52" t="n">
        <v>276123</v>
      </c>
      <c r="F52" t="n">
        <v>2095.36</v>
      </c>
      <c r="G52" t="n">
        <v>1.31</v>
      </c>
    </row>
    <row r="53">
      <c r="B53" t="inlineStr">
        <is>
          <t>Timken India Ltd.</t>
        </is>
      </c>
      <c r="C53" t="inlineStr">
        <is>
          <t>INE325A01013</t>
        </is>
      </c>
      <c r="D53" t="inlineStr">
        <is>
          <t>Industrial Products</t>
        </is>
      </c>
      <c r="E53" t="n">
        <v>65790</v>
      </c>
      <c r="F53" t="n">
        <v>2075.28</v>
      </c>
      <c r="G53" t="n">
        <v>1.3</v>
      </c>
    </row>
    <row r="54">
      <c r="B54" t="inlineStr">
        <is>
          <t>JK Cement Ltd.</t>
        </is>
      </c>
      <c r="C54" t="inlineStr">
        <is>
          <t>INE823G01014</t>
        </is>
      </c>
      <c r="D54" t="inlineStr">
        <is>
          <t>Cement &amp; Cement Products</t>
        </is>
      </c>
      <c r="E54" t="n">
        <v>35960</v>
      </c>
      <c r="F54" t="n">
        <v>2070.58</v>
      </c>
      <c r="G54" t="n">
        <v>1.3</v>
      </c>
    </row>
    <row r="55">
      <c r="B55" t="inlineStr">
        <is>
          <t>Gillette India Ltd.</t>
        </is>
      </c>
      <c r="C55" t="inlineStr">
        <is>
          <t>INE322A01010</t>
        </is>
      </c>
      <c r="D55" t="inlineStr">
        <is>
          <t>Personal Products</t>
        </is>
      </c>
      <c r="E55" t="n">
        <v>23422</v>
      </c>
      <c r="F55" t="n">
        <v>2034.08</v>
      </c>
      <c r="G55" t="n">
        <v>1.27</v>
      </c>
    </row>
    <row r="56">
      <c r="B56" t="inlineStr">
        <is>
          <t>Capillary Technologies India Ltd.</t>
        </is>
      </c>
      <c r="C56" t="inlineStr">
        <is>
          <t>INE0ILV01024</t>
        </is>
      </c>
      <c r="D56" t="inlineStr">
        <is>
          <t>IT - Software</t>
        </is>
      </c>
      <c r="E56" t="n">
        <v>314549</v>
      </c>
      <c r="F56" t="n">
        <v>2025.7</v>
      </c>
      <c r="G56" t="n">
        <v>1.27</v>
      </c>
    </row>
    <row r="57">
      <c r="B57" t="inlineStr">
        <is>
          <t>BlueStone Jewellery and Lifestyle Ltd.</t>
        </is>
      </c>
      <c r="C57" t="inlineStr">
        <is>
          <t>INE304W01038</t>
        </is>
      </c>
      <c r="D57" t="inlineStr">
        <is>
          <t>Consumer Durables</t>
        </is>
      </c>
      <c r="E57" t="n">
        <v>338361</v>
      </c>
      <c r="F57" t="n">
        <v>1888.39</v>
      </c>
      <c r="G57" t="n">
        <v>1.18</v>
      </c>
    </row>
    <row r="58">
      <c r="B58" t="inlineStr">
        <is>
          <t>Sharda Motor Industries Ltd.</t>
        </is>
      </c>
      <c r="C58" t="inlineStr">
        <is>
          <t>INE597I01028</t>
        </is>
      </c>
      <c r="D58" t="inlineStr">
        <is>
          <t>Auto Components</t>
        </is>
      </c>
      <c r="E58" t="n">
        <v>200384</v>
      </c>
      <c r="F58" t="n">
        <v>1872.39</v>
      </c>
      <c r="G58" t="n">
        <v>1.17</v>
      </c>
    </row>
    <row r="59">
      <c r="B59" t="inlineStr">
        <is>
          <t>Max Financial Services Ltd.</t>
        </is>
      </c>
      <c r="C59" t="inlineStr">
        <is>
          <t>INE180A01020</t>
        </is>
      </c>
      <c r="D59" t="inlineStr">
        <is>
          <t>Insurance</t>
        </is>
      </c>
      <c r="E59" t="n">
        <v>110000</v>
      </c>
      <c r="F59" t="n">
        <v>1872.31</v>
      </c>
      <c r="G59" t="n">
        <v>1.17</v>
      </c>
    </row>
    <row r="60">
      <c r="B60" t="inlineStr">
        <is>
          <t>Cholamandalam Financial Holdings Ltd.</t>
        </is>
      </c>
      <c r="C60" t="inlineStr">
        <is>
          <t>INE149A01033</t>
        </is>
      </c>
      <c r="D60" t="inlineStr">
        <is>
          <t>Finance</t>
        </is>
      </c>
      <c r="E60" t="n">
        <v>101128</v>
      </c>
      <c r="F60" t="n">
        <v>1867.03</v>
      </c>
      <c r="G60" t="n">
        <v>1.17</v>
      </c>
    </row>
    <row r="61">
      <c r="B61" t="inlineStr">
        <is>
          <t>BlackBuck Ltd.</t>
        </is>
      </c>
      <c r="C61" t="inlineStr">
        <is>
          <t>INE0UIZ01018</t>
        </is>
      </c>
      <c r="D61" t="inlineStr">
        <is>
          <t>Transport Services</t>
        </is>
      </c>
      <c r="E61" t="n">
        <v>273210</v>
      </c>
      <c r="F61" t="n">
        <v>1824.36</v>
      </c>
      <c r="G61" t="n">
        <v>1.14</v>
      </c>
    </row>
    <row r="62">
      <c r="B62" t="inlineStr">
        <is>
          <t>Aster DM Healthcare Ltd.</t>
        </is>
      </c>
      <c r="C62" t="inlineStr">
        <is>
          <t>INE914M01019</t>
        </is>
      </c>
      <c r="D62" t="inlineStr">
        <is>
          <t>Healthcare Services</t>
        </is>
      </c>
      <c r="E62" t="n">
        <v>271011</v>
      </c>
      <c r="F62" t="n">
        <v>1803.44</v>
      </c>
      <c r="G62" t="n">
        <v>1.13</v>
      </c>
    </row>
    <row r="63">
      <c r="B63" t="inlineStr">
        <is>
          <t>MTAR Technologies Ltd.</t>
        </is>
      </c>
      <c r="C63" t="inlineStr">
        <is>
          <t>INE864I01014</t>
        </is>
      </c>
      <c r="D63" t="inlineStr">
        <is>
          <t>Aerospace &amp; Defense</t>
        </is>
      </c>
      <c r="E63" t="n">
        <v>69239</v>
      </c>
      <c r="F63" t="n">
        <v>1753.41</v>
      </c>
      <c r="G63" t="n">
        <v>1.1</v>
      </c>
    </row>
    <row r="64">
      <c r="B64" t="inlineStr">
        <is>
          <t>Pine Labs Ltd.</t>
        </is>
      </c>
      <c r="C64" t="inlineStr">
        <is>
          <t>INE15B701018</t>
        </is>
      </c>
      <c r="D64" t="inlineStr">
        <is>
          <t>Financial Technology (Fintech)</t>
        </is>
      </c>
      <c r="E64" t="n">
        <v>701946</v>
      </c>
      <c r="F64" t="n">
        <v>1753.18</v>
      </c>
      <c r="G64" t="n">
        <v>1.1</v>
      </c>
    </row>
    <row r="65">
      <c r="B65" t="inlineStr">
        <is>
          <t>360 One Wam Ltd.</t>
        </is>
      </c>
      <c r="C65" t="inlineStr">
        <is>
          <t>INE466L01038</t>
        </is>
      </c>
      <c r="D65" t="inlineStr">
        <is>
          <t>Capital Markets</t>
        </is>
      </c>
      <c r="E65" t="n">
        <v>146853</v>
      </c>
      <c r="F65" t="n">
        <v>1737.56</v>
      </c>
      <c r="G65" t="n">
        <v>1.09</v>
      </c>
    </row>
    <row r="66">
      <c r="B66" t="inlineStr">
        <is>
          <t>Kirloskar Pneumatic Co.Ltd.</t>
        </is>
      </c>
      <c r="C66" t="inlineStr">
        <is>
          <t>INE811A01020</t>
        </is>
      </c>
      <c r="D66" t="inlineStr">
        <is>
          <t>Industrial Products</t>
        </is>
      </c>
      <c r="E66" t="n">
        <v>155095</v>
      </c>
      <c r="F66" t="n">
        <v>1685.57</v>
      </c>
      <c r="G66" t="n">
        <v>1.06</v>
      </c>
    </row>
    <row r="67">
      <c r="B67" t="inlineStr">
        <is>
          <t>Akzo Nobel India Ltd.</t>
        </is>
      </c>
      <c r="C67" t="inlineStr">
        <is>
          <t>INE133A01011</t>
        </is>
      </c>
      <c r="D67" t="inlineStr">
        <is>
          <t>Consumer Durables</t>
        </is>
      </c>
      <c r="E67" t="n">
        <v>50317</v>
      </c>
      <c r="F67" t="n">
        <v>1665.9</v>
      </c>
      <c r="G67" t="n">
        <v>1.04</v>
      </c>
    </row>
    <row r="68">
      <c r="B68" t="inlineStr">
        <is>
          <t>PB Fintech Ltd.</t>
        </is>
      </c>
      <c r="C68" t="inlineStr">
        <is>
          <t>INE417T01026</t>
        </is>
      </c>
      <c r="D68" t="inlineStr">
        <is>
          <t>Financial Technology (Fintech)</t>
        </is>
      </c>
      <c r="E68" t="n">
        <v>88300</v>
      </c>
      <c r="F68" t="n">
        <v>1606.09</v>
      </c>
      <c r="G68" t="n">
        <v>1.01</v>
      </c>
    </row>
    <row r="69">
      <c r="B69" t="inlineStr">
        <is>
          <t>Eternal Ltd.</t>
        </is>
      </c>
      <c r="C69" t="inlineStr">
        <is>
          <t>INE758T01015</t>
        </is>
      </c>
      <c r="D69" t="inlineStr">
        <is>
          <t>Retailing</t>
        </is>
      </c>
      <c r="E69" t="n">
        <v>530000</v>
      </c>
      <c r="F69" t="n">
        <v>1590.53</v>
      </c>
      <c r="G69" t="n">
        <v>1</v>
      </c>
    </row>
    <row r="70">
      <c r="B70" t="inlineStr">
        <is>
          <t>Schneider Electric Infrastructure Ltd.</t>
        </is>
      </c>
      <c r="C70" t="inlineStr">
        <is>
          <t>INE839M01018</t>
        </is>
      </c>
      <c r="D70" t="inlineStr">
        <is>
          <t>Electrical Equipment</t>
        </is>
      </c>
      <c r="E70" t="n">
        <v>209802</v>
      </c>
      <c r="F70" t="n">
        <v>1502.92</v>
      </c>
      <c r="G70" t="n">
        <v>0.9399999999999999</v>
      </c>
    </row>
    <row r="71">
      <c r="B71" t="inlineStr">
        <is>
          <t>Tega Industries Ltd.</t>
        </is>
      </c>
      <c r="C71" t="inlineStr">
        <is>
          <t>INE011K01018</t>
        </is>
      </c>
      <c r="D71" t="inlineStr">
        <is>
          <t>Industrial Manufacturing</t>
        </is>
      </c>
      <c r="E71" t="n">
        <v>75699</v>
      </c>
      <c r="F71" t="n">
        <v>1465.23</v>
      </c>
      <c r="G71" t="n">
        <v>0.92</v>
      </c>
    </row>
    <row r="72">
      <c r="B72" t="inlineStr">
        <is>
          <t>Greenply Industries Ltd.</t>
        </is>
      </c>
      <c r="C72" t="inlineStr">
        <is>
          <t>INE461C01038</t>
        </is>
      </c>
      <c r="D72" t="inlineStr">
        <is>
          <t>Consumer Durables</t>
        </is>
      </c>
      <c r="E72" t="n">
        <v>504527</v>
      </c>
      <c r="F72" t="n">
        <v>1425.04</v>
      </c>
      <c r="G72" t="n">
        <v>0.89</v>
      </c>
    </row>
    <row r="73">
      <c r="B73" t="inlineStr">
        <is>
          <t>Creditaccess Grameen Ltd.</t>
        </is>
      </c>
      <c r="C73" t="inlineStr">
        <is>
          <t>INE741K01010</t>
        </is>
      </c>
      <c r="D73" t="inlineStr">
        <is>
          <t>Finance</t>
        </is>
      </c>
      <c r="E73" t="n">
        <v>92184</v>
      </c>
      <c r="F73" t="n">
        <v>1232.59</v>
      </c>
      <c r="G73" t="n">
        <v>0.77</v>
      </c>
    </row>
    <row r="74">
      <c r="B74" t="inlineStr">
        <is>
          <t>Brigade Enterprises Ltd.</t>
        </is>
      </c>
      <c r="C74" t="inlineStr">
        <is>
          <t>INE791I01019</t>
        </is>
      </c>
      <c r="D74" t="inlineStr">
        <is>
          <t>Realty</t>
        </is>
      </c>
      <c r="E74" t="n">
        <v>136172</v>
      </c>
      <c r="F74" t="n">
        <v>1218.88</v>
      </c>
      <c r="G74" t="n">
        <v>0.76</v>
      </c>
    </row>
    <row r="75">
      <c r="B75" t="inlineStr">
        <is>
          <t>LG Electronics India Ltd.</t>
        </is>
      </c>
      <c r="C75" t="inlineStr">
        <is>
          <t>INE324D01010</t>
        </is>
      </c>
      <c r="D75" t="inlineStr">
        <is>
          <t>Consumer Durables</t>
        </is>
      </c>
      <c r="E75" t="n">
        <v>67000</v>
      </c>
      <c r="F75" t="n">
        <v>1111.73</v>
      </c>
      <c r="G75" t="n">
        <v>0.7</v>
      </c>
    </row>
    <row r="76">
      <c r="B76" t="inlineStr">
        <is>
          <t>Urban Company Ltd.</t>
        </is>
      </c>
      <c r="C76" t="inlineStr">
        <is>
          <t>INE0CAZ01013</t>
        </is>
      </c>
      <c r="D76" t="inlineStr">
        <is>
          <t>Retailing</t>
        </is>
      </c>
      <c r="E76" t="n">
        <v>789235</v>
      </c>
      <c r="F76" t="n">
        <v>1065.7</v>
      </c>
      <c r="G76" t="n">
        <v>0.67</v>
      </c>
    </row>
    <row r="77">
      <c r="B77" t="inlineStr">
        <is>
          <t>Kaynes Technology India Ltd.</t>
        </is>
      </c>
      <c r="C77" t="inlineStr">
        <is>
          <t>INE918Z01012</t>
        </is>
      </c>
      <c r="D77" t="inlineStr">
        <is>
          <t>Industrial Manufacturing</t>
        </is>
      </c>
      <c r="E77" t="n">
        <v>17440</v>
      </c>
      <c r="F77" t="n">
        <v>957.46</v>
      </c>
      <c r="G77" t="n">
        <v>0.6</v>
      </c>
    </row>
    <row r="78">
      <c r="B78" t="inlineStr">
        <is>
          <t>Ratnamani Metals &amp; Tubes Ltd.</t>
        </is>
      </c>
      <c r="C78" t="inlineStr">
        <is>
          <t>INE703B01027</t>
        </is>
      </c>
      <c r="D78" t="inlineStr">
        <is>
          <t>Industrial Products</t>
        </is>
      </c>
      <c r="E78" t="n">
        <v>33452</v>
      </c>
      <c r="F78" t="n">
        <v>793.65</v>
      </c>
      <c r="G78" t="n">
        <v>0.5</v>
      </c>
    </row>
    <row r="79">
      <c r="B79" t="inlineStr">
        <is>
          <t>Anthem Biosciences Ltd.</t>
        </is>
      </c>
      <c r="C79" t="inlineStr">
        <is>
          <t>INE0CZ201020</t>
        </is>
      </c>
      <c r="D79" t="inlineStr">
        <is>
          <t>Pharmaceuticals &amp; Biotechnology</t>
        </is>
      </c>
      <c r="E79" t="n">
        <v>124000</v>
      </c>
      <c r="F79" t="n">
        <v>787.03</v>
      </c>
      <c r="G79" t="n">
        <v>0.49</v>
      </c>
    </row>
    <row r="80">
      <c r="B80" t="inlineStr">
        <is>
          <t>Innova Captab Ltd.</t>
        </is>
      </c>
      <c r="C80" t="inlineStr">
        <is>
          <t>INE0DUT01020</t>
        </is>
      </c>
      <c r="D80" t="inlineStr">
        <is>
          <t>Pharmaceuticals &amp; Biotechnology</t>
        </is>
      </c>
      <c r="E80" t="n">
        <v>30632</v>
      </c>
      <c r="F80" t="n">
        <v>220.01</v>
      </c>
      <c r="G80" t="n">
        <v>0.14</v>
      </c>
    </row>
    <row r="81">
      <c r="B81" t="inlineStr">
        <is>
          <t>Sub Total</t>
        </is>
      </c>
      <c r="F81" t="n">
        <v>155303.07</v>
      </c>
      <c r="G81" t="n">
        <v>97.22</v>
      </c>
    </row>
    <row r="82"/>
    <row r="83">
      <c r="B83" t="inlineStr">
        <is>
          <t>(b) Unlisted</t>
        </is>
      </c>
    </row>
    <row r="84">
      <c r="F84" t="n">
        <v>0</v>
      </c>
      <c r="G84" t="n">
        <v>0</v>
      </c>
    </row>
    <row r="85">
      <c r="B85" t="inlineStr">
        <is>
          <t>Sub Total</t>
        </is>
      </c>
      <c r="F85" t="inlineStr">
        <is>
          <t>NIL</t>
        </is>
      </c>
      <c r="G85" t="inlineStr">
        <is>
          <t>NIL</t>
        </is>
      </c>
    </row>
    <row r="86"/>
    <row r="87">
      <c r="B87" t="inlineStr">
        <is>
          <t>TOTAL</t>
        </is>
      </c>
      <c r="F87" t="n">
        <v>155303.07</v>
      </c>
      <c r="G87" t="n">
        <v>97.22</v>
      </c>
    </row>
    <row r="88"/>
    <row r="89">
      <c r="B89" t="inlineStr">
        <is>
          <t>Money Market Instruments</t>
        </is>
      </c>
    </row>
    <row r="90"/>
    <row r="91">
      <c r="B91" t="inlineStr">
        <is>
          <t>Treasury Bill</t>
        </is>
      </c>
    </row>
    <row r="92">
      <c r="B92" t="inlineStr">
        <is>
          <t>364 DAYS TBILL RED 29-10-2026</t>
        </is>
      </c>
      <c r="C92" t="inlineStr">
        <is>
          <t>IN002025Z310</t>
        </is>
      </c>
      <c r="D92" t="inlineStr">
        <is>
          <t>SOVEREIGN</t>
        </is>
      </c>
      <c r="E92" t="n">
        <v>250000</v>
      </c>
      <c r="F92" t="n">
        <v>238.07</v>
      </c>
      <c r="G92" t="n">
        <v>0.15</v>
      </c>
      <c r="H92" t="n">
        <v>5.5103</v>
      </c>
    </row>
    <row r="93">
      <c r="B93" t="inlineStr">
        <is>
          <t>Sub Total</t>
        </is>
      </c>
      <c r="F93" t="n">
        <v>238.07</v>
      </c>
      <c r="G93" t="n">
        <v>0.15</v>
      </c>
    </row>
    <row r="94"/>
    <row r="95">
      <c r="B95" t="inlineStr">
        <is>
          <t>TOTAL</t>
        </is>
      </c>
      <c r="F95" t="n">
        <v>238.07</v>
      </c>
      <c r="G95" t="n">
        <v>0.15</v>
      </c>
    </row>
    <row r="96"/>
    <row r="97"/>
    <row r="98">
      <c r="B98" t="inlineStr">
        <is>
          <t>Treps / Reverse Repo</t>
        </is>
      </c>
    </row>
    <row r="99">
      <c r="B99" t="inlineStr">
        <is>
          <t>Clearing Corporation of India Ltd.</t>
        </is>
      </c>
      <c r="F99" t="n">
        <v>4426.36</v>
      </c>
      <c r="G99" t="n">
        <v>2.77</v>
      </c>
    </row>
    <row r="100">
      <c r="B100" t="inlineStr">
        <is>
          <t>Sub Total</t>
        </is>
      </c>
      <c r="F100" t="n">
        <v>4426.36</v>
      </c>
      <c r="G100" t="n">
        <v>2.77</v>
      </c>
    </row>
    <row r="101"/>
    <row r="102">
      <c r="B102" t="inlineStr">
        <is>
          <t>TOTAL</t>
        </is>
      </c>
      <c r="F102" t="n">
        <v>4426.36</v>
      </c>
      <c r="G102" t="n">
        <v>2.77</v>
      </c>
    </row>
    <row r="103"/>
    <row r="104">
      <c r="B104" t="inlineStr">
        <is>
          <t>Net Receivables / (Payables)</t>
        </is>
      </c>
      <c r="F104" t="n">
        <v>-209</v>
      </c>
      <c r="G104" t="n">
        <v>-0.1400000000000006</v>
      </c>
    </row>
    <row r="105"/>
    <row r="106">
      <c r="B106" t="inlineStr">
        <is>
          <t>GRAND TOTAL</t>
        </is>
      </c>
      <c r="F106" t="n">
        <v>159758.5</v>
      </c>
      <c r="G106" t="n">
        <v>100</v>
      </c>
    </row>
    <row r="107"/>
    <row r="108"/>
    <row r="109"/>
    <row r="110"/>
    <row r="111"/>
    <row r="112"/>
    <row r="113"/>
    <row r="114"/>
    <row r="115">
      <c r="B115" t="inlineStr">
        <is>
          <t>Notes:</t>
        </is>
      </c>
    </row>
    <row r="116">
      <c r="B116" t="inlineStr">
        <is>
          <t>1. Plan / Option-wise Net Asset Value per unit are as below :   (Face Value per unit = Rs. 10)</t>
        </is>
      </c>
    </row>
    <row r="117">
      <c r="B117" t="inlineStr">
        <is>
          <t xml:space="preserve">Plan / Option </t>
        </is>
      </c>
      <c r="C117" s="1" t="n">
        <v>45961</v>
      </c>
      <c r="D117" s="1" t="n">
        <v>45989</v>
      </c>
    </row>
    <row r="118">
      <c r="B118" t="inlineStr">
        <is>
          <t>Direct Plan</t>
        </is>
      </c>
      <c r="C118" t="inlineStr">
        <is>
          <t>(INR)</t>
        </is>
      </c>
      <c r="D118" t="inlineStr">
        <is>
          <t>(INR)</t>
        </is>
      </c>
    </row>
    <row r="119">
      <c r="B119" t="inlineStr">
        <is>
          <t>Growth</t>
        </is>
      </c>
      <c r="C119" t="n">
        <v>17.9</v>
      </c>
      <c r="D119" t="n">
        <v>17.56</v>
      </c>
    </row>
    <row r="120">
      <c r="B120" t="inlineStr">
        <is>
          <t>IDCW (earlier called Dividend)</t>
        </is>
      </c>
      <c r="C120" t="n">
        <v>15.4</v>
      </c>
      <c r="D120" t="n">
        <v>15.11</v>
      </c>
    </row>
    <row r="121">
      <c r="B121" t="inlineStr">
        <is>
          <t>Regular Plan</t>
        </is>
      </c>
    </row>
    <row r="122">
      <c r="B122" t="inlineStr">
        <is>
          <t>Growth</t>
        </is>
      </c>
      <c r="C122" t="n">
        <v>16.66</v>
      </c>
      <c r="D122" t="n">
        <v>16.33</v>
      </c>
    </row>
    <row r="123">
      <c r="B123" t="inlineStr">
        <is>
          <t>IDCW (earlier called Dividend)</t>
        </is>
      </c>
      <c r="C123" t="n">
        <v>14.82</v>
      </c>
      <c r="D123" t="n">
        <v>14.52</v>
      </c>
    </row>
    <row r="124"/>
    <row r="125">
      <c r="B125" t="inlineStr">
        <is>
          <t>2.   Exposure to derivative instruments in the scheme at the end of the month</t>
        </is>
      </c>
      <c r="D125" t="inlineStr">
        <is>
          <t>NIL</t>
        </is>
      </c>
    </row>
    <row r="126"/>
    <row r="127">
      <c r="B127" t="inlineStr">
        <is>
          <t>3.  Derivatives Transactions in the scheme for the month</t>
        </is>
      </c>
      <c r="D127" t="inlineStr">
        <is>
          <t>NIL</t>
        </is>
      </c>
    </row>
    <row r="128"/>
    <row r="129">
      <c r="B129" t="inlineStr">
        <is>
          <t>4.   Investment in foreign securities/ADRs/GDRs at the end of the month (INR Lacs)</t>
        </is>
      </c>
      <c r="D129" t="inlineStr">
        <is>
          <t>NIL</t>
        </is>
      </c>
    </row>
    <row r="130"/>
    <row r="131">
      <c r="B131" t="inlineStr">
        <is>
          <t>5.   Investment in short term deposits at the end of the month (INR Lacs)</t>
        </is>
      </c>
      <c r="D131" t="inlineStr">
        <is>
          <t>NIL</t>
        </is>
      </c>
    </row>
    <row r="132"/>
    <row r="133">
      <c r="B133" t="inlineStr">
        <is>
          <t>6. Portfolio Turnover Ratio</t>
        </is>
      </c>
      <c r="D133" t="n">
        <v>0.46</v>
      </c>
    </row>
    <row r="134"/>
    <row r="135">
      <c r="B135" t="inlineStr">
        <is>
          <t>7.   Aggregate IDCW (earlier called Dividend) declared during the month</t>
        </is>
      </c>
      <c r="D135" t="inlineStr">
        <is>
          <t>NIL</t>
        </is>
      </c>
    </row>
    <row r="136"/>
    <row r="137">
      <c r="B137" t="inlineStr">
        <is>
          <t>8.   (a) Total Exposure to illiquid securities in the portfolio (INR Lacs)</t>
        </is>
      </c>
      <c r="D137" t="inlineStr">
        <is>
          <t>NIL</t>
        </is>
      </c>
    </row>
    <row r="138">
      <c r="B138" t="inlineStr">
        <is>
          <t xml:space="preserve">     (b) Total Exposure to illiquid securities in the portfolio (% of AUM)</t>
        </is>
      </c>
      <c r="D138" t="inlineStr">
        <is>
          <t>NIL</t>
        </is>
      </c>
    </row>
    <row r="139"/>
    <row r="140">
      <c r="B140" t="inlineStr">
        <is>
          <t>9.   Instances of Fair valuation of securities or Deviation in valuation from what is  provided by valuation agencies</t>
        </is>
      </c>
      <c r="D140" t="inlineStr">
        <is>
          <t>NIL</t>
        </is>
      </c>
    </row>
    <row r="141"/>
    <row r="142">
      <c r="B142" t="inlineStr">
        <is>
          <t>10. Securities in default beyond its maturity date in the portfolio of the scheme</t>
        </is>
      </c>
      <c r="D142" t="inlineStr">
        <is>
          <t>NIL</t>
        </is>
      </c>
    </row>
    <row r="143">
      <c r="B143" t="inlineStr">
        <is>
          <t xml:space="preserve">11. For Performance of the scheme refer - </t>
        </is>
      </c>
      <c r="C143" t="inlineStr">
        <is>
          <t>PGIM India Small Cap Fund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74"/>
  <sheetViews>
    <sheetView workbookViewId="0">
      <selection activeCell="A1" sqref="A1"/>
    </sheetView>
  </sheetViews>
  <sheetFormatPr baseColWidth="8" defaultRowHeight="15"/>
  <sheetData>
    <row r="1">
      <c r="B1" t="inlineStr">
        <is>
          <t>PGIM INDIA FLEXI CAP FUND</t>
        </is>
      </c>
    </row>
    <row r="2">
      <c r="B2" t="inlineStr">
        <is>
          <t>(An Open Ended Dynamic Equity Scheme Investing Across Large
Cap, Mid Cap, Small Cap Stocks)</t>
        </is>
      </c>
    </row>
    <row r="3">
      <c r="B3" t="inlineStr">
        <is>
          <t xml:space="preserve">Riskometer of the Scheme </t>
        </is>
      </c>
      <c r="E3" t="inlineStr">
        <is>
          <t xml:space="preserve">Riskometer of the Benchmark (Nifty 500 TR Index) </t>
        </is>
      </c>
    </row>
    <row r="4"/>
    <row r="5"/>
    <row r="6"/>
    <row r="7"/>
    <row r="8"/>
    <row r="9"/>
    <row r="10">
      <c r="B10" t="inlineStr">
        <is>
          <t>Investors understand that their 
principal will be at very high risk</t>
        </is>
      </c>
      <c r="E10" t="inlineStr">
        <is>
          <t>Benchmark riskometer is at very high risk</t>
        </is>
      </c>
    </row>
    <row r="11">
      <c r="B11" t="inlineStr">
        <is>
          <t>Portfolio Statement as on November 30,2025</t>
        </is>
      </c>
    </row>
    <row r="12">
      <c r="B12" t="inlineStr">
        <is>
          <t>Name of  Instrument</t>
        </is>
      </c>
      <c r="C12" t="inlineStr">
        <is>
          <t>ISIN</t>
        </is>
      </c>
      <c r="D12" t="inlineStr">
        <is>
          <t>Industry/Rating</t>
        </is>
      </c>
      <c r="E12" t="inlineStr">
        <is>
          <t>Quantity</t>
        </is>
      </c>
      <c r="F12" t="inlineStr">
        <is>
          <t>Market/Fair Value  (INR Lacs)</t>
        </is>
      </c>
      <c r="G12" t="inlineStr">
        <is>
          <t>%  to Net Assets</t>
        </is>
      </c>
      <c r="H12" t="inlineStr">
        <is>
          <t xml:space="preserve">% Yield </t>
        </is>
      </c>
    </row>
    <row r="13">
      <c r="B13" t="inlineStr">
        <is>
          <t>Equity &amp; Equity related</t>
        </is>
      </c>
    </row>
    <row r="14"/>
    <row r="15">
      <c r="B15" t="inlineStr">
        <is>
          <t>(a)Listed / Awaiting listing on Stock Exchanges</t>
        </is>
      </c>
    </row>
    <row r="16">
      <c r="B16" t="inlineStr">
        <is>
          <t>HDFC Bank Ltd.</t>
        </is>
      </c>
      <c r="C16" t="inlineStr">
        <is>
          <t>INE040A01034</t>
        </is>
      </c>
      <c r="D16" t="inlineStr">
        <is>
          <t>Banks</t>
        </is>
      </c>
      <c r="E16" t="n">
        <v>5754506</v>
      </c>
      <c r="F16" t="n">
        <v>57982.4</v>
      </c>
      <c r="G16" t="n">
        <v>9.06</v>
      </c>
    </row>
    <row r="17">
      <c r="B17" t="inlineStr">
        <is>
          <t>ICICI Bank Ltd.</t>
        </is>
      </c>
      <c r="C17" t="inlineStr">
        <is>
          <t>INE090A01021</t>
        </is>
      </c>
      <c r="D17" t="inlineStr">
        <is>
          <t>Banks</t>
        </is>
      </c>
      <c r="E17" t="n">
        <v>3774039</v>
      </c>
      <c r="F17" t="n">
        <v>52413.85</v>
      </c>
      <c r="G17" t="n">
        <v>8.19</v>
      </c>
    </row>
    <row r="18">
      <c r="B18" t="inlineStr">
        <is>
          <t>Reliance Industries Ltd.</t>
        </is>
      </c>
      <c r="C18" t="inlineStr">
        <is>
          <t>INE002A01018</t>
        </is>
      </c>
      <c r="D18" t="inlineStr">
        <is>
          <t>Petroleum Products</t>
        </is>
      </c>
      <c r="E18" t="n">
        <v>2101358</v>
      </c>
      <c r="F18" t="n">
        <v>32938.79</v>
      </c>
      <c r="G18" t="n">
        <v>5.15</v>
      </c>
    </row>
    <row r="19">
      <c r="B19" t="inlineStr">
        <is>
          <t>Bharti Airtel Ltd.</t>
        </is>
      </c>
      <c r="C19" t="inlineStr">
        <is>
          <t>INE397D01024</t>
        </is>
      </c>
      <c r="D19" t="inlineStr">
        <is>
          <t>Telecom - Services</t>
        </is>
      </c>
      <c r="E19" t="n">
        <v>1047598</v>
      </c>
      <c r="F19" t="n">
        <v>22016.32</v>
      </c>
      <c r="G19" t="n">
        <v>3.44</v>
      </c>
    </row>
    <row r="20">
      <c r="B20" t="inlineStr">
        <is>
          <t>Eternal Ltd.</t>
        </is>
      </c>
      <c r="C20" t="inlineStr">
        <is>
          <t>INE758T01015</t>
        </is>
      </c>
      <c r="D20" t="inlineStr">
        <is>
          <t>Retailing</t>
        </is>
      </c>
      <c r="E20" t="n">
        <v>6449726</v>
      </c>
      <c r="F20" t="n">
        <v>19355.63</v>
      </c>
      <c r="G20" t="n">
        <v>3.02</v>
      </c>
    </row>
    <row r="21">
      <c r="B21" t="inlineStr">
        <is>
          <t>Multi Commodity Exchange Of India Ltd.</t>
        </is>
      </c>
      <c r="C21" t="inlineStr">
        <is>
          <t>INE745G01035</t>
        </is>
      </c>
      <c r="D21" t="inlineStr">
        <is>
          <t>Capital Markets</t>
        </is>
      </c>
      <c r="E21" t="n">
        <v>183180</v>
      </c>
      <c r="F21" t="n">
        <v>18452.64</v>
      </c>
      <c r="G21" t="n">
        <v>2.88</v>
      </c>
    </row>
    <row r="22">
      <c r="B22" t="inlineStr">
        <is>
          <t>TVS Motor Company Ltd.</t>
        </is>
      </c>
      <c r="C22" t="inlineStr">
        <is>
          <t>INE494B01023</t>
        </is>
      </c>
      <c r="D22" t="inlineStr">
        <is>
          <t>Automobiles</t>
        </is>
      </c>
      <c r="E22" t="n">
        <v>518671</v>
      </c>
      <c r="F22" t="n">
        <v>18316.87</v>
      </c>
      <c r="G22" t="n">
        <v>2.86</v>
      </c>
    </row>
    <row r="23">
      <c r="B23" t="inlineStr">
        <is>
          <t>Tata Consultancy Services Ltd.</t>
        </is>
      </c>
      <c r="C23" t="inlineStr">
        <is>
          <t>INE467B01029</t>
        </is>
      </c>
      <c r="D23" t="inlineStr">
        <is>
          <t>IT - Software</t>
        </is>
      </c>
      <c r="E23" t="n">
        <v>547696</v>
      </c>
      <c r="F23" t="n">
        <v>17183.96</v>
      </c>
      <c r="G23" t="n">
        <v>2.68</v>
      </c>
    </row>
    <row r="24">
      <c r="B24" t="inlineStr">
        <is>
          <t>Muthoot Finance Ltd.</t>
        </is>
      </c>
      <c r="C24" t="inlineStr">
        <is>
          <t>INE414G01012</t>
        </is>
      </c>
      <c r="D24" t="inlineStr">
        <is>
          <t>Finance</t>
        </is>
      </c>
      <c r="E24" t="n">
        <v>454205</v>
      </c>
      <c r="F24" t="n">
        <v>17006.34</v>
      </c>
      <c r="G24" t="n">
        <v>2.66</v>
      </c>
    </row>
    <row r="25">
      <c r="B25" t="inlineStr">
        <is>
          <t>VARUN BEVERAGES LIMITED</t>
        </is>
      </c>
      <c r="C25" t="inlineStr">
        <is>
          <t>INE200M01039</t>
        </is>
      </c>
      <c r="D25" t="inlineStr">
        <is>
          <t>Beverages</t>
        </is>
      </c>
      <c r="E25" t="n">
        <v>3522697</v>
      </c>
      <c r="F25" t="n">
        <v>16963.55</v>
      </c>
      <c r="G25" t="n">
        <v>2.65</v>
      </c>
    </row>
    <row r="26">
      <c r="B26" t="inlineStr">
        <is>
          <t>InterGlobe Aviation Ltd.</t>
        </is>
      </c>
      <c r="C26" t="inlineStr">
        <is>
          <t>INE646L01027</t>
        </is>
      </c>
      <c r="D26" t="inlineStr">
        <is>
          <t>Transport Services</t>
        </is>
      </c>
      <c r="E26" t="n">
        <v>284154</v>
      </c>
      <c r="F26" t="n">
        <v>16769.35</v>
      </c>
      <c r="G26" t="n">
        <v>2.62</v>
      </c>
    </row>
    <row r="27">
      <c r="B27" t="inlineStr">
        <is>
          <t>Persistent Systems Ltd.</t>
        </is>
      </c>
      <c r="C27" t="inlineStr">
        <is>
          <t>INE262H01021</t>
        </is>
      </c>
      <c r="D27" t="inlineStr">
        <is>
          <t>IT - Software</t>
        </is>
      </c>
      <c r="E27" t="n">
        <v>220594</v>
      </c>
      <c r="F27" t="n">
        <v>14014.34</v>
      </c>
      <c r="G27" t="n">
        <v>2.19</v>
      </c>
    </row>
    <row r="28">
      <c r="B28" t="inlineStr">
        <is>
          <t>Bajaj Finance Ltd.</t>
        </is>
      </c>
      <c r="C28" t="inlineStr">
        <is>
          <t>INE296A01032</t>
        </is>
      </c>
      <c r="D28" t="inlineStr">
        <is>
          <t>Finance</t>
        </is>
      </c>
      <c r="E28" t="n">
        <v>1322600</v>
      </c>
      <c r="F28" t="n">
        <v>13721.98</v>
      </c>
      <c r="G28" t="n">
        <v>2.14</v>
      </c>
    </row>
    <row r="29">
      <c r="B29" t="inlineStr">
        <is>
          <t>Mahindra &amp; Mahindra Ltd.</t>
        </is>
      </c>
      <c r="C29" t="inlineStr">
        <is>
          <t>INE101A01026</t>
        </is>
      </c>
      <c r="D29" t="inlineStr">
        <is>
          <t>Automobiles</t>
        </is>
      </c>
      <c r="E29" t="n">
        <v>350000</v>
      </c>
      <c r="F29" t="n">
        <v>13150.55</v>
      </c>
      <c r="G29" t="n">
        <v>2.05</v>
      </c>
    </row>
    <row r="30">
      <c r="B30" t="inlineStr">
        <is>
          <t>Larsen &amp; Toubro Ltd.</t>
        </is>
      </c>
      <c r="C30" t="inlineStr">
        <is>
          <t>INE018A01030</t>
        </is>
      </c>
      <c r="D30" t="inlineStr">
        <is>
          <t>Construction</t>
        </is>
      </c>
      <c r="E30" t="n">
        <v>298569</v>
      </c>
      <c r="F30" t="n">
        <v>12150.56</v>
      </c>
      <c r="G30" t="n">
        <v>1.9</v>
      </c>
    </row>
    <row r="31">
      <c r="B31" t="inlineStr">
        <is>
          <t>JK Cement Ltd.</t>
        </is>
      </c>
      <c r="C31" t="inlineStr">
        <is>
          <t>INE823G01014</t>
        </is>
      </c>
      <c r="D31" t="inlineStr">
        <is>
          <t>Cement &amp; Cement Products</t>
        </is>
      </c>
      <c r="E31" t="n">
        <v>176109</v>
      </c>
      <c r="F31" t="n">
        <v>10140.36</v>
      </c>
      <c r="G31" t="n">
        <v>1.58</v>
      </c>
    </row>
    <row r="32">
      <c r="B32" t="inlineStr">
        <is>
          <t>Max Healthcare Institute Ltd.</t>
        </is>
      </c>
      <c r="C32" t="inlineStr">
        <is>
          <t>INE027H01010</t>
        </is>
      </c>
      <c r="D32" t="inlineStr">
        <is>
          <t>Healthcare Services</t>
        </is>
      </c>
      <c r="E32" t="n">
        <v>868025</v>
      </c>
      <c r="F32" t="n">
        <v>10093.39</v>
      </c>
      <c r="G32" t="n">
        <v>1.58</v>
      </c>
    </row>
    <row r="33">
      <c r="B33" t="inlineStr">
        <is>
          <t>Divi's Laboratories Ltd.</t>
        </is>
      </c>
      <c r="C33" t="inlineStr">
        <is>
          <t>INE361B01024</t>
        </is>
      </c>
      <c r="D33" t="inlineStr">
        <is>
          <t>Pharmaceuticals &amp; Biotechnology</t>
        </is>
      </c>
      <c r="E33" t="n">
        <v>150718</v>
      </c>
      <c r="F33" t="n">
        <v>9762</v>
      </c>
      <c r="G33" t="n">
        <v>1.53</v>
      </c>
    </row>
    <row r="34">
      <c r="B34" t="inlineStr">
        <is>
          <t>Titan Company Ltd.</t>
        </is>
      </c>
      <c r="C34" t="inlineStr">
        <is>
          <t>INE280A01028</t>
        </is>
      </c>
      <c r="D34" t="inlineStr">
        <is>
          <t>Consumer Durables</t>
        </is>
      </c>
      <c r="E34" t="n">
        <v>248965</v>
      </c>
      <c r="F34" t="n">
        <v>9728.809999999999</v>
      </c>
      <c r="G34" t="n">
        <v>1.52</v>
      </c>
    </row>
    <row r="35">
      <c r="B35" t="inlineStr">
        <is>
          <t>Dixon Technologies (India) Ltd.</t>
        </is>
      </c>
      <c r="C35" t="inlineStr">
        <is>
          <t>INE935N01020</t>
        </is>
      </c>
      <c r="D35" t="inlineStr">
        <is>
          <t>Consumer Durables</t>
        </is>
      </c>
      <c r="E35" t="n">
        <v>66239</v>
      </c>
      <c r="F35" t="n">
        <v>9671.559999999999</v>
      </c>
      <c r="G35" t="n">
        <v>1.51</v>
      </c>
    </row>
    <row r="36">
      <c r="B36" t="inlineStr">
        <is>
          <t>UNO Minda Ltd.</t>
        </is>
      </c>
      <c r="C36" t="inlineStr">
        <is>
          <t>INE405E01023</t>
        </is>
      </c>
      <c r="D36" t="inlineStr">
        <is>
          <t>Auto Components</t>
        </is>
      </c>
      <c r="E36" t="n">
        <v>692368</v>
      </c>
      <c r="F36" t="n">
        <v>9047.870000000001</v>
      </c>
      <c r="G36" t="n">
        <v>1.41</v>
      </c>
    </row>
    <row r="37">
      <c r="B37" t="inlineStr">
        <is>
          <t>Solar Industries India Ltd.</t>
        </is>
      </c>
      <c r="C37" t="inlineStr">
        <is>
          <t>INE343H01029</t>
        </is>
      </c>
      <c r="D37" t="inlineStr">
        <is>
          <t>Chemicals &amp; Petrochemicals</t>
        </is>
      </c>
      <c r="E37" t="n">
        <v>64125</v>
      </c>
      <c r="F37" t="n">
        <v>8510.67</v>
      </c>
      <c r="G37" t="n">
        <v>1.33</v>
      </c>
    </row>
    <row r="38">
      <c r="B38" t="inlineStr">
        <is>
          <t>ICICI Lombard General Insurance Co. Ltd.</t>
        </is>
      </c>
      <c r="C38" t="inlineStr">
        <is>
          <t>INE765G01017</t>
        </is>
      </c>
      <c r="D38" t="inlineStr">
        <is>
          <t>Insurance</t>
        </is>
      </c>
      <c r="E38" t="n">
        <v>429788</v>
      </c>
      <c r="F38" t="n">
        <v>8468.969999999999</v>
      </c>
      <c r="G38" t="n">
        <v>1.32</v>
      </c>
    </row>
    <row r="39">
      <c r="B39" t="inlineStr">
        <is>
          <t>NTPC Ltd.</t>
        </is>
      </c>
      <c r="C39" t="inlineStr">
        <is>
          <t>INE733E01010</t>
        </is>
      </c>
      <c r="D39" t="inlineStr">
        <is>
          <t>Power</t>
        </is>
      </c>
      <c r="E39" t="n">
        <v>2579536</v>
      </c>
      <c r="F39" t="n">
        <v>8420.9</v>
      </c>
      <c r="G39" t="n">
        <v>1.32</v>
      </c>
    </row>
    <row r="40">
      <c r="B40" t="inlineStr">
        <is>
          <t>Blue Star Ltd.</t>
        </is>
      </c>
      <c r="C40" t="inlineStr">
        <is>
          <t>INE472A01039</t>
        </is>
      </c>
      <c r="D40" t="inlineStr">
        <is>
          <t>Consumer Durables</t>
        </is>
      </c>
      <c r="E40" t="n">
        <v>474500</v>
      </c>
      <c r="F40" t="n">
        <v>8376.82</v>
      </c>
      <c r="G40" t="n">
        <v>1.31</v>
      </c>
    </row>
    <row r="41">
      <c r="B41" t="inlineStr">
        <is>
          <t>Vishal Mega Mart Ltd</t>
        </is>
      </c>
      <c r="C41" t="inlineStr">
        <is>
          <t>INE01EA01019</t>
        </is>
      </c>
      <c r="D41" t="inlineStr">
        <is>
          <t>Retailing</t>
        </is>
      </c>
      <c r="E41" t="n">
        <v>6015554</v>
      </c>
      <c r="F41" t="n">
        <v>8169.12</v>
      </c>
      <c r="G41" t="n">
        <v>1.28</v>
      </c>
    </row>
    <row r="42">
      <c r="B42" t="inlineStr">
        <is>
          <t>Cummins India Ltd.</t>
        </is>
      </c>
      <c r="C42" t="inlineStr">
        <is>
          <t>INE298A01020</t>
        </is>
      </c>
      <c r="D42" t="inlineStr">
        <is>
          <t>Industrial Products</t>
        </is>
      </c>
      <c r="E42" t="n">
        <v>175008</v>
      </c>
      <c r="F42" t="n">
        <v>7839.13</v>
      </c>
      <c r="G42" t="n">
        <v>1.22</v>
      </c>
    </row>
    <row r="43">
      <c r="B43" t="inlineStr">
        <is>
          <t>Britannia Industries Ltd.</t>
        </is>
      </c>
      <c r="C43" t="inlineStr">
        <is>
          <t>INE216A01030</t>
        </is>
      </c>
      <c r="D43" t="inlineStr">
        <is>
          <t>Food Products</t>
        </is>
      </c>
      <c r="E43" t="n">
        <v>128099</v>
      </c>
      <c r="F43" t="n">
        <v>7488.67</v>
      </c>
      <c r="G43" t="n">
        <v>1.17</v>
      </c>
    </row>
    <row r="44">
      <c r="B44" t="inlineStr">
        <is>
          <t>Mankind Pharma Ltd.</t>
        </is>
      </c>
      <c r="C44" t="inlineStr">
        <is>
          <t>INE634S01028</t>
        </is>
      </c>
      <c r="D44" t="inlineStr">
        <is>
          <t>Pharmaceuticals &amp; Biotechnology</t>
        </is>
      </c>
      <c r="E44" t="n">
        <v>318525</v>
      </c>
      <c r="F44" t="n">
        <v>7170</v>
      </c>
      <c r="G44" t="n">
        <v>1.12</v>
      </c>
    </row>
    <row r="45">
      <c r="B45" t="inlineStr">
        <is>
          <t>Sagility Ltd.</t>
        </is>
      </c>
      <c r="C45" t="inlineStr">
        <is>
          <t>INE0W2G01015</t>
        </is>
      </c>
      <c r="D45" t="inlineStr">
        <is>
          <t>IT - Services</t>
        </is>
      </c>
      <c r="E45" t="n">
        <v>13971005</v>
      </c>
      <c r="F45" t="n">
        <v>6996.68</v>
      </c>
      <c r="G45" t="n">
        <v>1.09</v>
      </c>
    </row>
    <row r="46">
      <c r="B46" t="inlineStr">
        <is>
          <t>Bharat Electronics Ltd.</t>
        </is>
      </c>
      <c r="C46" t="inlineStr">
        <is>
          <t>INE263A01024</t>
        </is>
      </c>
      <c r="D46" t="inlineStr">
        <is>
          <t>Aerospace &amp; Defense</t>
        </is>
      </c>
      <c r="E46" t="n">
        <v>1588060</v>
      </c>
      <c r="F46" t="n">
        <v>6538.84</v>
      </c>
      <c r="G46" t="n">
        <v>1.02</v>
      </c>
    </row>
    <row r="47">
      <c r="B47" t="inlineStr">
        <is>
          <t>Global Health Ltd.</t>
        </is>
      </c>
      <c r="C47" t="inlineStr">
        <is>
          <t>INE474Q01031</t>
        </is>
      </c>
      <c r="D47" t="inlineStr">
        <is>
          <t>Healthcare Services</t>
        </is>
      </c>
      <c r="E47" t="n">
        <v>516156</v>
      </c>
      <c r="F47" t="n">
        <v>6431.3</v>
      </c>
      <c r="G47" t="n">
        <v>1</v>
      </c>
    </row>
    <row r="48">
      <c r="B48" t="inlineStr">
        <is>
          <t>SRF Ltd.</t>
        </is>
      </c>
      <c r="C48" t="inlineStr">
        <is>
          <t>INE647A01010</t>
        </is>
      </c>
      <c r="D48" t="inlineStr">
        <is>
          <t>Chemicals &amp; Petrochemicals</t>
        </is>
      </c>
      <c r="E48" t="n">
        <v>215134</v>
      </c>
      <c r="F48" t="n">
        <v>6297.62</v>
      </c>
      <c r="G48" t="n">
        <v>0.98</v>
      </c>
    </row>
    <row r="49">
      <c r="B49" t="inlineStr">
        <is>
          <t>CG Power and Industrial Solutions Ltd.</t>
        </is>
      </c>
      <c r="C49" t="inlineStr">
        <is>
          <t>INE067A01029</t>
        </is>
      </c>
      <c r="D49" t="inlineStr">
        <is>
          <t>Electrical Equipment</t>
        </is>
      </c>
      <c r="E49" t="n">
        <v>928389</v>
      </c>
      <c r="F49" t="n">
        <v>6247.13</v>
      </c>
      <c r="G49" t="n">
        <v>0.98</v>
      </c>
    </row>
    <row r="50">
      <c r="B50" t="inlineStr">
        <is>
          <t>Brigade Enterprises Ltd.</t>
        </is>
      </c>
      <c r="C50" t="inlineStr">
        <is>
          <t>INE791I01019</t>
        </is>
      </c>
      <c r="D50" t="inlineStr">
        <is>
          <t>Realty</t>
        </is>
      </c>
      <c r="E50" t="n">
        <v>644023</v>
      </c>
      <c r="F50" t="n">
        <v>5764.65</v>
      </c>
      <c r="G50" t="n">
        <v>0.9</v>
      </c>
    </row>
    <row r="51">
      <c r="B51" t="inlineStr">
        <is>
          <t>Ather Energy Ltd.</t>
        </is>
      </c>
      <c r="C51" t="inlineStr">
        <is>
          <t>INE0LEZ01016</t>
        </is>
      </c>
      <c r="D51" t="inlineStr">
        <is>
          <t>Automobiles</t>
        </is>
      </c>
      <c r="E51" t="n">
        <v>749269</v>
      </c>
      <c r="F51" t="n">
        <v>5379.38</v>
      </c>
      <c r="G51" t="n">
        <v>0.84</v>
      </c>
    </row>
    <row r="52">
      <c r="B52" t="inlineStr">
        <is>
          <t>LG Electronics India Ltd.</t>
        </is>
      </c>
      <c r="C52" t="inlineStr">
        <is>
          <t>INE324D01010</t>
        </is>
      </c>
      <c r="D52" t="inlineStr">
        <is>
          <t>Consumer Durables</t>
        </is>
      </c>
      <c r="E52" t="n">
        <v>313748</v>
      </c>
      <c r="F52" t="n">
        <v>5206.02</v>
      </c>
      <c r="G52" t="n">
        <v>0.8100000000000001</v>
      </c>
    </row>
    <row r="53">
      <c r="B53" t="inlineStr">
        <is>
          <t>Hindalco Industries Ltd.</t>
        </is>
      </c>
      <c r="C53" t="inlineStr">
        <is>
          <t>INE038A01020</t>
        </is>
      </c>
      <c r="D53" t="inlineStr">
        <is>
          <t>Non - Ferrous Metals</t>
        </is>
      </c>
      <c r="E53" t="n">
        <v>637643</v>
      </c>
      <c r="F53" t="n">
        <v>5154.71</v>
      </c>
      <c r="G53" t="n">
        <v>0.8100000000000001</v>
      </c>
    </row>
    <row r="54">
      <c r="B54" t="inlineStr">
        <is>
          <t>Cholamandalam Investment &amp; Finance Company Ltd.</t>
        </is>
      </c>
      <c r="C54" t="inlineStr">
        <is>
          <t>INE121A01024</t>
        </is>
      </c>
      <c r="D54" t="inlineStr">
        <is>
          <t>Finance</t>
        </is>
      </c>
      <c r="E54" t="n">
        <v>296100</v>
      </c>
      <c r="F54" t="n">
        <v>5140.3</v>
      </c>
      <c r="G54" t="n">
        <v>0.8</v>
      </c>
    </row>
    <row r="55">
      <c r="B55" t="inlineStr">
        <is>
          <t>Affle 3i Ltd.</t>
        </is>
      </c>
      <c r="C55" t="inlineStr">
        <is>
          <t>INE00WC01027</t>
        </is>
      </c>
      <c r="D55" t="inlineStr">
        <is>
          <t>IT - Services</t>
        </is>
      </c>
      <c r="E55" t="n">
        <v>302299</v>
      </c>
      <c r="F55" t="n">
        <v>5020.88</v>
      </c>
      <c r="G55" t="n">
        <v>0.78</v>
      </c>
    </row>
    <row r="56">
      <c r="B56" t="inlineStr">
        <is>
          <t>Maruti Suzuki India Ltd.</t>
        </is>
      </c>
      <c r="C56" t="inlineStr">
        <is>
          <t>INE585B01010</t>
        </is>
      </c>
      <c r="D56" t="inlineStr">
        <is>
          <t>Automobiles</t>
        </is>
      </c>
      <c r="E56" t="n">
        <v>30640</v>
      </c>
      <c r="F56" t="n">
        <v>4871.76</v>
      </c>
      <c r="G56" t="n">
        <v>0.76</v>
      </c>
    </row>
    <row r="57">
      <c r="B57" t="inlineStr">
        <is>
          <t>HDFC Life Insurance Company Ltd.</t>
        </is>
      </c>
      <c r="C57" t="inlineStr">
        <is>
          <t>INE795G01014</t>
        </is>
      </c>
      <c r="D57" t="inlineStr">
        <is>
          <t>Insurance</t>
        </is>
      </c>
      <c r="E57" t="n">
        <v>614860</v>
      </c>
      <c r="F57" t="n">
        <v>4699.37</v>
      </c>
      <c r="G57" t="n">
        <v>0.73</v>
      </c>
    </row>
    <row r="58">
      <c r="B58" t="inlineStr">
        <is>
          <t>Doms Industries Ltd.</t>
        </is>
      </c>
      <c r="C58" t="inlineStr">
        <is>
          <t>INE321T01012</t>
        </is>
      </c>
      <c r="D58" t="inlineStr">
        <is>
          <t>Household Products</t>
        </is>
      </c>
      <c r="E58" t="n">
        <v>182081</v>
      </c>
      <c r="F58" t="n">
        <v>4570.23</v>
      </c>
      <c r="G58" t="n">
        <v>0.71</v>
      </c>
    </row>
    <row r="59">
      <c r="B59" t="inlineStr">
        <is>
          <t>Dr. Reddy's Laboratories Ltd.</t>
        </is>
      </c>
      <c r="C59" t="inlineStr">
        <is>
          <t>INE089A01031</t>
        </is>
      </c>
      <c r="D59" t="inlineStr">
        <is>
          <t>Pharmaceuticals &amp; Biotechnology</t>
        </is>
      </c>
      <c r="E59" t="n">
        <v>362070</v>
      </c>
      <c r="F59" t="n">
        <v>4557.74</v>
      </c>
      <c r="G59" t="n">
        <v>0.71</v>
      </c>
    </row>
    <row r="60">
      <c r="B60" t="inlineStr">
        <is>
          <t>Anthem Biosciences Ltd.</t>
        </is>
      </c>
      <c r="C60" t="inlineStr">
        <is>
          <t>INE0CZ201020</t>
        </is>
      </c>
      <c r="D60" t="inlineStr">
        <is>
          <t>Pharmaceuticals &amp; Biotechnology</t>
        </is>
      </c>
      <c r="E60" t="n">
        <v>712690</v>
      </c>
      <c r="F60" t="n">
        <v>4523.44</v>
      </c>
      <c r="G60" t="n">
        <v>0.71</v>
      </c>
    </row>
    <row r="61">
      <c r="B61" t="inlineStr">
        <is>
          <t>Neuland Laboratories Ltd.</t>
        </is>
      </c>
      <c r="C61" t="inlineStr">
        <is>
          <t>INE794A01010</t>
        </is>
      </c>
      <c r="D61" t="inlineStr">
        <is>
          <t>Pharmaceuticals &amp; Biotechnology</t>
        </is>
      </c>
      <c r="E61" t="n">
        <v>25605</v>
      </c>
      <c r="F61" t="n">
        <v>4426.59</v>
      </c>
      <c r="G61" t="n">
        <v>0.6899999999999999</v>
      </c>
    </row>
    <row r="62">
      <c r="B62" t="inlineStr">
        <is>
          <t>Endurance Technologies Ltd.</t>
        </is>
      </c>
      <c r="C62" t="inlineStr">
        <is>
          <t>INE913H01037</t>
        </is>
      </c>
      <c r="D62" t="inlineStr">
        <is>
          <t>Auto Components</t>
        </is>
      </c>
      <c r="E62" t="n">
        <v>164943</v>
      </c>
      <c r="F62" t="n">
        <v>4360.43</v>
      </c>
      <c r="G62" t="n">
        <v>0.68</v>
      </c>
    </row>
    <row r="63">
      <c r="B63" t="inlineStr">
        <is>
          <t>Astral Ltd.</t>
        </is>
      </c>
      <c r="C63" t="inlineStr">
        <is>
          <t>INE006I01046</t>
        </is>
      </c>
      <c r="D63" t="inlineStr">
        <is>
          <t>Industrial Products</t>
        </is>
      </c>
      <c r="E63" t="n">
        <v>293670</v>
      </c>
      <c r="F63" t="n">
        <v>4231.2</v>
      </c>
      <c r="G63" t="n">
        <v>0.66</v>
      </c>
    </row>
    <row r="64">
      <c r="B64" t="inlineStr">
        <is>
          <t>Triveni Turbine Ltd.</t>
        </is>
      </c>
      <c r="C64" t="inlineStr">
        <is>
          <t>INE152M01016</t>
        </is>
      </c>
      <c r="D64" t="inlineStr">
        <is>
          <t>Electrical Equipment</t>
        </is>
      </c>
      <c r="E64" t="n">
        <v>767529</v>
      </c>
      <c r="F64" t="n">
        <v>4120.86</v>
      </c>
      <c r="G64" t="n">
        <v>0.64</v>
      </c>
    </row>
    <row r="65">
      <c r="B65" t="inlineStr">
        <is>
          <t>International Gemmological Inst Ind Ltd.</t>
        </is>
      </c>
      <c r="C65" t="inlineStr">
        <is>
          <t>INE0Q9301021</t>
        </is>
      </c>
      <c r="D65" t="inlineStr">
        <is>
          <t>Commercial Services &amp; Supplies</t>
        </is>
      </c>
      <c r="E65" t="n">
        <v>1036045</v>
      </c>
      <c r="F65" t="n">
        <v>3398.23</v>
      </c>
      <c r="G65" t="n">
        <v>0.53</v>
      </c>
    </row>
    <row r="66">
      <c r="B66" t="inlineStr">
        <is>
          <t>Navin Fluorine International Ltd.</t>
        </is>
      </c>
      <c r="C66" t="inlineStr">
        <is>
          <t>INE048G01026</t>
        </is>
      </c>
      <c r="D66" t="inlineStr">
        <is>
          <t>Chemicals &amp; Petrochemicals</t>
        </is>
      </c>
      <c r="E66" t="n">
        <v>59020</v>
      </c>
      <c r="F66" t="n">
        <v>3385.09</v>
      </c>
      <c r="G66" t="n">
        <v>0.53</v>
      </c>
    </row>
    <row r="67">
      <c r="B67" t="inlineStr">
        <is>
          <t>Inventurus Knowledge Solutions Ltd.</t>
        </is>
      </c>
      <c r="C67" t="inlineStr">
        <is>
          <t>INE115Q01022</t>
        </is>
      </c>
      <c r="D67" t="inlineStr">
        <is>
          <t>IT - Services</t>
        </is>
      </c>
      <c r="E67" t="n">
        <v>200000</v>
      </c>
      <c r="F67" t="n">
        <v>3361.2</v>
      </c>
      <c r="G67" t="n">
        <v>0.53</v>
      </c>
    </row>
    <row r="68">
      <c r="B68" t="inlineStr">
        <is>
          <t>Sai Life Sciences Ltd</t>
        </is>
      </c>
      <c r="C68" t="inlineStr">
        <is>
          <t>INE570L01029</t>
        </is>
      </c>
      <c r="D68" t="inlineStr">
        <is>
          <t>Pharmaceuticals &amp; Biotechnology</t>
        </is>
      </c>
      <c r="E68" t="n">
        <v>379844</v>
      </c>
      <c r="F68" t="n">
        <v>3359.34</v>
      </c>
      <c r="G68" t="n">
        <v>0.52</v>
      </c>
    </row>
    <row r="69">
      <c r="B69" t="inlineStr">
        <is>
          <t>Gabriel India Ltd.</t>
        </is>
      </c>
      <c r="C69" t="inlineStr">
        <is>
          <t>INE524A01029</t>
        </is>
      </c>
      <c r="D69" t="inlineStr">
        <is>
          <t>Auto Components</t>
        </is>
      </c>
      <c r="E69" t="n">
        <v>320290</v>
      </c>
      <c r="F69" t="n">
        <v>3294.82</v>
      </c>
      <c r="G69" t="n">
        <v>0.51</v>
      </c>
    </row>
    <row r="70">
      <c r="B70" t="inlineStr">
        <is>
          <t>JSW Steel Ltd.</t>
        </is>
      </c>
      <c r="C70" t="inlineStr">
        <is>
          <t>INE019A01038</t>
        </is>
      </c>
      <c r="D70" t="inlineStr">
        <is>
          <t>Ferrous Metals</t>
        </is>
      </c>
      <c r="E70" t="n">
        <v>283500</v>
      </c>
      <c r="F70" t="n">
        <v>3289.45</v>
      </c>
      <c r="G70" t="n">
        <v>0.51</v>
      </c>
    </row>
    <row r="71">
      <c r="B71" t="inlineStr">
        <is>
          <t>Akzo Nobel India Ltd.</t>
        </is>
      </c>
      <c r="C71" t="inlineStr">
        <is>
          <t>INE133A01011</t>
        </is>
      </c>
      <c r="D71" t="inlineStr">
        <is>
          <t>Consumer Durables</t>
        </is>
      </c>
      <c r="E71" t="n">
        <v>94573</v>
      </c>
      <c r="F71" t="n">
        <v>3131.12</v>
      </c>
      <c r="G71" t="n">
        <v>0.49</v>
      </c>
    </row>
    <row r="72">
      <c r="B72" t="inlineStr">
        <is>
          <t>GE Vernova T&amp;D India Limited</t>
        </is>
      </c>
      <c r="C72" t="inlineStr">
        <is>
          <t>INE200A01026</t>
        </is>
      </c>
      <c r="D72" t="inlineStr">
        <is>
          <t>Electrical Equipment</t>
        </is>
      </c>
      <c r="E72" t="n">
        <v>106660</v>
      </c>
      <c r="F72" t="n">
        <v>3073.3</v>
      </c>
      <c r="G72" t="n">
        <v>0.48</v>
      </c>
    </row>
    <row r="73">
      <c r="B73" t="inlineStr">
        <is>
          <t>Krishna Inst of Medical Sciences Ltd.</t>
        </is>
      </c>
      <c r="C73" t="inlineStr">
        <is>
          <t>INE967H01025</t>
        </is>
      </c>
      <c r="D73" t="inlineStr">
        <is>
          <t>Healthcare Services</t>
        </is>
      </c>
      <c r="E73" t="n">
        <v>434426</v>
      </c>
      <c r="F73" t="n">
        <v>2976.25</v>
      </c>
      <c r="G73" t="n">
        <v>0.47</v>
      </c>
    </row>
    <row r="74">
      <c r="B74" t="inlineStr">
        <is>
          <t>Schaeffler India Ltd.</t>
        </is>
      </c>
      <c r="C74" t="inlineStr">
        <is>
          <t>INE513A01022</t>
        </is>
      </c>
      <c r="D74" t="inlineStr">
        <is>
          <t>Auto Components</t>
        </is>
      </c>
      <c r="E74" t="n">
        <v>76125</v>
      </c>
      <c r="F74" t="n">
        <v>2968.42</v>
      </c>
      <c r="G74" t="n">
        <v>0.46</v>
      </c>
    </row>
    <row r="75">
      <c r="B75" t="inlineStr">
        <is>
          <t>Tata Capital Ltd.</t>
        </is>
      </c>
      <c r="C75" t="inlineStr">
        <is>
          <t>INE976I01016</t>
        </is>
      </c>
      <c r="D75" t="inlineStr">
        <is>
          <t>Finance</t>
        </is>
      </c>
      <c r="E75" t="n">
        <v>828016</v>
      </c>
      <c r="F75" t="n">
        <v>2715.06</v>
      </c>
      <c r="G75" t="n">
        <v>0.42</v>
      </c>
    </row>
    <row r="76">
      <c r="B76" t="inlineStr">
        <is>
          <t>Gillette India Ltd.</t>
        </is>
      </c>
      <c r="C76" t="inlineStr">
        <is>
          <t>INE322A01010</t>
        </is>
      </c>
      <c r="D76" t="inlineStr">
        <is>
          <t>Personal Products</t>
        </is>
      </c>
      <c r="E76" t="n">
        <v>29333</v>
      </c>
      <c r="F76" t="n">
        <v>2547.42</v>
      </c>
      <c r="G76" t="n">
        <v>0.4</v>
      </c>
    </row>
    <row r="77">
      <c r="B77" t="inlineStr">
        <is>
          <t>Blue Jet Healthcare Ltd.</t>
        </is>
      </c>
      <c r="C77" t="inlineStr">
        <is>
          <t>INE0KBH01020</t>
        </is>
      </c>
      <c r="D77" t="inlineStr">
        <is>
          <t>Pharmaceuticals &amp; Biotechnology</t>
        </is>
      </c>
      <c r="E77" t="n">
        <v>421553</v>
      </c>
      <c r="F77" t="n">
        <v>2438.47</v>
      </c>
      <c r="G77" t="n">
        <v>0.38</v>
      </c>
    </row>
    <row r="78">
      <c r="B78" t="inlineStr">
        <is>
          <t>Pine Labs Ltd.</t>
        </is>
      </c>
      <c r="C78" t="inlineStr">
        <is>
          <t>INE15B701018</t>
        </is>
      </c>
      <c r="D78" t="inlineStr">
        <is>
          <t>Financial Technology (Fintech)</t>
        </is>
      </c>
      <c r="E78" t="n">
        <v>866530</v>
      </c>
      <c r="F78" t="n">
        <v>2164.25</v>
      </c>
      <c r="G78" t="n">
        <v>0.34</v>
      </c>
    </row>
    <row r="79">
      <c r="B79" t="inlineStr">
        <is>
          <t>MRS Bectors Food Specialities Ltd.</t>
        </is>
      </c>
      <c r="C79" t="inlineStr">
        <is>
          <t>INE495P01012</t>
        </is>
      </c>
      <c r="D79" t="inlineStr">
        <is>
          <t>Food Products</t>
        </is>
      </c>
      <c r="E79" t="n">
        <v>153995</v>
      </c>
      <c r="F79" t="n">
        <v>2002.4</v>
      </c>
      <c r="G79" t="n">
        <v>0.31</v>
      </c>
    </row>
    <row r="80">
      <c r="B80" t="inlineStr">
        <is>
          <t>Rubicon Research Ltd.</t>
        </is>
      </c>
      <c r="C80" t="inlineStr">
        <is>
          <t>INE506V01022</t>
        </is>
      </c>
      <c r="D80" t="inlineStr">
        <is>
          <t>Pharmaceuticals &amp; Biotechnology</t>
        </is>
      </c>
      <c r="E80" t="n">
        <v>285000</v>
      </c>
      <c r="F80" t="n">
        <v>1869.17</v>
      </c>
      <c r="G80" t="n">
        <v>0.29</v>
      </c>
    </row>
    <row r="81">
      <c r="B81" t="inlineStr">
        <is>
          <t>BlackBuck Ltd.</t>
        </is>
      </c>
      <c r="C81" t="inlineStr">
        <is>
          <t>INE0UIZ01018</t>
        </is>
      </c>
      <c r="D81" t="inlineStr">
        <is>
          <t>Transport Services</t>
        </is>
      </c>
      <c r="E81" t="n">
        <v>273680</v>
      </c>
      <c r="F81" t="n">
        <v>1827.5</v>
      </c>
      <c r="G81" t="n">
        <v>0.29</v>
      </c>
    </row>
    <row r="82">
      <c r="B82" t="inlineStr">
        <is>
          <t>MTAR Technologies Ltd.</t>
        </is>
      </c>
      <c r="C82" t="inlineStr">
        <is>
          <t>INE864I01014</t>
        </is>
      </c>
      <c r="D82" t="inlineStr">
        <is>
          <t>Aerospace &amp; Defense</t>
        </is>
      </c>
      <c r="E82" t="n">
        <v>68073</v>
      </c>
      <c r="F82" t="n">
        <v>1723.88</v>
      </c>
      <c r="G82" t="n">
        <v>0.27</v>
      </c>
    </row>
    <row r="83">
      <c r="B83" t="inlineStr">
        <is>
          <t>TBO Tek Ltd.</t>
        </is>
      </c>
      <c r="C83" t="inlineStr">
        <is>
          <t>INE673O01025</t>
        </is>
      </c>
      <c r="D83" t="inlineStr">
        <is>
          <t>Leisure Services</t>
        </is>
      </c>
      <c r="E83" t="n">
        <v>100358</v>
      </c>
      <c r="F83" t="n">
        <v>1658.22</v>
      </c>
      <c r="G83" t="n">
        <v>0.26</v>
      </c>
    </row>
    <row r="84">
      <c r="B84" t="inlineStr">
        <is>
          <t>Safari Industries India Ltd.</t>
        </is>
      </c>
      <c r="C84" t="inlineStr">
        <is>
          <t>INE429E01023</t>
        </is>
      </c>
      <c r="D84" t="inlineStr">
        <is>
          <t>Consumer Durables</t>
        </is>
      </c>
      <c r="E84" t="n">
        <v>66677</v>
      </c>
      <c r="F84" t="n">
        <v>1620.12</v>
      </c>
      <c r="G84" t="n">
        <v>0.25</v>
      </c>
    </row>
    <row r="85">
      <c r="B85" t="inlineStr">
        <is>
          <t>Bikaji Foods International Ltd.</t>
        </is>
      </c>
      <c r="C85" t="inlineStr">
        <is>
          <t>INE00E101023</t>
        </is>
      </c>
      <c r="D85" t="inlineStr">
        <is>
          <t>Food Products</t>
        </is>
      </c>
      <c r="E85" t="n">
        <v>177405</v>
      </c>
      <c r="F85" t="n">
        <v>1272.26</v>
      </c>
      <c r="G85" t="n">
        <v>0.2</v>
      </c>
    </row>
    <row r="86">
      <c r="B86" t="inlineStr">
        <is>
          <t>Sub Total</t>
        </is>
      </c>
      <c r="F86" t="n">
        <v>623940.5</v>
      </c>
      <c r="G86" t="n">
        <v>97.43000000000001</v>
      </c>
    </row>
    <row r="87"/>
    <row r="88">
      <c r="B88" t="inlineStr">
        <is>
          <t>(b) Unlisted</t>
        </is>
      </c>
    </row>
    <row r="89">
      <c r="F89" t="n">
        <v>0</v>
      </c>
      <c r="G89" t="n">
        <v>0</v>
      </c>
    </row>
    <row r="90">
      <c r="B90" t="inlineStr">
        <is>
          <t>Sub Total</t>
        </is>
      </c>
      <c r="F90" t="inlineStr">
        <is>
          <t>NIL</t>
        </is>
      </c>
      <c r="G90" t="inlineStr">
        <is>
          <t>NIL</t>
        </is>
      </c>
    </row>
    <row r="91"/>
    <row r="92">
      <c r="B92" t="inlineStr">
        <is>
          <t>TOTAL</t>
        </is>
      </c>
      <c r="F92" t="n">
        <v>623940.5</v>
      </c>
      <c r="G92" t="n">
        <v>97.43000000000001</v>
      </c>
    </row>
    <row r="93">
      <c r="B93" t="inlineStr">
        <is>
          <t>Debt Instruments</t>
        </is>
      </c>
    </row>
    <row r="94"/>
    <row r="95">
      <c r="B95" t="inlineStr">
        <is>
          <t>(a) Listed / Awaiting listing on Stock Exchanges</t>
        </is>
      </c>
    </row>
    <row r="96"/>
    <row r="97">
      <c r="B97" t="inlineStr">
        <is>
          <t>Sub Total</t>
        </is>
      </c>
      <c r="F97" t="inlineStr">
        <is>
          <t>NIL</t>
        </is>
      </c>
      <c r="G97" t="inlineStr">
        <is>
          <t>NIL</t>
        </is>
      </c>
    </row>
    <row r="98"/>
    <row r="99">
      <c r="B99" t="inlineStr">
        <is>
          <t>(b)Privately Placed/Unlisted</t>
        </is>
      </c>
    </row>
    <row r="100">
      <c r="F100" t="n">
        <v>0</v>
      </c>
      <c r="G100" t="n">
        <v>0</v>
      </c>
    </row>
    <row r="101">
      <c r="B101" t="inlineStr">
        <is>
          <t>Sub Total</t>
        </is>
      </c>
      <c r="F101" t="inlineStr">
        <is>
          <t>NIL</t>
        </is>
      </c>
      <c r="G101" t="inlineStr">
        <is>
          <t>NIL</t>
        </is>
      </c>
    </row>
    <row r="102"/>
    <row r="103">
      <c r="B103" t="inlineStr">
        <is>
          <t>(c)Securitised Debt Instruments</t>
        </is>
      </c>
    </row>
    <row r="104">
      <c r="F104" t="n">
        <v>0</v>
      </c>
      <c r="G104" t="n">
        <v>0</v>
      </c>
    </row>
    <row r="105">
      <c r="B105" t="inlineStr">
        <is>
          <t>Sub Total</t>
        </is>
      </c>
      <c r="F105" t="inlineStr">
        <is>
          <t>NIL</t>
        </is>
      </c>
      <c r="G105" t="inlineStr">
        <is>
          <t>NIL</t>
        </is>
      </c>
    </row>
    <row r="106"/>
    <row r="107">
      <c r="B107" t="inlineStr">
        <is>
          <t>TOTAL</t>
        </is>
      </c>
      <c r="F107" t="inlineStr">
        <is>
          <t>NIL</t>
        </is>
      </c>
      <c r="G107" t="inlineStr">
        <is>
          <t>NIL</t>
        </is>
      </c>
    </row>
    <row r="108"/>
    <row r="109">
      <c r="B109" t="inlineStr">
        <is>
          <t>Preference Shares - (Awaiting listing on Stock Exchanges)</t>
        </is>
      </c>
    </row>
    <row r="110">
      <c r="B110" t="inlineStr">
        <is>
          <t>TVS Motor Company Ltd. ** #</t>
        </is>
      </c>
      <c r="C110" t="inlineStr">
        <is>
          <t>INE494B04019</t>
        </is>
      </c>
      <c r="D110" t="inlineStr">
        <is>
          <t>CARE A1+</t>
        </is>
      </c>
      <c r="E110" t="n">
        <v>2196804</v>
      </c>
      <c r="F110" t="n">
        <v>222.77</v>
      </c>
      <c r="G110" t="n">
        <v>0.03</v>
      </c>
      <c r="H110" t="n">
        <v>6.04</v>
      </c>
    </row>
    <row r="111">
      <c r="B111" t="inlineStr">
        <is>
          <t>Sub Total</t>
        </is>
      </c>
      <c r="F111">
        <f>SUM(F110)</f>
        <v/>
      </c>
      <c r="G111">
        <f>SUM(G110)</f>
        <v/>
      </c>
    </row>
    <row r="112"/>
    <row r="113">
      <c r="B113" t="inlineStr">
        <is>
          <t>TOTAL</t>
        </is>
      </c>
      <c r="F113">
        <f>F111</f>
        <v/>
      </c>
      <c r="G113">
        <f>G111</f>
        <v/>
      </c>
    </row>
    <row r="114"/>
    <row r="115">
      <c r="B115" t="inlineStr">
        <is>
          <t>Money Market Instruments</t>
        </is>
      </c>
    </row>
    <row r="116"/>
    <row r="117">
      <c r="B117" t="inlineStr">
        <is>
          <t>Treasury Bill</t>
        </is>
      </c>
    </row>
    <row r="118">
      <c r="B118" t="inlineStr">
        <is>
          <t>364 DAYS TBILL RED 29-10-2026</t>
        </is>
      </c>
      <c r="C118" t="inlineStr">
        <is>
          <t>IN002025Z310</t>
        </is>
      </c>
      <c r="D118" t="inlineStr">
        <is>
          <t>SOVEREIGN</t>
        </is>
      </c>
      <c r="E118" t="n">
        <v>665000</v>
      </c>
      <c r="F118" t="n">
        <v>633.26</v>
      </c>
      <c r="G118" t="n">
        <v>0.1</v>
      </c>
      <c r="H118" t="n">
        <v>5.5103</v>
      </c>
    </row>
    <row r="119">
      <c r="B119" t="inlineStr">
        <is>
          <t>Sub Total</t>
        </is>
      </c>
      <c r="F119" t="n">
        <v>633.26</v>
      </c>
      <c r="G119" t="n">
        <v>0.1</v>
      </c>
    </row>
    <row r="120"/>
    <row r="121">
      <c r="B121" t="inlineStr">
        <is>
          <t>TOTAL</t>
        </is>
      </c>
      <c r="F121" t="n">
        <v>633.26</v>
      </c>
      <c r="G121" t="n">
        <v>0.1</v>
      </c>
    </row>
    <row r="122"/>
    <row r="123">
      <c r="B123" t="inlineStr">
        <is>
          <t>Margin Mutual Fund Units</t>
        </is>
      </c>
    </row>
    <row r="124">
      <c r="B124" t="inlineStr">
        <is>
          <t>PGIM India Liquid Fund</t>
        </is>
      </c>
      <c r="C124" t="inlineStr">
        <is>
          <t>INF223J01NS5</t>
        </is>
      </c>
      <c r="E124" t="n">
        <v>898892.714</v>
      </c>
      <c r="F124" t="n">
        <v>3168</v>
      </c>
      <c r="G124" t="n">
        <v>0.49</v>
      </c>
    </row>
    <row r="125">
      <c r="B125" t="inlineStr">
        <is>
          <t>Sub Total</t>
        </is>
      </c>
      <c r="F125" t="n">
        <v>3168</v>
      </c>
      <c r="G125" t="n">
        <v>0.49</v>
      </c>
    </row>
    <row r="126"/>
    <row r="127">
      <c r="B127" t="inlineStr">
        <is>
          <t>TOTAL</t>
        </is>
      </c>
      <c r="F127" t="n">
        <v>3168</v>
      </c>
      <c r="G127" t="n">
        <v>0.49</v>
      </c>
    </row>
    <row r="128"/>
    <row r="129">
      <c r="B129" t="inlineStr">
        <is>
          <t>Treps / Reverse Repo</t>
        </is>
      </c>
    </row>
    <row r="130">
      <c r="B130" t="inlineStr">
        <is>
          <t>Clearing Corporation of India Ltd.</t>
        </is>
      </c>
      <c r="F130" t="n">
        <v>13419.68</v>
      </c>
      <c r="G130" t="n">
        <v>2.09</v>
      </c>
    </row>
    <row r="131">
      <c r="B131" t="inlineStr">
        <is>
          <t>Sub Total</t>
        </is>
      </c>
      <c r="F131" t="n">
        <v>13419.68</v>
      </c>
      <c r="G131" t="n">
        <v>2.09</v>
      </c>
    </row>
    <row r="132"/>
    <row r="133">
      <c r="B133" t="inlineStr">
        <is>
          <t>TOTAL</t>
        </is>
      </c>
      <c r="F133" t="n">
        <v>13419.68</v>
      </c>
      <c r="G133" t="n">
        <v>2.09</v>
      </c>
    </row>
    <row r="134"/>
    <row r="135">
      <c r="B135" t="inlineStr">
        <is>
          <t>Net Receivables / (Payables)</t>
        </is>
      </c>
      <c r="F135" t="n">
        <v>-1373.55</v>
      </c>
      <c r="G135" t="n">
        <v>-0.1400000000000006</v>
      </c>
    </row>
    <row r="136"/>
    <row r="137">
      <c r="B137" t="inlineStr">
        <is>
          <t>GRAND TOTAL</t>
        </is>
      </c>
      <c r="F137" t="n">
        <v>640010.66</v>
      </c>
      <c r="G137" t="n">
        <v>100</v>
      </c>
    </row>
    <row r="138"/>
    <row r="139">
      <c r="B139" t="inlineStr">
        <is>
          <t>#  Unlisted Security</t>
        </is>
      </c>
    </row>
    <row r="140">
      <c r="B140" t="inlineStr">
        <is>
          <t>** Non Traded Security</t>
        </is>
      </c>
    </row>
    <row r="141"/>
    <row r="142"/>
    <row r="143"/>
    <row r="144"/>
    <row r="145"/>
    <row r="146">
      <c r="B146" t="inlineStr">
        <is>
          <t>Notes:</t>
        </is>
      </c>
    </row>
    <row r="147">
      <c r="B147" t="inlineStr">
        <is>
          <t>1. Plan / Option-wise Net Asset Value per unit are as below :   (Face Value per unit = Rs. 10)</t>
        </is>
      </c>
    </row>
    <row r="148">
      <c r="B148" t="inlineStr">
        <is>
          <t xml:space="preserve">Plan / Option </t>
        </is>
      </c>
      <c r="C148" s="1" t="n">
        <v>45961</v>
      </c>
      <c r="D148" s="1" t="n">
        <v>45989</v>
      </c>
    </row>
    <row r="149">
      <c r="B149" t="inlineStr">
        <is>
          <t>Direct Plan</t>
        </is>
      </c>
      <c r="C149" t="inlineStr">
        <is>
          <t>(INR)</t>
        </is>
      </c>
      <c r="D149" t="inlineStr">
        <is>
          <t>(INR)</t>
        </is>
      </c>
    </row>
    <row r="150">
      <c r="B150" t="inlineStr">
        <is>
          <t>Growth</t>
        </is>
      </c>
      <c r="C150" t="n">
        <v>43.65</v>
      </c>
      <c r="D150" t="n">
        <v>43.88</v>
      </c>
    </row>
    <row r="151">
      <c r="B151" t="inlineStr">
        <is>
          <t>IDCW (earlier called Dividend)</t>
        </is>
      </c>
      <c r="C151" t="n">
        <v>22.57</v>
      </c>
      <c r="D151" t="n">
        <v>22.69</v>
      </c>
    </row>
    <row r="152">
      <c r="B152" t="inlineStr">
        <is>
          <t>Regular Plan</t>
        </is>
      </c>
    </row>
    <row r="153">
      <c r="B153" t="inlineStr">
        <is>
          <t>Growth</t>
        </is>
      </c>
      <c r="C153" t="n">
        <v>37.2</v>
      </c>
      <c r="D153" t="n">
        <v>37.36</v>
      </c>
    </row>
    <row r="154">
      <c r="B154" t="inlineStr">
        <is>
          <t>IDCW (earlier called Dividend)</t>
        </is>
      </c>
      <c r="C154" t="n">
        <v>19.91</v>
      </c>
      <c r="D154" t="n">
        <v>19.99</v>
      </c>
    </row>
    <row r="155"/>
    <row r="156">
      <c r="B156" t="inlineStr">
        <is>
          <t>2.   Exposure to derivative instruments in the scheme at the end of the month</t>
        </is>
      </c>
      <c r="D156" t="inlineStr">
        <is>
          <t>NIL</t>
        </is>
      </c>
    </row>
    <row r="157"/>
    <row r="158">
      <c r="B158" t="inlineStr">
        <is>
          <t>3.  Derivatives Transactions in the scheme for the month</t>
        </is>
      </c>
      <c r="D158" t="inlineStr">
        <is>
          <t>NIL</t>
        </is>
      </c>
    </row>
    <row r="159"/>
    <row r="160">
      <c r="B160" t="inlineStr">
        <is>
          <t>4.   Investment in foreign securities/ADRs/GDRs at the end of the month (INR Lacs)</t>
        </is>
      </c>
      <c r="D160" t="inlineStr">
        <is>
          <t>NIL</t>
        </is>
      </c>
    </row>
    <row r="161"/>
    <row r="162">
      <c r="B162" t="inlineStr">
        <is>
          <t>5.   Investment in short term deposits at the end of the month (INR Lacs)</t>
        </is>
      </c>
      <c r="D162" t="inlineStr">
        <is>
          <t>NIL</t>
        </is>
      </c>
    </row>
    <row r="163"/>
    <row r="164">
      <c r="B164" t="inlineStr">
        <is>
          <t>6. Portfolio Turnover Ratio</t>
        </is>
      </c>
      <c r="D164" t="n">
        <v>0.31</v>
      </c>
    </row>
    <row r="165"/>
    <row r="166">
      <c r="B166" t="inlineStr">
        <is>
          <t>7.   Aggregate IDCW (earlier called Dividend) declared during the month</t>
        </is>
      </c>
      <c r="D166" t="inlineStr">
        <is>
          <t>NIL</t>
        </is>
      </c>
    </row>
    <row r="167"/>
    <row r="168">
      <c r="B168" t="inlineStr">
        <is>
          <t>8.   (a) Total Exposure to illiquid securities in the portfolio (INR Lacs)</t>
        </is>
      </c>
      <c r="D168" t="inlineStr">
        <is>
          <t>NIL</t>
        </is>
      </c>
    </row>
    <row r="169">
      <c r="B169" t="inlineStr">
        <is>
          <t xml:space="preserve">     (b) Total Exposure to illiquid securities in the portfolio (% of AUM)</t>
        </is>
      </c>
      <c r="D169" t="inlineStr">
        <is>
          <t>NIL</t>
        </is>
      </c>
    </row>
    <row r="170"/>
    <row r="171">
      <c r="B171" t="inlineStr">
        <is>
          <t>9.   Instances of Fair valuation of securities or Deviation in valuation from what is  provided by valuation agencies</t>
        </is>
      </c>
      <c r="D171" t="inlineStr">
        <is>
          <t>NIL</t>
        </is>
      </c>
    </row>
    <row r="172"/>
    <row r="173">
      <c r="B173" t="inlineStr">
        <is>
          <t>10. Securities in default beyond its maturity date in the portfolio of the scheme</t>
        </is>
      </c>
      <c r="D173" t="inlineStr">
        <is>
          <t>NIL</t>
        </is>
      </c>
    </row>
    <row r="174">
      <c r="B174" t="inlineStr">
        <is>
          <t xml:space="preserve">11. For Performance of the scheme refer - </t>
        </is>
      </c>
      <c r="C174" t="inlineStr">
        <is>
          <t>PGIM India Flexi Cap Fund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90"/>
  <sheetViews>
    <sheetView workbookViewId="0">
      <selection activeCell="A1" sqref="A1"/>
    </sheetView>
  </sheetViews>
  <sheetFormatPr baseColWidth="8" defaultRowHeight="15"/>
  <sheetData>
    <row r="1">
      <c r="B1" t="inlineStr">
        <is>
          <t>PGIM INDIA MULTI CAP FUND</t>
        </is>
      </c>
    </row>
    <row r="2">
      <c r="B2" t="inlineStr">
        <is>
          <t>(An open ended equity scheme investing across large cap, mid cap, small cap stocks)</t>
        </is>
      </c>
    </row>
    <row r="3">
      <c r="B3" t="inlineStr">
        <is>
          <t xml:space="preserve">Riskometer of the Scheme </t>
        </is>
      </c>
      <c r="E3" t="inlineStr">
        <is>
          <t xml:space="preserve">Riskometer of the Benchmark (Nifty 500 Multicap 50:25:25 TRI) </t>
        </is>
      </c>
    </row>
    <row r="4"/>
    <row r="5"/>
    <row r="6"/>
    <row r="7"/>
    <row r="8"/>
    <row r="9"/>
    <row r="10">
      <c r="B10" t="inlineStr">
        <is>
          <t>Investors understand that their 
principal will be at very high risk</t>
        </is>
      </c>
      <c r="E10" t="inlineStr">
        <is>
          <t>Benchmark riskometer is at very high risk</t>
        </is>
      </c>
    </row>
    <row r="11">
      <c r="B11" t="inlineStr">
        <is>
          <t>Portfolio Statement as on November 30,2025</t>
        </is>
      </c>
    </row>
    <row r="12">
      <c r="B12" t="inlineStr">
        <is>
          <t>Name of  Instrument</t>
        </is>
      </c>
      <c r="C12" t="inlineStr">
        <is>
          <t>ISIN</t>
        </is>
      </c>
      <c r="D12" t="inlineStr">
        <is>
          <t>Industry/Rating</t>
        </is>
      </c>
      <c r="E12" t="inlineStr">
        <is>
          <t>Quantity</t>
        </is>
      </c>
      <c r="F12" t="inlineStr">
        <is>
          <t>Market/Fair Value  (INR Lacs)</t>
        </is>
      </c>
      <c r="G12" t="inlineStr">
        <is>
          <t>%  to Net Assets</t>
        </is>
      </c>
      <c r="H12" t="inlineStr">
        <is>
          <t xml:space="preserve">% Yield </t>
        </is>
      </c>
    </row>
    <row r="13">
      <c r="B13" t="inlineStr">
        <is>
          <t>Equity &amp; Equity related</t>
        </is>
      </c>
    </row>
    <row r="14"/>
    <row r="15">
      <c r="B15" t="inlineStr">
        <is>
          <t>(a)Listed / Awaiting listing on Stock Exchanges</t>
        </is>
      </c>
    </row>
    <row r="16">
      <c r="B16" t="inlineStr">
        <is>
          <t>HDFC Bank Ltd.</t>
        </is>
      </c>
      <c r="C16" t="inlineStr">
        <is>
          <t>INE040A01034</t>
        </is>
      </c>
      <c r="D16" t="inlineStr">
        <is>
          <t>Banks</t>
        </is>
      </c>
      <c r="E16" t="n">
        <v>189750</v>
      </c>
      <c r="F16" t="n">
        <v>1911.92</v>
      </c>
      <c r="G16" t="n">
        <v>4.5</v>
      </c>
    </row>
    <row r="17">
      <c r="B17" t="inlineStr">
        <is>
          <t>ICICI Bank Ltd.</t>
        </is>
      </c>
      <c r="C17" t="inlineStr">
        <is>
          <t>INE090A01021</t>
        </is>
      </c>
      <c r="D17" t="inlineStr">
        <is>
          <t>Banks</t>
        </is>
      </c>
      <c r="E17" t="n">
        <v>123000</v>
      </c>
      <c r="F17" t="n">
        <v>1708.22</v>
      </c>
      <c r="G17" t="n">
        <v>4.02</v>
      </c>
    </row>
    <row r="18">
      <c r="B18" t="inlineStr">
        <is>
          <t>Reliance Industries Ltd.</t>
        </is>
      </c>
      <c r="C18" t="inlineStr">
        <is>
          <t>INE002A01018</t>
        </is>
      </c>
      <c r="D18" t="inlineStr">
        <is>
          <t>Petroleum Products</t>
        </is>
      </c>
      <c r="E18" t="n">
        <v>98996</v>
      </c>
      <c r="F18" t="n">
        <v>1551.76</v>
      </c>
      <c r="G18" t="n">
        <v>3.65</v>
      </c>
    </row>
    <row r="19">
      <c r="B19" t="inlineStr">
        <is>
          <t>Persistent Systems Ltd.</t>
        </is>
      </c>
      <c r="C19" t="inlineStr">
        <is>
          <t>INE262H01021</t>
        </is>
      </c>
      <c r="D19" t="inlineStr">
        <is>
          <t>IT - Software</t>
        </is>
      </c>
      <c r="E19" t="n">
        <v>15563</v>
      </c>
      <c r="F19" t="n">
        <v>988.72</v>
      </c>
      <c r="G19" t="n">
        <v>2.33</v>
      </c>
    </row>
    <row r="20">
      <c r="B20" t="inlineStr">
        <is>
          <t>TVS Motor Company Ltd.</t>
        </is>
      </c>
      <c r="C20" t="inlineStr">
        <is>
          <t>INE494B01023</t>
        </is>
      </c>
      <c r="D20" t="inlineStr">
        <is>
          <t>Automobiles</t>
        </is>
      </c>
      <c r="E20" t="n">
        <v>27925</v>
      </c>
      <c r="F20" t="n">
        <v>986.17</v>
      </c>
      <c r="G20" t="n">
        <v>2.32</v>
      </c>
    </row>
    <row r="21">
      <c r="B21" t="inlineStr">
        <is>
          <t>Muthoot Finance Ltd.</t>
        </is>
      </c>
      <c r="C21" t="inlineStr">
        <is>
          <t>INE414G01012</t>
        </is>
      </c>
      <c r="D21" t="inlineStr">
        <is>
          <t>Finance</t>
        </is>
      </c>
      <c r="E21" t="n">
        <v>26036</v>
      </c>
      <c r="F21" t="n">
        <v>974.84</v>
      </c>
      <c r="G21" t="n">
        <v>2.29</v>
      </c>
    </row>
    <row r="22">
      <c r="B22" t="inlineStr">
        <is>
          <t>Eternal Ltd.</t>
        </is>
      </c>
      <c r="C22" t="inlineStr">
        <is>
          <t>INE758T01015</t>
        </is>
      </c>
      <c r="D22" t="inlineStr">
        <is>
          <t>Retailing</t>
        </is>
      </c>
      <c r="E22" t="n">
        <v>323540</v>
      </c>
      <c r="F22" t="n">
        <v>970.9400000000001</v>
      </c>
      <c r="G22" t="n">
        <v>2.28</v>
      </c>
    </row>
    <row r="23">
      <c r="B23" t="inlineStr">
        <is>
          <t>Max Financial Services Ltd.</t>
        </is>
      </c>
      <c r="C23" t="inlineStr">
        <is>
          <t>INE180A01020</t>
        </is>
      </c>
      <c r="D23" t="inlineStr">
        <is>
          <t>Insurance</t>
        </is>
      </c>
      <c r="E23" t="n">
        <v>50750</v>
      </c>
      <c r="F23" t="n">
        <v>863.8200000000001</v>
      </c>
      <c r="G23" t="n">
        <v>2.03</v>
      </c>
    </row>
    <row r="24">
      <c r="B24" t="inlineStr">
        <is>
          <t>Larsen &amp; Toubro Ltd.</t>
        </is>
      </c>
      <c r="C24" t="inlineStr">
        <is>
          <t>INE018A01030</t>
        </is>
      </c>
      <c r="D24" t="inlineStr">
        <is>
          <t>Construction</t>
        </is>
      </c>
      <c r="E24" t="n">
        <v>20535</v>
      </c>
      <c r="F24" t="n">
        <v>835.6900000000001</v>
      </c>
      <c r="G24" t="n">
        <v>1.97</v>
      </c>
    </row>
    <row r="25">
      <c r="B25" t="inlineStr">
        <is>
          <t>InterGlobe Aviation Ltd.</t>
        </is>
      </c>
      <c r="C25" t="inlineStr">
        <is>
          <t>INE646L01027</t>
        </is>
      </c>
      <c r="D25" t="inlineStr">
        <is>
          <t>Transport Services</t>
        </is>
      </c>
      <c r="E25" t="n">
        <v>13630</v>
      </c>
      <c r="F25" t="n">
        <v>804.37</v>
      </c>
      <c r="G25" t="n">
        <v>1.89</v>
      </c>
    </row>
    <row r="26">
      <c r="B26" t="inlineStr">
        <is>
          <t>ICICI Lombard General Insurance Co. Ltd.</t>
        </is>
      </c>
      <c r="C26" t="inlineStr">
        <is>
          <t>INE765G01017</t>
        </is>
      </c>
      <c r="D26" t="inlineStr">
        <is>
          <t>Insurance</t>
        </is>
      </c>
      <c r="E26" t="n">
        <v>38810</v>
      </c>
      <c r="F26" t="n">
        <v>764.75</v>
      </c>
      <c r="G26" t="n">
        <v>1.8</v>
      </c>
    </row>
    <row r="27">
      <c r="B27" t="inlineStr">
        <is>
          <t>State Bank of India</t>
        </is>
      </c>
      <c r="C27" t="inlineStr">
        <is>
          <t>INE062A01020</t>
        </is>
      </c>
      <c r="D27" t="inlineStr">
        <is>
          <t>Banks</t>
        </is>
      </c>
      <c r="E27" t="n">
        <v>73675</v>
      </c>
      <c r="F27" t="n">
        <v>721.28</v>
      </c>
      <c r="G27" t="n">
        <v>1.7</v>
      </c>
    </row>
    <row r="28">
      <c r="B28" t="inlineStr">
        <is>
          <t>Dixon Technologies (India) Ltd.</t>
        </is>
      </c>
      <c r="C28" t="inlineStr">
        <is>
          <t>INE935N01020</t>
        </is>
      </c>
      <c r="D28" t="inlineStr">
        <is>
          <t>Consumer Durables</t>
        </is>
      </c>
      <c r="E28" t="n">
        <v>4532</v>
      </c>
      <c r="F28" t="n">
        <v>661.72</v>
      </c>
      <c r="G28" t="n">
        <v>1.56</v>
      </c>
    </row>
    <row r="29">
      <c r="B29" t="inlineStr">
        <is>
          <t>VARUN BEVERAGES LIMITED</t>
        </is>
      </c>
      <c r="C29" t="inlineStr">
        <is>
          <t>INE200M01039</t>
        </is>
      </c>
      <c r="D29" t="inlineStr">
        <is>
          <t>Beverages</t>
        </is>
      </c>
      <c r="E29" t="n">
        <v>132913</v>
      </c>
      <c r="F29" t="n">
        <v>640.04</v>
      </c>
      <c r="G29" t="n">
        <v>1.51</v>
      </c>
    </row>
    <row r="30">
      <c r="B30" t="inlineStr">
        <is>
          <t>Rubicon Research Ltd.</t>
        </is>
      </c>
      <c r="C30" t="inlineStr">
        <is>
          <t>INE506V01022</t>
        </is>
      </c>
      <c r="D30" t="inlineStr">
        <is>
          <t>Pharmaceuticals &amp; Biotechnology</t>
        </is>
      </c>
      <c r="E30" t="n">
        <v>96630</v>
      </c>
      <c r="F30" t="n">
        <v>633.75</v>
      </c>
      <c r="G30" t="n">
        <v>1.49</v>
      </c>
    </row>
    <row r="31">
      <c r="B31" t="inlineStr">
        <is>
          <t>Global Health Ltd.</t>
        </is>
      </c>
      <c r="C31" t="inlineStr">
        <is>
          <t>INE474Q01031</t>
        </is>
      </c>
      <c r="D31" t="inlineStr">
        <is>
          <t>Healthcare Services</t>
        </is>
      </c>
      <c r="E31" t="n">
        <v>50595</v>
      </c>
      <c r="F31" t="n">
        <v>630.41</v>
      </c>
      <c r="G31" t="n">
        <v>1.48</v>
      </c>
    </row>
    <row r="32">
      <c r="B32" t="inlineStr">
        <is>
          <t>Bajaj Finance Ltd.</t>
        </is>
      </c>
      <c r="C32" t="inlineStr">
        <is>
          <t>INE296A01032</t>
        </is>
      </c>
      <c r="D32" t="inlineStr">
        <is>
          <t>Finance</t>
        </is>
      </c>
      <c r="E32" t="n">
        <v>60290</v>
      </c>
      <c r="F32" t="n">
        <v>625.51</v>
      </c>
      <c r="G32" t="n">
        <v>1.47</v>
      </c>
    </row>
    <row r="33">
      <c r="B33" t="inlineStr">
        <is>
          <t>Bharti Airtel Ltd.</t>
        </is>
      </c>
      <c r="C33" t="inlineStr">
        <is>
          <t>INE397D01024</t>
        </is>
      </c>
      <c r="D33" t="inlineStr">
        <is>
          <t>Telecom - Services</t>
        </is>
      </c>
      <c r="E33" t="n">
        <v>28816</v>
      </c>
      <c r="F33" t="n">
        <v>605.6</v>
      </c>
      <c r="G33" t="n">
        <v>1.43</v>
      </c>
    </row>
    <row r="34">
      <c r="B34" t="inlineStr">
        <is>
          <t>LG Electronics India Ltd.</t>
        </is>
      </c>
      <c r="C34" t="inlineStr">
        <is>
          <t>INE324D01010</t>
        </is>
      </c>
      <c r="D34" t="inlineStr">
        <is>
          <t>Consumer Durables</t>
        </is>
      </c>
      <c r="E34" t="n">
        <v>36021</v>
      </c>
      <c r="F34" t="n">
        <v>597.7</v>
      </c>
      <c r="G34" t="n">
        <v>1.41</v>
      </c>
    </row>
    <row r="35">
      <c r="B35" t="inlineStr">
        <is>
          <t>Krishna Inst of Medical Sciences Ltd.</t>
        </is>
      </c>
      <c r="C35" t="inlineStr">
        <is>
          <t>INE967H01025</t>
        </is>
      </c>
      <c r="D35" t="inlineStr">
        <is>
          <t>Healthcare Services</t>
        </is>
      </c>
      <c r="E35" t="n">
        <v>85994</v>
      </c>
      <c r="F35" t="n">
        <v>589.14</v>
      </c>
      <c r="G35" t="n">
        <v>1.39</v>
      </c>
    </row>
    <row r="36">
      <c r="B36" t="inlineStr">
        <is>
          <t>Doms Industries Ltd.</t>
        </is>
      </c>
      <c r="C36" t="inlineStr">
        <is>
          <t>INE321T01012</t>
        </is>
      </c>
      <c r="D36" t="inlineStr">
        <is>
          <t>Household Products</t>
        </is>
      </c>
      <c r="E36" t="n">
        <v>23296</v>
      </c>
      <c r="F36" t="n">
        <v>584.73</v>
      </c>
      <c r="G36" t="n">
        <v>1.38</v>
      </c>
    </row>
    <row r="37">
      <c r="B37" t="inlineStr">
        <is>
          <t>Nippon Life India Asset Management Ltd.</t>
        </is>
      </c>
      <c r="C37" t="inlineStr">
        <is>
          <t>INE298J01013</t>
        </is>
      </c>
      <c r="D37" t="inlineStr">
        <is>
          <t>Capital Markets</t>
        </is>
      </c>
      <c r="E37" t="n">
        <v>64145</v>
      </c>
      <c r="F37" t="n">
        <v>561.65</v>
      </c>
      <c r="G37" t="n">
        <v>1.32</v>
      </c>
    </row>
    <row r="38">
      <c r="B38" t="inlineStr">
        <is>
          <t>Cummins India Ltd.</t>
        </is>
      </c>
      <c r="C38" t="inlineStr">
        <is>
          <t>INE298A01020</t>
        </is>
      </c>
      <c r="D38" t="inlineStr">
        <is>
          <t>Industrial Products</t>
        </is>
      </c>
      <c r="E38" t="n">
        <v>12450</v>
      </c>
      <c r="F38" t="n">
        <v>557.67</v>
      </c>
      <c r="G38" t="n">
        <v>1.31</v>
      </c>
    </row>
    <row r="39">
      <c r="B39" t="inlineStr">
        <is>
          <t>Multi Commodity Exchange Of India Ltd.</t>
        </is>
      </c>
      <c r="C39" t="inlineStr">
        <is>
          <t>INE745G01035</t>
        </is>
      </c>
      <c r="D39" t="inlineStr">
        <is>
          <t>Capital Markets</t>
        </is>
      </c>
      <c r="E39" t="n">
        <v>5515</v>
      </c>
      <c r="F39" t="n">
        <v>555.55</v>
      </c>
      <c r="G39" t="n">
        <v>1.31</v>
      </c>
    </row>
    <row r="40">
      <c r="B40" t="inlineStr">
        <is>
          <t>Affle 3i Ltd.</t>
        </is>
      </c>
      <c r="C40" t="inlineStr">
        <is>
          <t>INE00WC01027</t>
        </is>
      </c>
      <c r="D40" t="inlineStr">
        <is>
          <t>IT - Services</t>
        </is>
      </c>
      <c r="E40" t="n">
        <v>32271</v>
      </c>
      <c r="F40" t="n">
        <v>535.99</v>
      </c>
      <c r="G40" t="n">
        <v>1.26</v>
      </c>
    </row>
    <row r="41">
      <c r="B41" t="inlineStr">
        <is>
          <t>Vishal Mega Mart Ltd</t>
        </is>
      </c>
      <c r="C41" t="inlineStr">
        <is>
          <t>INE01EA01019</t>
        </is>
      </c>
      <c r="D41" t="inlineStr">
        <is>
          <t>Retailing</t>
        </is>
      </c>
      <c r="E41" t="n">
        <v>388785</v>
      </c>
      <c r="F41" t="n">
        <v>527.97</v>
      </c>
      <c r="G41" t="n">
        <v>1.24</v>
      </c>
    </row>
    <row r="42">
      <c r="B42" t="inlineStr">
        <is>
          <t>CCL Products (India) Ltd.</t>
        </is>
      </c>
      <c r="C42" t="inlineStr">
        <is>
          <t>INE421D01022</t>
        </is>
      </c>
      <c r="D42" t="inlineStr">
        <is>
          <t>Agricultural Food &amp; other Products</t>
        </is>
      </c>
      <c r="E42" t="n">
        <v>51718</v>
      </c>
      <c r="F42" t="n">
        <v>521.63</v>
      </c>
      <c r="G42" t="n">
        <v>1.23</v>
      </c>
    </row>
    <row r="43">
      <c r="B43" t="inlineStr">
        <is>
          <t>Dr Agarwal's Health Care Ltd.</t>
        </is>
      </c>
      <c r="C43" t="inlineStr">
        <is>
          <t>INE943P01029</t>
        </is>
      </c>
      <c r="D43" t="inlineStr">
        <is>
          <t>Healthcare Services</t>
        </is>
      </c>
      <c r="E43" t="n">
        <v>95939</v>
      </c>
      <c r="F43" t="n">
        <v>512.0700000000001</v>
      </c>
      <c r="G43" t="n">
        <v>1.2</v>
      </c>
    </row>
    <row r="44">
      <c r="B44" t="inlineStr">
        <is>
          <t>Solar Industries India Ltd.</t>
        </is>
      </c>
      <c r="C44" t="inlineStr">
        <is>
          <t>INE343H01029</t>
        </is>
      </c>
      <c r="D44" t="inlineStr">
        <is>
          <t>Chemicals &amp; Petrochemicals</t>
        </is>
      </c>
      <c r="E44" t="n">
        <v>3549</v>
      </c>
      <c r="F44" t="n">
        <v>471.02</v>
      </c>
      <c r="G44" t="n">
        <v>1.11</v>
      </c>
    </row>
    <row r="45">
      <c r="B45" t="inlineStr">
        <is>
          <t>CG Power and Industrial Solutions Ltd.</t>
        </is>
      </c>
      <c r="C45" t="inlineStr">
        <is>
          <t>INE067A01029</t>
        </is>
      </c>
      <c r="D45" t="inlineStr">
        <is>
          <t>Electrical Equipment</t>
        </is>
      </c>
      <c r="E45" t="n">
        <v>68175</v>
      </c>
      <c r="F45" t="n">
        <v>458.75</v>
      </c>
      <c r="G45" t="n">
        <v>1.08</v>
      </c>
    </row>
    <row r="46">
      <c r="B46" t="inlineStr">
        <is>
          <t>Aster DM Healthcare Ltd.</t>
        </is>
      </c>
      <c r="C46" t="inlineStr">
        <is>
          <t>INE914M01019</t>
        </is>
      </c>
      <c r="D46" t="inlineStr">
        <is>
          <t>Healthcare Services</t>
        </is>
      </c>
      <c r="E46" t="n">
        <v>67720</v>
      </c>
      <c r="F46" t="n">
        <v>450.64</v>
      </c>
      <c r="G46" t="n">
        <v>1.06</v>
      </c>
    </row>
    <row r="47">
      <c r="B47" t="inlineStr">
        <is>
          <t>Mahindra &amp; Mahindra Ltd.</t>
        </is>
      </c>
      <c r="C47" t="inlineStr">
        <is>
          <t>INE101A01026</t>
        </is>
      </c>
      <c r="D47" t="inlineStr">
        <is>
          <t>Automobiles</t>
        </is>
      </c>
      <c r="E47" t="n">
        <v>11993</v>
      </c>
      <c r="F47" t="n">
        <v>450.61</v>
      </c>
      <c r="G47" t="n">
        <v>1.06</v>
      </c>
    </row>
    <row r="48">
      <c r="B48" t="inlineStr">
        <is>
          <t>Karur Vysya Bank Ltd.</t>
        </is>
      </c>
      <c r="C48" t="inlineStr">
        <is>
          <t>INE036D01028</t>
        </is>
      </c>
      <c r="D48" t="inlineStr">
        <is>
          <t>Banks</t>
        </is>
      </c>
      <c r="E48" t="n">
        <v>171876</v>
      </c>
      <c r="F48" t="n">
        <v>426.2</v>
      </c>
      <c r="G48" t="n">
        <v>1</v>
      </c>
    </row>
    <row r="49">
      <c r="B49" t="inlineStr">
        <is>
          <t>Blue Star Ltd.</t>
        </is>
      </c>
      <c r="C49" t="inlineStr">
        <is>
          <t>INE472A01039</t>
        </is>
      </c>
      <c r="D49" t="inlineStr">
        <is>
          <t>Consumer Durables</t>
        </is>
      </c>
      <c r="E49" t="n">
        <v>24025</v>
      </c>
      <c r="F49" t="n">
        <v>424.14</v>
      </c>
      <c r="G49" t="n">
        <v>1</v>
      </c>
    </row>
    <row r="50">
      <c r="B50" t="inlineStr">
        <is>
          <t>JK Cement Ltd.</t>
        </is>
      </c>
      <c r="C50" t="inlineStr">
        <is>
          <t>INE823G01014</t>
        </is>
      </c>
      <c r="D50" t="inlineStr">
        <is>
          <t>Cement &amp; Cement Products</t>
        </is>
      </c>
      <c r="E50" t="n">
        <v>7237</v>
      </c>
      <c r="F50" t="n">
        <v>416.71</v>
      </c>
      <c r="G50" t="n">
        <v>0.98</v>
      </c>
    </row>
    <row r="51">
      <c r="B51" t="inlineStr">
        <is>
          <t>Data Patterns (India) Ltd.</t>
        </is>
      </c>
      <c r="C51" t="inlineStr">
        <is>
          <t>INE0IX101010</t>
        </is>
      </c>
      <c r="D51" t="inlineStr">
        <is>
          <t>Aerospace &amp; Defense</t>
        </is>
      </c>
      <c r="E51" t="n">
        <v>13800</v>
      </c>
      <c r="F51" t="n">
        <v>409.97</v>
      </c>
      <c r="G51" t="n">
        <v>0.96</v>
      </c>
    </row>
    <row r="52">
      <c r="B52" t="inlineStr">
        <is>
          <t>Lenskart Solutions Private Ltd.</t>
        </is>
      </c>
      <c r="C52" t="inlineStr">
        <is>
          <t>INE956O01016</t>
        </is>
      </c>
      <c r="D52" t="inlineStr">
        <is>
          <t>Retailing</t>
        </is>
      </c>
      <c r="E52" t="n">
        <v>99864</v>
      </c>
      <c r="F52" t="n">
        <v>409.89</v>
      </c>
      <c r="G52" t="n">
        <v>0.96</v>
      </c>
    </row>
    <row r="53">
      <c r="B53" t="inlineStr">
        <is>
          <t>Tata Consultancy Services Ltd.</t>
        </is>
      </c>
      <c r="C53" t="inlineStr">
        <is>
          <t>INE467B01029</t>
        </is>
      </c>
      <c r="D53" t="inlineStr">
        <is>
          <t>IT - Software</t>
        </is>
      </c>
      <c r="E53" t="n">
        <v>12790</v>
      </c>
      <c r="F53" t="n">
        <v>401.29</v>
      </c>
      <c r="G53" t="n">
        <v>0.9399999999999999</v>
      </c>
    </row>
    <row r="54">
      <c r="B54" t="inlineStr">
        <is>
          <t>Safari Industries India Ltd.</t>
        </is>
      </c>
      <c r="C54" t="inlineStr">
        <is>
          <t>INE429E01023</t>
        </is>
      </c>
      <c r="D54" t="inlineStr">
        <is>
          <t>Consumer Durables</t>
        </is>
      </c>
      <c r="E54" t="n">
        <v>16335</v>
      </c>
      <c r="F54" t="n">
        <v>396.91</v>
      </c>
      <c r="G54" t="n">
        <v>0.93</v>
      </c>
    </row>
    <row r="55">
      <c r="B55" t="inlineStr">
        <is>
          <t>Prestige Estates Projects Ltd.</t>
        </is>
      </c>
      <c r="C55" t="inlineStr">
        <is>
          <t>INE811K01011</t>
        </is>
      </c>
      <c r="D55" t="inlineStr">
        <is>
          <t>Realty</t>
        </is>
      </c>
      <c r="E55" t="n">
        <v>23550</v>
      </c>
      <c r="F55" t="n">
        <v>395</v>
      </c>
      <c r="G55" t="n">
        <v>0.93</v>
      </c>
    </row>
    <row r="56">
      <c r="B56" t="inlineStr">
        <is>
          <t>MRS Bectors Food Specialities Ltd.</t>
        </is>
      </c>
      <c r="C56" t="inlineStr">
        <is>
          <t>INE495P01012</t>
        </is>
      </c>
      <c r="D56" t="inlineStr">
        <is>
          <t>Food Products</t>
        </is>
      </c>
      <c r="E56" t="n">
        <v>30068</v>
      </c>
      <c r="F56" t="n">
        <v>390.97</v>
      </c>
      <c r="G56" t="n">
        <v>0.92</v>
      </c>
    </row>
    <row r="57">
      <c r="B57" t="inlineStr">
        <is>
          <t>International Gemmological Inst Ind Ltd.</t>
        </is>
      </c>
      <c r="C57" t="inlineStr">
        <is>
          <t>INE0Q9301021</t>
        </is>
      </c>
      <c r="D57" t="inlineStr">
        <is>
          <t>Commercial Services &amp; Supplies</t>
        </is>
      </c>
      <c r="E57" t="n">
        <v>118580</v>
      </c>
      <c r="F57" t="n">
        <v>388.94</v>
      </c>
      <c r="G57" t="n">
        <v>0.92</v>
      </c>
    </row>
    <row r="58">
      <c r="B58" t="inlineStr">
        <is>
          <t>Ultratech Cement Ltd.</t>
        </is>
      </c>
      <c r="C58" t="inlineStr">
        <is>
          <t>INE481G01011</t>
        </is>
      </c>
      <c r="D58" t="inlineStr">
        <is>
          <t>Cement &amp; Cement Products</t>
        </is>
      </c>
      <c r="E58" t="n">
        <v>3200</v>
      </c>
      <c r="F58" t="n">
        <v>371.2</v>
      </c>
      <c r="G58" t="n">
        <v>0.87</v>
      </c>
    </row>
    <row r="59">
      <c r="B59" t="inlineStr">
        <is>
          <t>Hindalco Industries Ltd.</t>
        </is>
      </c>
      <c r="C59" t="inlineStr">
        <is>
          <t>INE038A01020</t>
        </is>
      </c>
      <c r="D59" t="inlineStr">
        <is>
          <t>Non - Ferrous Metals</t>
        </is>
      </c>
      <c r="E59" t="n">
        <v>44774</v>
      </c>
      <c r="F59" t="n">
        <v>361.95</v>
      </c>
      <c r="G59" t="n">
        <v>0.85</v>
      </c>
    </row>
    <row r="60">
      <c r="B60" t="inlineStr">
        <is>
          <t>Cholamandalam Investment &amp; Finance Company Ltd.</t>
        </is>
      </c>
      <c r="C60" t="inlineStr">
        <is>
          <t>INE121A01024</t>
        </is>
      </c>
      <c r="D60" t="inlineStr">
        <is>
          <t>Finance</t>
        </is>
      </c>
      <c r="E60" t="n">
        <v>20683</v>
      </c>
      <c r="F60" t="n">
        <v>359.06</v>
      </c>
      <c r="G60" t="n">
        <v>0.84</v>
      </c>
    </row>
    <row r="61">
      <c r="B61" t="inlineStr">
        <is>
          <t>Mankind Pharma Ltd.</t>
        </is>
      </c>
      <c r="C61" t="inlineStr">
        <is>
          <t>INE634S01028</t>
        </is>
      </c>
      <c r="D61" t="inlineStr">
        <is>
          <t>Pharmaceuticals &amp; Biotechnology</t>
        </is>
      </c>
      <c r="E61" t="n">
        <v>15944</v>
      </c>
      <c r="F61" t="n">
        <v>358.9</v>
      </c>
      <c r="G61" t="n">
        <v>0.84</v>
      </c>
    </row>
    <row r="62">
      <c r="B62" t="inlineStr">
        <is>
          <t>Tube Investments Of India Ltd.</t>
        </is>
      </c>
      <c r="C62" t="inlineStr">
        <is>
          <t>INE974X01010</t>
        </is>
      </c>
      <c r="D62" t="inlineStr">
        <is>
          <t>Auto Components</t>
        </is>
      </c>
      <c r="E62" t="n">
        <v>12867</v>
      </c>
      <c r="F62" t="n">
        <v>358.27</v>
      </c>
      <c r="G62" t="n">
        <v>0.84</v>
      </c>
    </row>
    <row r="63">
      <c r="B63" t="inlineStr">
        <is>
          <t>JB Chemicals &amp; Pharmaceuticals Ltd.</t>
        </is>
      </c>
      <c r="C63" t="inlineStr">
        <is>
          <t>INE572A01036</t>
        </is>
      </c>
      <c r="D63" t="inlineStr">
        <is>
          <t>Pharmaceuticals &amp; Biotechnology</t>
        </is>
      </c>
      <c r="E63" t="n">
        <v>20080</v>
      </c>
      <c r="F63" t="n">
        <v>355.68</v>
      </c>
      <c r="G63" t="n">
        <v>0.84</v>
      </c>
    </row>
    <row r="64">
      <c r="B64" t="inlineStr">
        <is>
          <t>Sun Pharmaceutical Industries Ltd.</t>
        </is>
      </c>
      <c r="C64" t="inlineStr">
        <is>
          <t>INE044A01036</t>
        </is>
      </c>
      <c r="D64" t="inlineStr">
        <is>
          <t>Pharmaceuticals &amp; Biotechnology</t>
        </is>
      </c>
      <c r="E64" t="n">
        <v>19309</v>
      </c>
      <c r="F64" t="n">
        <v>353.66</v>
      </c>
      <c r="G64" t="n">
        <v>0.83</v>
      </c>
    </row>
    <row r="65">
      <c r="B65" t="inlineStr">
        <is>
          <t>SRF Ltd.</t>
        </is>
      </c>
      <c r="C65" t="inlineStr">
        <is>
          <t>INE647A01010</t>
        </is>
      </c>
      <c r="D65" t="inlineStr">
        <is>
          <t>Chemicals &amp; Petrochemicals</t>
        </is>
      </c>
      <c r="E65" t="n">
        <v>12000</v>
      </c>
      <c r="F65" t="n">
        <v>351.28</v>
      </c>
      <c r="G65" t="n">
        <v>0.83</v>
      </c>
    </row>
    <row r="66">
      <c r="B66" t="inlineStr">
        <is>
          <t>Physicswallah Ltd.</t>
        </is>
      </c>
      <c r="C66" t="inlineStr">
        <is>
          <t>INE0LP301011</t>
        </is>
      </c>
      <c r="D66" t="inlineStr">
        <is>
          <t>Other Consumer Services</t>
        </is>
      </c>
      <c r="E66" t="n">
        <v>279754</v>
      </c>
      <c r="F66" t="n">
        <v>349.38</v>
      </c>
      <c r="G66" t="n">
        <v>0.82</v>
      </c>
    </row>
    <row r="67">
      <c r="B67" t="inlineStr">
        <is>
          <t>Sansera Engineering Ltd.</t>
        </is>
      </c>
      <c r="C67" t="inlineStr">
        <is>
          <t>INE953O01021</t>
        </is>
      </c>
      <c r="D67" t="inlineStr">
        <is>
          <t>Auto Components</t>
        </is>
      </c>
      <c r="E67" t="n">
        <v>19945</v>
      </c>
      <c r="F67" t="n">
        <v>348.86</v>
      </c>
      <c r="G67" t="n">
        <v>0.82</v>
      </c>
    </row>
    <row r="68">
      <c r="B68" t="inlineStr">
        <is>
          <t>Torrent Power Ltd.</t>
        </is>
      </c>
      <c r="C68" t="inlineStr">
        <is>
          <t>INE813H01021</t>
        </is>
      </c>
      <c r="D68" t="inlineStr">
        <is>
          <t>Power</t>
        </is>
      </c>
      <c r="E68" t="n">
        <v>25615</v>
      </c>
      <c r="F68" t="n">
        <v>336.71</v>
      </c>
      <c r="G68" t="n">
        <v>0.79</v>
      </c>
    </row>
    <row r="69">
      <c r="B69" t="inlineStr">
        <is>
          <t>Capillary Technologies India Ltd.</t>
        </is>
      </c>
      <c r="C69" t="inlineStr">
        <is>
          <t>INE0ILV01024</t>
        </is>
      </c>
      <c r="D69" t="inlineStr">
        <is>
          <t>IT - Software</t>
        </is>
      </c>
      <c r="E69" t="n">
        <v>51550</v>
      </c>
      <c r="F69" t="n">
        <v>331.98</v>
      </c>
      <c r="G69" t="n">
        <v>0.78</v>
      </c>
    </row>
    <row r="70">
      <c r="B70" t="inlineStr">
        <is>
          <t>Maruti Suzuki India Ltd.</t>
        </is>
      </c>
      <c r="C70" t="inlineStr">
        <is>
          <t>INE585B01010</t>
        </is>
      </c>
      <c r="D70" t="inlineStr">
        <is>
          <t>Automobiles</t>
        </is>
      </c>
      <c r="E70" t="n">
        <v>2081</v>
      </c>
      <c r="F70" t="n">
        <v>330.88</v>
      </c>
      <c r="G70" t="n">
        <v>0.78</v>
      </c>
    </row>
    <row r="71">
      <c r="B71" t="inlineStr">
        <is>
          <t>KEI Industries Ltd.</t>
        </is>
      </c>
      <c r="C71" t="inlineStr">
        <is>
          <t>INE878B01027</t>
        </is>
      </c>
      <c r="D71" t="inlineStr">
        <is>
          <t>Industrial Products</t>
        </is>
      </c>
      <c r="E71" t="n">
        <v>7960</v>
      </c>
      <c r="F71" t="n">
        <v>329.99</v>
      </c>
      <c r="G71" t="n">
        <v>0.78</v>
      </c>
    </row>
    <row r="72">
      <c r="B72" t="inlineStr">
        <is>
          <t>Sai Life Sciences Ltd</t>
        </is>
      </c>
      <c r="C72" t="inlineStr">
        <is>
          <t>INE570L01029</t>
        </is>
      </c>
      <c r="D72" t="inlineStr">
        <is>
          <t>Pharmaceuticals &amp; Biotechnology</t>
        </is>
      </c>
      <c r="E72" t="n">
        <v>37112</v>
      </c>
      <c r="F72" t="n">
        <v>328.22</v>
      </c>
      <c r="G72" t="n">
        <v>0.77</v>
      </c>
    </row>
    <row r="73">
      <c r="B73" t="inlineStr">
        <is>
          <t>Le Travenues Technology Ltd.</t>
        </is>
      </c>
      <c r="C73" t="inlineStr">
        <is>
          <t>INE0HV901016</t>
        </is>
      </c>
      <c r="D73" t="inlineStr">
        <is>
          <t>Leisure Services</t>
        </is>
      </c>
      <c r="E73" t="n">
        <v>121795</v>
      </c>
      <c r="F73" t="n">
        <v>325.07</v>
      </c>
      <c r="G73" t="n">
        <v>0.76</v>
      </c>
    </row>
    <row r="74">
      <c r="B74" t="inlineStr">
        <is>
          <t>AWFIS Space Solutions Ltd.</t>
        </is>
      </c>
      <c r="C74" t="inlineStr">
        <is>
          <t>INE108V01019</t>
        </is>
      </c>
      <c r="D74" t="inlineStr">
        <is>
          <t>Commercial Services &amp; Supplies</t>
        </is>
      </c>
      <c r="E74" t="n">
        <v>60215</v>
      </c>
      <c r="F74" t="n">
        <v>322.75</v>
      </c>
      <c r="G74" t="n">
        <v>0.76</v>
      </c>
    </row>
    <row r="75">
      <c r="B75" t="inlineStr">
        <is>
          <t>BlueStone Jewellery and Lifestyle Ltd.</t>
        </is>
      </c>
      <c r="C75" t="inlineStr">
        <is>
          <t>INE304W01038</t>
        </is>
      </c>
      <c r="D75" t="inlineStr">
        <is>
          <t>Consumer Durables</t>
        </is>
      </c>
      <c r="E75" t="n">
        <v>57304</v>
      </c>
      <c r="F75" t="n">
        <v>319.81</v>
      </c>
      <c r="G75" t="n">
        <v>0.75</v>
      </c>
    </row>
    <row r="76">
      <c r="B76" t="inlineStr">
        <is>
          <t>JSW Cement Ltd.</t>
        </is>
      </c>
      <c r="C76" t="inlineStr">
        <is>
          <t>INE718I01012</t>
        </is>
      </c>
      <c r="D76" t="inlineStr">
        <is>
          <t>Cement &amp; Cement Products</t>
        </is>
      </c>
      <c r="E76" t="n">
        <v>272136</v>
      </c>
      <c r="F76" t="n">
        <v>312.25</v>
      </c>
      <c r="G76" t="n">
        <v>0.73</v>
      </c>
    </row>
    <row r="77">
      <c r="B77" t="inlineStr">
        <is>
          <t>Bharti Hexacom Ltd.</t>
        </is>
      </c>
      <c r="C77" t="inlineStr">
        <is>
          <t>INE343G01021</t>
        </is>
      </c>
      <c r="D77" t="inlineStr">
        <is>
          <t>Telecom - Services</t>
        </is>
      </c>
      <c r="E77" t="n">
        <v>16967</v>
      </c>
      <c r="F77" t="n">
        <v>300.03</v>
      </c>
      <c r="G77" t="n">
        <v>0.71</v>
      </c>
    </row>
    <row r="78">
      <c r="B78" t="inlineStr">
        <is>
          <t>Radico Khaitan Ltd.</t>
        </is>
      </c>
      <c r="C78" t="inlineStr">
        <is>
          <t>INE944F01028</t>
        </is>
      </c>
      <c r="D78" t="inlineStr">
        <is>
          <t>Beverages</t>
        </is>
      </c>
      <c r="E78" t="n">
        <v>9201</v>
      </c>
      <c r="F78" t="n">
        <v>295.18</v>
      </c>
      <c r="G78" t="n">
        <v>0.6899999999999999</v>
      </c>
    </row>
    <row r="79">
      <c r="B79" t="inlineStr">
        <is>
          <t>K.P.R. Mill Ltd.</t>
        </is>
      </c>
      <c r="C79" t="inlineStr">
        <is>
          <t>INE930H01031</t>
        </is>
      </c>
      <c r="D79" t="inlineStr">
        <is>
          <t>Textiles &amp; Apparels</t>
        </is>
      </c>
      <c r="E79" t="n">
        <v>26884</v>
      </c>
      <c r="F79" t="n">
        <v>290.21</v>
      </c>
      <c r="G79" t="n">
        <v>0.68</v>
      </c>
    </row>
    <row r="80">
      <c r="B80" t="inlineStr">
        <is>
          <t>Home First Finance Company India Ltd.</t>
        </is>
      </c>
      <c r="C80" t="inlineStr">
        <is>
          <t>INE481N01025</t>
        </is>
      </c>
      <c r="D80" t="inlineStr">
        <is>
          <t>Finance</t>
        </is>
      </c>
      <c r="E80" t="n">
        <v>26114</v>
      </c>
      <c r="F80" t="n">
        <v>290.13</v>
      </c>
      <c r="G80" t="n">
        <v>0.68</v>
      </c>
    </row>
    <row r="81">
      <c r="B81" t="inlineStr">
        <is>
          <t>Gillette India Ltd.</t>
        </is>
      </c>
      <c r="C81" t="inlineStr">
        <is>
          <t>INE322A01010</t>
        </is>
      </c>
      <c r="D81" t="inlineStr">
        <is>
          <t>Personal Products</t>
        </is>
      </c>
      <c r="E81" t="n">
        <v>3330</v>
      </c>
      <c r="F81" t="n">
        <v>289.19</v>
      </c>
      <c r="G81" t="n">
        <v>0.68</v>
      </c>
    </row>
    <row r="82">
      <c r="B82" t="inlineStr">
        <is>
          <t>Infosys Ltd.</t>
        </is>
      </c>
      <c r="C82" t="inlineStr">
        <is>
          <t>INE009A01021</t>
        </is>
      </c>
      <c r="D82" t="inlineStr">
        <is>
          <t>IT - Software</t>
        </is>
      </c>
      <c r="E82" t="n">
        <v>18342</v>
      </c>
      <c r="F82" t="n">
        <v>286.15</v>
      </c>
      <c r="G82" t="n">
        <v>0.67</v>
      </c>
    </row>
    <row r="83">
      <c r="B83" t="inlineStr">
        <is>
          <t>Urban Company Ltd.</t>
        </is>
      </c>
      <c r="C83" t="inlineStr">
        <is>
          <t>INE0CAZ01013</t>
        </is>
      </c>
      <c r="D83" t="inlineStr">
        <is>
          <t>Retailing</t>
        </is>
      </c>
      <c r="E83" t="n">
        <v>205900</v>
      </c>
      <c r="F83" t="n">
        <v>278.03</v>
      </c>
      <c r="G83" t="n">
        <v>0.65</v>
      </c>
    </row>
    <row r="84">
      <c r="B84" t="inlineStr">
        <is>
          <t>Sagility Ltd.</t>
        </is>
      </c>
      <c r="C84" t="inlineStr">
        <is>
          <t>INE0W2G01015</t>
        </is>
      </c>
      <c r="D84" t="inlineStr">
        <is>
          <t>IT - Services</t>
        </is>
      </c>
      <c r="E84" t="n">
        <v>548500</v>
      </c>
      <c r="F84" t="n">
        <v>274.69</v>
      </c>
      <c r="G84" t="n">
        <v>0.65</v>
      </c>
    </row>
    <row r="85">
      <c r="B85" t="inlineStr">
        <is>
          <t>Gabriel India Ltd.</t>
        </is>
      </c>
      <c r="C85" t="inlineStr">
        <is>
          <t>INE524A01029</t>
        </is>
      </c>
      <c r="D85" t="inlineStr">
        <is>
          <t>Auto Components</t>
        </is>
      </c>
      <c r="E85" t="n">
        <v>25475</v>
      </c>
      <c r="F85" t="n">
        <v>262.06</v>
      </c>
      <c r="G85" t="n">
        <v>0.62</v>
      </c>
    </row>
    <row r="86">
      <c r="B86" t="inlineStr">
        <is>
          <t>Ather Energy Ltd.</t>
        </is>
      </c>
      <c r="C86" t="inlineStr">
        <is>
          <t>INE0LEZ01016</t>
        </is>
      </c>
      <c r="D86" t="inlineStr">
        <is>
          <t>Automobiles</t>
        </is>
      </c>
      <c r="E86" t="n">
        <v>36134</v>
      </c>
      <c r="F86" t="n">
        <v>259.42</v>
      </c>
      <c r="G86" t="n">
        <v>0.61</v>
      </c>
    </row>
    <row r="87">
      <c r="B87" t="inlineStr">
        <is>
          <t>Polycab India Ltd.</t>
        </is>
      </c>
      <c r="C87" t="inlineStr">
        <is>
          <t>INE455K01017</t>
        </is>
      </c>
      <c r="D87" t="inlineStr">
        <is>
          <t>Industrial Products</t>
        </is>
      </c>
      <c r="E87" t="n">
        <v>3354</v>
      </c>
      <c r="F87" t="n">
        <v>250.54</v>
      </c>
      <c r="G87" t="n">
        <v>0.59</v>
      </c>
    </row>
    <row r="88">
      <c r="B88" t="inlineStr">
        <is>
          <t>Schneider Electric Infrastructure Ltd.</t>
        </is>
      </c>
      <c r="C88" t="inlineStr">
        <is>
          <t>INE839M01018</t>
        </is>
      </c>
      <c r="D88" t="inlineStr">
        <is>
          <t>Electrical Equipment</t>
        </is>
      </c>
      <c r="E88" t="n">
        <v>32983</v>
      </c>
      <c r="F88" t="n">
        <v>236.27</v>
      </c>
      <c r="G88" t="n">
        <v>0.5600000000000001</v>
      </c>
    </row>
    <row r="89">
      <c r="B89" t="inlineStr">
        <is>
          <t>Max Healthcare Institute Ltd.</t>
        </is>
      </c>
      <c r="C89" t="inlineStr">
        <is>
          <t>INE027H01010</t>
        </is>
      </c>
      <c r="D89" t="inlineStr">
        <is>
          <t>Healthcare Services</t>
        </is>
      </c>
      <c r="E89" t="n">
        <v>20198</v>
      </c>
      <c r="F89" t="n">
        <v>234.86</v>
      </c>
      <c r="G89" t="n">
        <v>0.55</v>
      </c>
    </row>
    <row r="90">
      <c r="B90" t="inlineStr">
        <is>
          <t>Pine Labs Ltd.</t>
        </is>
      </c>
      <c r="C90" t="inlineStr">
        <is>
          <t>INE15B701018</t>
        </is>
      </c>
      <c r="D90" t="inlineStr">
        <is>
          <t>Financial Technology (Fintech)</t>
        </is>
      </c>
      <c r="E90" t="n">
        <v>91455</v>
      </c>
      <c r="F90" t="n">
        <v>228.42</v>
      </c>
      <c r="G90" t="n">
        <v>0.54</v>
      </c>
    </row>
    <row r="91">
      <c r="B91" t="inlineStr">
        <is>
          <t>Divi's Laboratories Ltd.</t>
        </is>
      </c>
      <c r="C91" t="inlineStr">
        <is>
          <t>INE361B01024</t>
        </is>
      </c>
      <c r="D91" t="inlineStr">
        <is>
          <t>Pharmaceuticals &amp; Biotechnology</t>
        </is>
      </c>
      <c r="E91" t="n">
        <v>3523</v>
      </c>
      <c r="F91" t="n">
        <v>228.18</v>
      </c>
      <c r="G91" t="n">
        <v>0.54</v>
      </c>
    </row>
    <row r="92">
      <c r="B92" t="inlineStr">
        <is>
          <t>Tega Industries Ltd.</t>
        </is>
      </c>
      <c r="C92" t="inlineStr">
        <is>
          <t>INE011K01018</t>
        </is>
      </c>
      <c r="D92" t="inlineStr">
        <is>
          <t>Industrial Manufacturing</t>
        </is>
      </c>
      <c r="E92" t="n">
        <v>11580</v>
      </c>
      <c r="F92" t="n">
        <v>224.14</v>
      </c>
      <c r="G92" t="n">
        <v>0.53</v>
      </c>
    </row>
    <row r="93">
      <c r="B93" t="inlineStr">
        <is>
          <t>Sumitomo Chemical India Ltd.</t>
        </is>
      </c>
      <c r="C93" t="inlineStr">
        <is>
          <t>INE258G01013</t>
        </is>
      </c>
      <c r="D93" t="inlineStr">
        <is>
          <t>Fertilizers &amp; Agrochemicals</t>
        </is>
      </c>
      <c r="E93" t="n">
        <v>45132</v>
      </c>
      <c r="F93" t="n">
        <v>210.32</v>
      </c>
      <c r="G93" t="n">
        <v>0.49</v>
      </c>
    </row>
    <row r="94">
      <c r="B94" t="inlineStr">
        <is>
          <t>Bharat Electronics Ltd.</t>
        </is>
      </c>
      <c r="C94" t="inlineStr">
        <is>
          <t>INE263A01024</t>
        </is>
      </c>
      <c r="D94" t="inlineStr">
        <is>
          <t>Aerospace &amp; Defense</t>
        </is>
      </c>
      <c r="E94" t="n">
        <v>51000</v>
      </c>
      <c r="F94" t="n">
        <v>209.99</v>
      </c>
      <c r="G94" t="n">
        <v>0.49</v>
      </c>
    </row>
    <row r="95">
      <c r="B95" t="inlineStr">
        <is>
          <t>Trent Ltd.</t>
        </is>
      </c>
      <c r="C95" t="inlineStr">
        <is>
          <t>INE849A01020</t>
        </is>
      </c>
      <c r="D95" t="inlineStr">
        <is>
          <t>Retailing</t>
        </is>
      </c>
      <c r="E95" t="n">
        <v>4820</v>
      </c>
      <c r="F95" t="n">
        <v>204.87</v>
      </c>
      <c r="G95" t="n">
        <v>0.48</v>
      </c>
    </row>
    <row r="96">
      <c r="B96" t="inlineStr">
        <is>
          <t>Creditaccess Grameen Ltd.</t>
        </is>
      </c>
      <c r="C96" t="inlineStr">
        <is>
          <t>INE741K01010</t>
        </is>
      </c>
      <c r="D96" t="inlineStr">
        <is>
          <t>Finance</t>
        </is>
      </c>
      <c r="E96" t="n">
        <v>15300</v>
      </c>
      <c r="F96" t="n">
        <v>204.58</v>
      </c>
      <c r="G96" t="n">
        <v>0.48</v>
      </c>
    </row>
    <row r="97">
      <c r="B97" t="inlineStr">
        <is>
          <t>Anthem Biosciences Ltd.</t>
        </is>
      </c>
      <c r="C97" t="inlineStr">
        <is>
          <t>INE0CZ201020</t>
        </is>
      </c>
      <c r="D97" t="inlineStr">
        <is>
          <t>Pharmaceuticals &amp; Biotechnology</t>
        </is>
      </c>
      <c r="E97" t="n">
        <v>32000</v>
      </c>
      <c r="F97" t="n">
        <v>203.1</v>
      </c>
      <c r="G97" t="n">
        <v>0.48</v>
      </c>
    </row>
    <row r="98">
      <c r="B98" t="inlineStr">
        <is>
          <t>Brigade Enterprises Ltd.</t>
        </is>
      </c>
      <c r="C98" t="inlineStr">
        <is>
          <t>INE791I01019</t>
        </is>
      </c>
      <c r="D98" t="inlineStr">
        <is>
          <t>Realty</t>
        </is>
      </c>
      <c r="E98" t="n">
        <v>21880</v>
      </c>
      <c r="F98" t="n">
        <v>195.85</v>
      </c>
      <c r="G98" t="n">
        <v>0.46</v>
      </c>
    </row>
    <row r="99">
      <c r="B99" t="inlineStr">
        <is>
          <t>KPIT Technologies Ltd.</t>
        </is>
      </c>
      <c r="C99" t="inlineStr">
        <is>
          <t>INE04I401011</t>
        </is>
      </c>
      <c r="D99" t="inlineStr">
        <is>
          <t>IT - Software</t>
        </is>
      </c>
      <c r="E99" t="n">
        <v>15818</v>
      </c>
      <c r="F99" t="n">
        <v>193.36</v>
      </c>
      <c r="G99" t="n">
        <v>0.46</v>
      </c>
    </row>
    <row r="100">
      <c r="B100" t="inlineStr">
        <is>
          <t>Neuland Laboratories Ltd.</t>
        </is>
      </c>
      <c r="C100" t="inlineStr">
        <is>
          <t>INE794A01010</t>
        </is>
      </c>
      <c r="D100" t="inlineStr">
        <is>
          <t>Pharmaceuticals &amp; Biotechnology</t>
        </is>
      </c>
      <c r="E100" t="n">
        <v>1106</v>
      </c>
      <c r="F100" t="n">
        <v>191.21</v>
      </c>
      <c r="G100" t="n">
        <v>0.45</v>
      </c>
    </row>
    <row r="101">
      <c r="B101" t="inlineStr">
        <is>
          <t>Hexaware Technologies Ltd.</t>
        </is>
      </c>
      <c r="C101" t="inlineStr">
        <is>
          <t>INE093A01041</t>
        </is>
      </c>
      <c r="D101" t="inlineStr">
        <is>
          <t>IT - Software</t>
        </is>
      </c>
      <c r="E101" t="n">
        <v>22075</v>
      </c>
      <c r="F101" t="n">
        <v>167.05</v>
      </c>
      <c r="G101" t="n">
        <v>0.39</v>
      </c>
    </row>
    <row r="102">
      <c r="B102" t="inlineStr">
        <is>
          <t>ABB India Ltd.</t>
        </is>
      </c>
      <c r="C102" t="inlineStr">
        <is>
          <t>INE117A01022</t>
        </is>
      </c>
      <c r="D102" t="inlineStr">
        <is>
          <t>Electrical Equipment</t>
        </is>
      </c>
      <c r="E102" t="n">
        <v>3150</v>
      </c>
      <c r="F102" t="n">
        <v>163.01</v>
      </c>
      <c r="G102" t="n">
        <v>0.38</v>
      </c>
    </row>
    <row r="103">
      <c r="B103" t="inlineStr">
        <is>
          <t>Triveni Turbine Ltd.</t>
        </is>
      </c>
      <c r="C103" t="inlineStr">
        <is>
          <t>INE152M01016</t>
        </is>
      </c>
      <c r="D103" t="inlineStr">
        <is>
          <t>Electrical Equipment</t>
        </is>
      </c>
      <c r="E103" t="n">
        <v>26575</v>
      </c>
      <c r="F103" t="n">
        <v>142.68</v>
      </c>
      <c r="G103" t="n">
        <v>0.34</v>
      </c>
    </row>
    <row r="104">
      <c r="B104" t="inlineStr">
        <is>
          <t>Shivalik Bimetal Controls Ltd.</t>
        </is>
      </c>
      <c r="C104" t="inlineStr">
        <is>
          <t>INE386D01027</t>
        </is>
      </c>
      <c r="D104" t="inlineStr">
        <is>
          <t>Industrial Products</t>
        </is>
      </c>
      <c r="E104" t="n">
        <v>31468</v>
      </c>
      <c r="F104" t="n">
        <v>137.42</v>
      </c>
      <c r="G104" t="n">
        <v>0.32</v>
      </c>
    </row>
    <row r="105">
      <c r="B105" t="inlineStr">
        <is>
          <t>Kaynes Technology India Ltd.</t>
        </is>
      </c>
      <c r="C105" t="inlineStr">
        <is>
          <t>INE918Z01012</t>
        </is>
      </c>
      <c r="D105" t="inlineStr">
        <is>
          <t>Industrial Manufacturing</t>
        </is>
      </c>
      <c r="E105" t="n">
        <v>2497</v>
      </c>
      <c r="F105" t="n">
        <v>137.09</v>
      </c>
      <c r="G105" t="n">
        <v>0.32</v>
      </c>
    </row>
    <row r="106">
      <c r="B106" t="inlineStr">
        <is>
          <t>Kirloskar Pneumatic Co.Ltd.</t>
        </is>
      </c>
      <c r="C106" t="inlineStr">
        <is>
          <t>INE811A01020</t>
        </is>
      </c>
      <c r="D106" t="inlineStr">
        <is>
          <t>Industrial Products</t>
        </is>
      </c>
      <c r="E106" t="n">
        <v>10870</v>
      </c>
      <c r="F106" t="n">
        <v>118.14</v>
      </c>
      <c r="G106" t="n">
        <v>0.28</v>
      </c>
    </row>
    <row r="107">
      <c r="B107" t="inlineStr">
        <is>
          <t>Sub Total</t>
        </is>
      </c>
      <c r="F107" t="n">
        <v>41526.72</v>
      </c>
      <c r="G107" t="n">
        <v>97.67</v>
      </c>
    </row>
    <row r="108"/>
    <row r="109">
      <c r="B109" t="inlineStr">
        <is>
          <t>(b) Unlisted</t>
        </is>
      </c>
    </row>
    <row r="110">
      <c r="F110" t="n">
        <v>0</v>
      </c>
      <c r="G110" t="n">
        <v>0</v>
      </c>
    </row>
    <row r="111">
      <c r="B111" t="inlineStr">
        <is>
          <t>Sub Total</t>
        </is>
      </c>
      <c r="F111" t="inlineStr">
        <is>
          <t>NIL</t>
        </is>
      </c>
      <c r="G111" t="inlineStr">
        <is>
          <t>NIL</t>
        </is>
      </c>
    </row>
    <row r="112"/>
    <row r="113">
      <c r="B113" t="inlineStr">
        <is>
          <t>TOTAL</t>
        </is>
      </c>
      <c r="F113" t="n">
        <v>41526.72</v>
      </c>
      <c r="G113" t="n">
        <v>97.67</v>
      </c>
    </row>
    <row r="114">
      <c r="B114" t="inlineStr">
        <is>
          <t>Debt Instruments</t>
        </is>
      </c>
    </row>
    <row r="115"/>
    <row r="116">
      <c r="B116" t="inlineStr">
        <is>
          <t>(a) Listed / Awaiting listing on Stock Exchanges</t>
        </is>
      </c>
    </row>
    <row r="117"/>
    <row r="118">
      <c r="B118" t="inlineStr">
        <is>
          <t>Sub Total</t>
        </is>
      </c>
      <c r="F118" t="inlineStr">
        <is>
          <t>NIL</t>
        </is>
      </c>
      <c r="G118" t="inlineStr">
        <is>
          <t>NIL</t>
        </is>
      </c>
    </row>
    <row r="119"/>
    <row r="120">
      <c r="B120" t="inlineStr">
        <is>
          <t>(b)Privately Placed/Unlisted</t>
        </is>
      </c>
    </row>
    <row r="121">
      <c r="F121" t="n">
        <v>0</v>
      </c>
      <c r="G121" t="n">
        <v>0</v>
      </c>
    </row>
    <row r="122">
      <c r="B122" t="inlineStr">
        <is>
          <t>Sub Total</t>
        </is>
      </c>
      <c r="F122" t="inlineStr">
        <is>
          <t>NIL</t>
        </is>
      </c>
      <c r="G122" t="inlineStr">
        <is>
          <t>NIL</t>
        </is>
      </c>
    </row>
    <row r="123"/>
    <row r="124">
      <c r="B124" t="inlineStr">
        <is>
          <t>(c)Securitised Debt Instruments</t>
        </is>
      </c>
    </row>
    <row r="125">
      <c r="F125" t="n">
        <v>0</v>
      </c>
      <c r="G125" t="n">
        <v>0</v>
      </c>
    </row>
    <row r="126">
      <c r="B126" t="inlineStr">
        <is>
          <t>Sub Total</t>
        </is>
      </c>
      <c r="F126" t="inlineStr">
        <is>
          <t>NIL</t>
        </is>
      </c>
      <c r="G126" t="inlineStr">
        <is>
          <t>NIL</t>
        </is>
      </c>
    </row>
    <row r="127"/>
    <row r="128">
      <c r="B128" t="inlineStr">
        <is>
          <t>TOTAL</t>
        </is>
      </c>
      <c r="F128" t="inlineStr">
        <is>
          <t>NIL</t>
        </is>
      </c>
      <c r="G128" t="inlineStr">
        <is>
          <t>NIL</t>
        </is>
      </c>
    </row>
    <row r="129"/>
    <row r="130">
      <c r="B130" t="inlineStr">
        <is>
          <t>Preference Shares - (Awaiting listing on Stock Exchanges)</t>
        </is>
      </c>
    </row>
    <row r="131">
      <c r="B131" t="inlineStr">
        <is>
          <t>TVS Motor Company Ltd. ** #</t>
        </is>
      </c>
      <c r="C131" t="inlineStr">
        <is>
          <t>INE494B04019</t>
        </is>
      </c>
      <c r="D131" t="inlineStr">
        <is>
          <t>CARE A1+</t>
        </is>
      </c>
      <c r="E131" t="n">
        <v>111700</v>
      </c>
      <c r="F131" t="n">
        <v>11.33</v>
      </c>
      <c r="G131" t="n">
        <v>0.03</v>
      </c>
      <c r="H131" t="n">
        <v>6.04</v>
      </c>
    </row>
    <row r="132">
      <c r="B132" t="inlineStr">
        <is>
          <t>Sub Total</t>
        </is>
      </c>
      <c r="F132">
        <f>SUM(F131)</f>
        <v/>
      </c>
      <c r="G132">
        <f>SUM(G131)</f>
        <v/>
      </c>
    </row>
    <row r="133"/>
    <row r="134">
      <c r="B134" t="inlineStr">
        <is>
          <t>TOTAL</t>
        </is>
      </c>
      <c r="F134">
        <f>F132</f>
        <v/>
      </c>
      <c r="G134">
        <f>G132</f>
        <v/>
      </c>
    </row>
    <row r="135"/>
    <row r="136">
      <c r="B136" t="inlineStr">
        <is>
          <t>Money Market Instruments</t>
        </is>
      </c>
    </row>
    <row r="137"/>
    <row r="138">
      <c r="B138" t="inlineStr">
        <is>
          <t>Treasury Bill</t>
        </is>
      </c>
    </row>
    <row r="139">
      <c r="B139" t="inlineStr">
        <is>
          <t>364 DAYS TBILL RED 29-10-2026</t>
        </is>
      </c>
      <c r="C139" t="inlineStr">
        <is>
          <t>IN002025Z310</t>
        </is>
      </c>
      <c r="D139" t="inlineStr">
        <is>
          <t>SOVEREIGN</t>
        </is>
      </c>
      <c r="E139" t="n">
        <v>50000</v>
      </c>
      <c r="F139" t="n">
        <v>47.61</v>
      </c>
      <c r="G139" t="n">
        <v>0.11</v>
      </c>
      <c r="H139" t="n">
        <v>5.5103</v>
      </c>
    </row>
    <row r="140">
      <c r="B140" t="inlineStr">
        <is>
          <t>Sub Total</t>
        </is>
      </c>
      <c r="F140" t="n">
        <v>47.61</v>
      </c>
      <c r="G140" t="n">
        <v>0.11</v>
      </c>
    </row>
    <row r="141"/>
    <row r="142">
      <c r="B142" t="inlineStr">
        <is>
          <t>TOTAL</t>
        </is>
      </c>
      <c r="F142" t="n">
        <v>47.61</v>
      </c>
      <c r="G142" t="n">
        <v>0.11</v>
      </c>
    </row>
    <row r="143"/>
    <row r="144"/>
    <row r="145">
      <c r="B145" t="inlineStr">
        <is>
          <t>Treps / Reverse Repo</t>
        </is>
      </c>
    </row>
    <row r="146">
      <c r="B146" t="inlineStr">
        <is>
          <t>Clearing Corporation of India Ltd.</t>
        </is>
      </c>
      <c r="F146" t="n">
        <v>974.42</v>
      </c>
      <c r="G146" t="n">
        <v>2.29</v>
      </c>
    </row>
    <row r="147">
      <c r="B147" t="inlineStr">
        <is>
          <t>Sub Total</t>
        </is>
      </c>
      <c r="F147" t="n">
        <v>974.42</v>
      </c>
      <c r="G147" t="n">
        <v>2.29</v>
      </c>
    </row>
    <row r="148"/>
    <row r="149">
      <c r="B149" t="inlineStr">
        <is>
          <t>TOTAL</t>
        </is>
      </c>
      <c r="F149" t="n">
        <v>974.42</v>
      </c>
      <c r="G149" t="n">
        <v>2.29</v>
      </c>
    </row>
    <row r="150"/>
    <row r="151">
      <c r="B151" t="inlineStr">
        <is>
          <t>Net Receivables / (Payables)</t>
        </is>
      </c>
      <c r="F151" t="n">
        <v>-64.04000000000001</v>
      </c>
      <c r="G151" t="n">
        <v>-0.1000000000000085</v>
      </c>
    </row>
    <row r="152"/>
    <row r="153">
      <c r="B153" t="inlineStr">
        <is>
          <t>GRAND TOTAL</t>
        </is>
      </c>
      <c r="F153" t="n">
        <v>42496.04</v>
      </c>
      <c r="G153" t="n">
        <v>100</v>
      </c>
    </row>
    <row r="154"/>
    <row r="155">
      <c r="B155" t="inlineStr">
        <is>
          <t>#  Unlisted Security</t>
        </is>
      </c>
    </row>
    <row r="156">
      <c r="B156" t="inlineStr">
        <is>
          <t>** Non Traded Security</t>
        </is>
      </c>
    </row>
    <row r="157"/>
    <row r="158"/>
    <row r="159"/>
    <row r="160"/>
    <row r="161"/>
    <row r="162">
      <c r="B162" t="inlineStr">
        <is>
          <t>Notes:</t>
        </is>
      </c>
    </row>
    <row r="163">
      <c r="B163" t="inlineStr">
        <is>
          <t>1. Plan / Option-wise Net Asset Value per unit are as below :   (Face Value per unit = Rs. 10)</t>
        </is>
      </c>
    </row>
    <row r="164">
      <c r="B164" t="inlineStr">
        <is>
          <t xml:space="preserve">Plan / Option </t>
        </is>
      </c>
      <c r="C164" s="1" t="n">
        <v>45961</v>
      </c>
      <c r="D164" s="1" t="n">
        <v>45989</v>
      </c>
    </row>
    <row r="165">
      <c r="B165" t="inlineStr">
        <is>
          <t>Direct Plan</t>
        </is>
      </c>
      <c r="C165" t="inlineStr">
        <is>
          <t>(INR)</t>
        </is>
      </c>
      <c r="D165" t="inlineStr">
        <is>
          <t>(INR)</t>
        </is>
      </c>
    </row>
    <row r="166">
      <c r="B166" t="inlineStr">
        <is>
          <t>Growth</t>
        </is>
      </c>
      <c r="C166" t="n">
        <v>10.31</v>
      </c>
      <c r="D166" t="n">
        <v>10.31</v>
      </c>
    </row>
    <row r="167">
      <c r="B167" t="inlineStr">
        <is>
          <t>IDCW (earlier called Dividend)</t>
        </is>
      </c>
      <c r="C167" t="n">
        <v>10.31</v>
      </c>
      <c r="D167" t="n">
        <v>10.31</v>
      </c>
    </row>
    <row r="168">
      <c r="B168" t="inlineStr">
        <is>
          <t>Regular Plan</t>
        </is>
      </c>
    </row>
    <row r="169">
      <c r="B169" t="inlineStr">
        <is>
          <t>IDCW (earlier called Dividend)</t>
        </is>
      </c>
      <c r="C169" t="n">
        <v>10.11</v>
      </c>
      <c r="D169" t="n">
        <v>10.1</v>
      </c>
    </row>
    <row r="170">
      <c r="B170" t="inlineStr">
        <is>
          <t>Growth</t>
        </is>
      </c>
      <c r="C170" t="n">
        <v>10.11</v>
      </c>
      <c r="D170" t="n">
        <v>10.1</v>
      </c>
    </row>
    <row r="171"/>
    <row r="172">
      <c r="B172" t="inlineStr">
        <is>
          <t>2.   Exposure to derivative instruments in the scheme at the end of the month</t>
        </is>
      </c>
      <c r="D172" t="inlineStr">
        <is>
          <t>NIL</t>
        </is>
      </c>
    </row>
    <row r="173"/>
    <row r="174">
      <c r="B174" t="inlineStr">
        <is>
          <t>3.  Derivatives Transactions in the scheme for the month</t>
        </is>
      </c>
      <c r="D174" t="inlineStr">
        <is>
          <t>NIL</t>
        </is>
      </c>
    </row>
    <row r="175"/>
    <row r="176">
      <c r="B176" t="inlineStr">
        <is>
          <t>4.   Investment in foreign securities/ADRs/GDRs at the end of the month (INR Lacs)</t>
        </is>
      </c>
      <c r="D176" t="inlineStr">
        <is>
          <t>NIL</t>
        </is>
      </c>
    </row>
    <row r="177"/>
    <row r="178">
      <c r="B178" t="inlineStr">
        <is>
          <t>5.   Investment in short term deposits at the end of the month (INR Lacs)</t>
        </is>
      </c>
      <c r="D178" t="inlineStr">
        <is>
          <t>NIL</t>
        </is>
      </c>
    </row>
    <row r="179"/>
    <row r="180">
      <c r="B180" t="inlineStr">
        <is>
          <t>6. Portfolio Turnover Ratio</t>
        </is>
      </c>
      <c r="D180" t="n">
        <v>0.24</v>
      </c>
    </row>
    <row r="181"/>
    <row r="182">
      <c r="B182" t="inlineStr">
        <is>
          <t>7.   Aggregate IDCW (earlier called Dividend) declared during the month</t>
        </is>
      </c>
      <c r="D182" t="inlineStr">
        <is>
          <t>NIL</t>
        </is>
      </c>
    </row>
    <row r="183"/>
    <row r="184">
      <c r="B184" t="inlineStr">
        <is>
          <t>8.   (a) Total Exposure to illiquid securities in the portfolio (INR Lacs)</t>
        </is>
      </c>
      <c r="D184" t="inlineStr">
        <is>
          <t>NIL</t>
        </is>
      </c>
    </row>
    <row r="185">
      <c r="B185" t="inlineStr">
        <is>
          <t xml:space="preserve">     (b) Total Exposure to illiquid securities in the portfolio (% of AUM)</t>
        </is>
      </c>
      <c r="D185" t="inlineStr">
        <is>
          <t>NIL</t>
        </is>
      </c>
    </row>
    <row r="186"/>
    <row r="187">
      <c r="B187" t="inlineStr">
        <is>
          <t>9.   Instances of Fair valuation of securities or Deviation in valuation from what is  provided by valuation agencies</t>
        </is>
      </c>
      <c r="D187" t="inlineStr">
        <is>
          <t>NIL</t>
        </is>
      </c>
    </row>
    <row r="188"/>
    <row r="189">
      <c r="B189" t="inlineStr">
        <is>
          <t>10. Securities in default beyond its maturity date in the portfolio of the scheme</t>
        </is>
      </c>
      <c r="D189" t="inlineStr">
        <is>
          <t>NIL</t>
        </is>
      </c>
    </row>
    <row r="190">
      <c r="B190" t="inlineStr">
        <is>
          <t xml:space="preserve">11. For Performance of the scheme refer - </t>
        </is>
      </c>
      <c r="C190" t="inlineStr">
        <is>
          <t>PGIM India Multi Cap Fund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63"/>
  <sheetViews>
    <sheetView workbookViewId="0">
      <selection activeCell="A1" sqref="A1"/>
    </sheetView>
  </sheetViews>
  <sheetFormatPr baseColWidth="8" defaultRowHeight="15"/>
  <sheetData>
    <row r="1">
      <c r="B1" t="inlineStr">
        <is>
          <t>PGIM INDIA ELSS TAX SAVER FUND</t>
        </is>
      </c>
    </row>
    <row r="2">
      <c r="B2" t="inlineStr">
        <is>
          <t>(An Open Ended Equity Linked Savings Scheme With A Statutory Lock-In Of 3 Years And Tax Benefit)</t>
        </is>
      </c>
    </row>
    <row r="3">
      <c r="B3" t="inlineStr">
        <is>
          <t xml:space="preserve">Riskometer of the Scheme </t>
        </is>
      </c>
      <c r="E3" t="inlineStr">
        <is>
          <t xml:space="preserve">Riskometer of the Benchmark (NIFTY 500 TR Index) </t>
        </is>
      </c>
    </row>
    <row r="4"/>
    <row r="5"/>
    <row r="6"/>
    <row r="7"/>
    <row r="8"/>
    <row r="9"/>
    <row r="10">
      <c r="B10" t="inlineStr">
        <is>
          <t>Investors understand that their 
principal will be at very high risk</t>
        </is>
      </c>
      <c r="E10" t="inlineStr">
        <is>
          <t>Benchmark riskometer is at very high risk</t>
        </is>
      </c>
    </row>
    <row r="11">
      <c r="B11" t="inlineStr">
        <is>
          <t>Portfolio Statement as on November 30,2025</t>
        </is>
      </c>
    </row>
    <row r="12">
      <c r="B12" t="inlineStr">
        <is>
          <t>Name of  Instrument</t>
        </is>
      </c>
      <c r="C12" t="inlineStr">
        <is>
          <t>ISIN</t>
        </is>
      </c>
      <c r="D12" t="inlineStr">
        <is>
          <t>Industry/Rating</t>
        </is>
      </c>
      <c r="E12" t="inlineStr">
        <is>
          <t>Quantity</t>
        </is>
      </c>
      <c r="F12" t="inlineStr">
        <is>
          <t>Market/Fair Value  (INR Lacs)</t>
        </is>
      </c>
      <c r="G12" t="inlineStr">
        <is>
          <t>%  to Net Assets</t>
        </is>
      </c>
      <c r="H12" t="inlineStr">
        <is>
          <t xml:space="preserve">% Yield </t>
        </is>
      </c>
    </row>
    <row r="13">
      <c r="B13" t="inlineStr">
        <is>
          <t>Equity &amp; Equity related</t>
        </is>
      </c>
    </row>
    <row r="14"/>
    <row r="15">
      <c r="B15" t="inlineStr">
        <is>
          <t>(a)Listed / Awaiting listing on Stock Exchanges</t>
        </is>
      </c>
    </row>
    <row r="16">
      <c r="B16" t="inlineStr">
        <is>
          <t>HDFC Bank Ltd.</t>
        </is>
      </c>
      <c r="C16" t="inlineStr">
        <is>
          <t>INE040A01034</t>
        </is>
      </c>
      <c r="D16" t="inlineStr">
        <is>
          <t>Banks</t>
        </is>
      </c>
      <c r="E16" t="n">
        <v>711028</v>
      </c>
      <c r="F16" t="n">
        <v>7164.32</v>
      </c>
      <c r="G16" t="n">
        <v>9.140000000000001</v>
      </c>
    </row>
    <row r="17">
      <c r="B17" t="inlineStr">
        <is>
          <t>ICICI Bank Ltd.</t>
        </is>
      </c>
      <c r="C17" t="inlineStr">
        <is>
          <t>INE090A01021</t>
        </is>
      </c>
      <c r="D17" t="inlineStr">
        <is>
          <t>Banks</t>
        </is>
      </c>
      <c r="E17" t="n">
        <v>469764</v>
      </c>
      <c r="F17" t="n">
        <v>6524.08</v>
      </c>
      <c r="G17" t="n">
        <v>8.32</v>
      </c>
    </row>
    <row r="18">
      <c r="B18" t="inlineStr">
        <is>
          <t>Reliance Industries Ltd.</t>
        </is>
      </c>
      <c r="C18" t="inlineStr">
        <is>
          <t>INE002A01018</t>
        </is>
      </c>
      <c r="D18" t="inlineStr">
        <is>
          <t>Petroleum Products</t>
        </is>
      </c>
      <c r="E18" t="n">
        <v>353591</v>
      </c>
      <c r="F18" t="n">
        <v>5542.54</v>
      </c>
      <c r="G18" t="n">
        <v>7.07</v>
      </c>
    </row>
    <row r="19">
      <c r="B19" t="inlineStr">
        <is>
          <t>Bharti Airtel Ltd.</t>
        </is>
      </c>
      <c r="C19" t="inlineStr">
        <is>
          <t>INE397D01024</t>
        </is>
      </c>
      <c r="D19" t="inlineStr">
        <is>
          <t>Telecom - Services</t>
        </is>
      </c>
      <c r="E19" t="n">
        <v>148605</v>
      </c>
      <c r="F19" t="n">
        <v>3123.08</v>
      </c>
      <c r="G19" t="n">
        <v>3.98</v>
      </c>
    </row>
    <row r="20">
      <c r="B20" t="inlineStr">
        <is>
          <t>Larsen &amp; Toubro Ltd.</t>
        </is>
      </c>
      <c r="C20" t="inlineStr">
        <is>
          <t>INE018A01030</t>
        </is>
      </c>
      <c r="D20" t="inlineStr">
        <is>
          <t>Construction</t>
        </is>
      </c>
      <c r="E20" t="n">
        <v>51017</v>
      </c>
      <c r="F20" t="n">
        <v>2076.19</v>
      </c>
      <c r="G20" t="n">
        <v>2.65</v>
      </c>
    </row>
    <row r="21">
      <c r="B21" t="inlineStr">
        <is>
          <t>Eternal Ltd.</t>
        </is>
      </c>
      <c r="C21" t="inlineStr">
        <is>
          <t>INE758T01015</t>
        </is>
      </c>
      <c r="D21" t="inlineStr">
        <is>
          <t>Retailing</t>
        </is>
      </c>
      <c r="E21" t="n">
        <v>661249</v>
      </c>
      <c r="F21" t="n">
        <v>1984.41</v>
      </c>
      <c r="G21" t="n">
        <v>2.53</v>
      </c>
    </row>
    <row r="22">
      <c r="B22" t="inlineStr">
        <is>
          <t>ICICI Lombard General Insurance Co. Ltd.</t>
        </is>
      </c>
      <c r="C22" t="inlineStr">
        <is>
          <t>INE765G01017</t>
        </is>
      </c>
      <c r="D22" t="inlineStr">
        <is>
          <t>Insurance</t>
        </is>
      </c>
      <c r="E22" t="n">
        <v>98882</v>
      </c>
      <c r="F22" t="n">
        <v>1948.47</v>
      </c>
      <c r="G22" t="n">
        <v>2.49</v>
      </c>
    </row>
    <row r="23">
      <c r="B23" t="inlineStr">
        <is>
          <t>Kotak Mahindra Bank Ltd.</t>
        </is>
      </c>
      <c r="C23" t="inlineStr">
        <is>
          <t>INE237A01028</t>
        </is>
      </c>
      <c r="D23" t="inlineStr">
        <is>
          <t>Banks</t>
        </is>
      </c>
      <c r="E23" t="n">
        <v>84000</v>
      </c>
      <c r="F23" t="n">
        <v>1784.5</v>
      </c>
      <c r="G23" t="n">
        <v>2.28</v>
      </c>
    </row>
    <row r="24">
      <c r="B24" t="inlineStr">
        <is>
          <t>UNO Minda Ltd.</t>
        </is>
      </c>
      <c r="C24" t="inlineStr">
        <is>
          <t>INE405E01023</t>
        </is>
      </c>
      <c r="D24" t="inlineStr">
        <is>
          <t>Auto Components</t>
        </is>
      </c>
      <c r="E24" t="n">
        <v>135889</v>
      </c>
      <c r="F24" t="n">
        <v>1775.8</v>
      </c>
      <c r="G24" t="n">
        <v>2.27</v>
      </c>
    </row>
    <row r="25">
      <c r="B25" t="inlineStr">
        <is>
          <t>Bajaj Finance Ltd.</t>
        </is>
      </c>
      <c r="C25" t="inlineStr">
        <is>
          <t>INE296A01032</t>
        </is>
      </c>
      <c r="D25" t="inlineStr">
        <is>
          <t>Finance</t>
        </is>
      </c>
      <c r="E25" t="n">
        <v>171000</v>
      </c>
      <c r="F25" t="n">
        <v>1774.13</v>
      </c>
      <c r="G25" t="n">
        <v>2.26</v>
      </c>
    </row>
    <row r="26">
      <c r="B26" t="inlineStr">
        <is>
          <t>Dixon Technologies (India) Ltd.</t>
        </is>
      </c>
      <c r="C26" t="inlineStr">
        <is>
          <t>INE935N01020</t>
        </is>
      </c>
      <c r="D26" t="inlineStr">
        <is>
          <t>Consumer Durables</t>
        </is>
      </c>
      <c r="E26" t="n">
        <v>12000</v>
      </c>
      <c r="F26" t="n">
        <v>1752.12</v>
      </c>
      <c r="G26" t="n">
        <v>2.24</v>
      </c>
    </row>
    <row r="27">
      <c r="B27" t="inlineStr">
        <is>
          <t>Multi Commodity Exchange Of India Ltd.</t>
        </is>
      </c>
      <c r="C27" t="inlineStr">
        <is>
          <t>INE745G01035</t>
        </is>
      </c>
      <c r="D27" t="inlineStr">
        <is>
          <t>Capital Markets</t>
        </is>
      </c>
      <c r="E27" t="n">
        <v>16618</v>
      </c>
      <c r="F27" t="n">
        <v>1674.01</v>
      </c>
      <c r="G27" t="n">
        <v>2.14</v>
      </c>
    </row>
    <row r="28">
      <c r="B28" t="inlineStr">
        <is>
          <t>Ultratech Cement Ltd.</t>
        </is>
      </c>
      <c r="C28" t="inlineStr">
        <is>
          <t>INE481G01011</t>
        </is>
      </c>
      <c r="D28" t="inlineStr">
        <is>
          <t>Cement &amp; Cement Products</t>
        </is>
      </c>
      <c r="E28" t="n">
        <v>14185</v>
      </c>
      <c r="F28" t="n">
        <v>1645.46</v>
      </c>
      <c r="G28" t="n">
        <v>2.1</v>
      </c>
    </row>
    <row r="29">
      <c r="B29" t="inlineStr">
        <is>
          <t>Infosys Ltd.</t>
        </is>
      </c>
      <c r="C29" t="inlineStr">
        <is>
          <t>INE009A01021</t>
        </is>
      </c>
      <c r="D29" t="inlineStr">
        <is>
          <t>IT - Software</t>
        </is>
      </c>
      <c r="E29" t="n">
        <v>102500</v>
      </c>
      <c r="F29" t="n">
        <v>1599.1</v>
      </c>
      <c r="G29" t="n">
        <v>2.04</v>
      </c>
    </row>
    <row r="30">
      <c r="B30" t="inlineStr">
        <is>
          <t>Persistent Systems Ltd.</t>
        </is>
      </c>
      <c r="C30" t="inlineStr">
        <is>
          <t>INE262H01021</t>
        </is>
      </c>
      <c r="D30" t="inlineStr">
        <is>
          <t>IT - Software</t>
        </is>
      </c>
      <c r="E30" t="n">
        <v>23792</v>
      </c>
      <c r="F30" t="n">
        <v>1511.51</v>
      </c>
      <c r="G30" t="n">
        <v>1.93</v>
      </c>
    </row>
    <row r="31">
      <c r="B31" t="inlineStr">
        <is>
          <t>VARUN BEVERAGES LIMITED</t>
        </is>
      </c>
      <c r="C31" t="inlineStr">
        <is>
          <t>INE200M01039</t>
        </is>
      </c>
      <c r="D31" t="inlineStr">
        <is>
          <t>Beverages</t>
        </is>
      </c>
      <c r="E31" t="n">
        <v>312725</v>
      </c>
      <c r="F31" t="n">
        <v>1505.93</v>
      </c>
      <c r="G31" t="n">
        <v>1.92</v>
      </c>
    </row>
    <row r="32">
      <c r="B32" t="inlineStr">
        <is>
          <t>Max Healthcare Institute Ltd.</t>
        </is>
      </c>
      <c r="C32" t="inlineStr">
        <is>
          <t>INE027H01010</t>
        </is>
      </c>
      <c r="D32" t="inlineStr">
        <is>
          <t>Healthcare Services</t>
        </is>
      </c>
      <c r="E32" t="n">
        <v>117187</v>
      </c>
      <c r="F32" t="n">
        <v>1362.65</v>
      </c>
      <c r="G32" t="n">
        <v>1.74</v>
      </c>
    </row>
    <row r="33">
      <c r="B33" t="inlineStr">
        <is>
          <t>Tata Consultancy Services Ltd.</t>
        </is>
      </c>
      <c r="C33" t="inlineStr">
        <is>
          <t>INE467B01029</t>
        </is>
      </c>
      <c r="D33" t="inlineStr">
        <is>
          <t>IT - Software</t>
        </is>
      </c>
      <c r="E33" t="n">
        <v>43406</v>
      </c>
      <c r="F33" t="n">
        <v>1361.86</v>
      </c>
      <c r="G33" t="n">
        <v>1.74</v>
      </c>
    </row>
    <row r="34">
      <c r="B34" t="inlineStr">
        <is>
          <t>Mahindra &amp; Mahindra Ltd.</t>
        </is>
      </c>
      <c r="C34" t="inlineStr">
        <is>
          <t>INE101A01026</t>
        </is>
      </c>
      <c r="D34" t="inlineStr">
        <is>
          <t>Automobiles</t>
        </is>
      </c>
      <c r="E34" t="n">
        <v>36000</v>
      </c>
      <c r="F34" t="n">
        <v>1352.63</v>
      </c>
      <c r="G34" t="n">
        <v>1.73</v>
      </c>
    </row>
    <row r="35">
      <c r="B35" t="inlineStr">
        <is>
          <t>InterGlobe Aviation Ltd.</t>
        </is>
      </c>
      <c r="C35" t="inlineStr">
        <is>
          <t>INE646L01027</t>
        </is>
      </c>
      <c r="D35" t="inlineStr">
        <is>
          <t>Transport Services</t>
        </is>
      </c>
      <c r="E35" t="n">
        <v>22504</v>
      </c>
      <c r="F35" t="n">
        <v>1328.07</v>
      </c>
      <c r="G35" t="n">
        <v>1.69</v>
      </c>
    </row>
    <row r="36">
      <c r="B36" t="inlineStr">
        <is>
          <t>Cholamandalam Investment &amp; Finance Company Ltd.</t>
        </is>
      </c>
      <c r="C36" t="inlineStr">
        <is>
          <t>INE121A01024</t>
        </is>
      </c>
      <c r="D36" t="inlineStr">
        <is>
          <t>Finance</t>
        </is>
      </c>
      <c r="E36" t="n">
        <v>68679</v>
      </c>
      <c r="F36" t="n">
        <v>1192.27</v>
      </c>
      <c r="G36" t="n">
        <v>1.52</v>
      </c>
    </row>
    <row r="37">
      <c r="B37" t="inlineStr">
        <is>
          <t>Mankind Pharma Ltd.</t>
        </is>
      </c>
      <c r="C37" t="inlineStr">
        <is>
          <t>INE634S01028</t>
        </is>
      </c>
      <c r="D37" t="inlineStr">
        <is>
          <t>Pharmaceuticals &amp; Biotechnology</t>
        </is>
      </c>
      <c r="E37" t="n">
        <v>49924</v>
      </c>
      <c r="F37" t="n">
        <v>1123.79</v>
      </c>
      <c r="G37" t="n">
        <v>1.43</v>
      </c>
    </row>
    <row r="38">
      <c r="B38" t="inlineStr">
        <is>
          <t>Vishal Mega Mart Ltd</t>
        </is>
      </c>
      <c r="C38" t="inlineStr">
        <is>
          <t>INE01EA01019</t>
        </is>
      </c>
      <c r="D38" t="inlineStr">
        <is>
          <t>Retailing</t>
        </is>
      </c>
      <c r="E38" t="n">
        <v>744000</v>
      </c>
      <c r="F38" t="n">
        <v>1010.35</v>
      </c>
      <c r="G38" t="n">
        <v>1.29</v>
      </c>
    </row>
    <row r="39">
      <c r="B39" t="inlineStr">
        <is>
          <t>Solar Industries India Ltd.</t>
        </is>
      </c>
      <c r="C39" t="inlineStr">
        <is>
          <t>INE343H01029</t>
        </is>
      </c>
      <c r="D39" t="inlineStr">
        <is>
          <t>Chemicals &amp; Petrochemicals</t>
        </is>
      </c>
      <c r="E39" t="n">
        <v>7500</v>
      </c>
      <c r="F39" t="n">
        <v>995.4</v>
      </c>
      <c r="G39" t="n">
        <v>1.27</v>
      </c>
    </row>
    <row r="40">
      <c r="B40" t="inlineStr">
        <is>
          <t>Titan Company Ltd.</t>
        </is>
      </c>
      <c r="C40" t="inlineStr">
        <is>
          <t>INE280A01028</t>
        </is>
      </c>
      <c r="D40" t="inlineStr">
        <is>
          <t>Consumer Durables</t>
        </is>
      </c>
      <c r="E40" t="n">
        <v>25348</v>
      </c>
      <c r="F40" t="n">
        <v>990.52</v>
      </c>
      <c r="G40" t="n">
        <v>1.26</v>
      </c>
    </row>
    <row r="41">
      <c r="B41" t="inlineStr">
        <is>
          <t>Sun Pharmaceutical Industries Ltd.</t>
        </is>
      </c>
      <c r="C41" t="inlineStr">
        <is>
          <t>INE044A01036</t>
        </is>
      </c>
      <c r="D41" t="inlineStr">
        <is>
          <t>Pharmaceuticals &amp; Biotechnology</t>
        </is>
      </c>
      <c r="E41" t="n">
        <v>53281</v>
      </c>
      <c r="F41" t="n">
        <v>975.89</v>
      </c>
      <c r="G41" t="n">
        <v>1.24</v>
      </c>
    </row>
    <row r="42">
      <c r="B42" t="inlineStr">
        <is>
          <t>International Gemmological Inst Ind Ltd.</t>
        </is>
      </c>
      <c r="C42" t="inlineStr">
        <is>
          <t>INE0Q9301021</t>
        </is>
      </c>
      <c r="D42" t="inlineStr">
        <is>
          <t>Commercial Services &amp; Supplies</t>
        </is>
      </c>
      <c r="E42" t="n">
        <v>266700</v>
      </c>
      <c r="F42" t="n">
        <v>874.78</v>
      </c>
      <c r="G42" t="n">
        <v>1.12</v>
      </c>
    </row>
    <row r="43">
      <c r="B43" t="inlineStr">
        <is>
          <t>Navin Fluorine International Ltd.</t>
        </is>
      </c>
      <c r="C43" t="inlineStr">
        <is>
          <t>INE048G01026</t>
        </is>
      </c>
      <c r="D43" t="inlineStr">
        <is>
          <t>Chemicals &amp; Petrochemicals</t>
        </is>
      </c>
      <c r="E43" t="n">
        <v>15002</v>
      </c>
      <c r="F43" t="n">
        <v>860.4400000000001</v>
      </c>
      <c r="G43" t="n">
        <v>1.1</v>
      </c>
    </row>
    <row r="44">
      <c r="B44" t="inlineStr">
        <is>
          <t>SBI Life Insurance Company Ltd.</t>
        </is>
      </c>
      <c r="C44" t="inlineStr">
        <is>
          <t>INE123W01016</t>
        </is>
      </c>
      <c r="D44" t="inlineStr">
        <is>
          <t>Insurance</t>
        </is>
      </c>
      <c r="E44" t="n">
        <v>43270</v>
      </c>
      <c r="F44" t="n">
        <v>850.6900000000001</v>
      </c>
      <c r="G44" t="n">
        <v>1.09</v>
      </c>
    </row>
    <row r="45">
      <c r="B45" t="inlineStr">
        <is>
          <t>Krishna Inst of Medical Sciences Ltd.</t>
        </is>
      </c>
      <c r="C45" t="inlineStr">
        <is>
          <t>INE967H01025</t>
        </is>
      </c>
      <c r="D45" t="inlineStr">
        <is>
          <t>Healthcare Services</t>
        </is>
      </c>
      <c r="E45" t="n">
        <v>121445</v>
      </c>
      <c r="F45" t="n">
        <v>832.02</v>
      </c>
      <c r="G45" t="n">
        <v>1.06</v>
      </c>
    </row>
    <row r="46">
      <c r="B46" t="inlineStr">
        <is>
          <t>Bharat Electronics Ltd.</t>
        </is>
      </c>
      <c r="C46" t="inlineStr">
        <is>
          <t>INE263A01024</t>
        </is>
      </c>
      <c r="D46" t="inlineStr">
        <is>
          <t>Aerospace &amp; Defense</t>
        </is>
      </c>
      <c r="E46" t="n">
        <v>195000</v>
      </c>
      <c r="F46" t="n">
        <v>802.91</v>
      </c>
      <c r="G46" t="n">
        <v>1.02</v>
      </c>
    </row>
    <row r="47">
      <c r="B47" t="inlineStr">
        <is>
          <t>JSW Cement Ltd.</t>
        </is>
      </c>
      <c r="C47" t="inlineStr">
        <is>
          <t>INE718I01012</t>
        </is>
      </c>
      <c r="D47" t="inlineStr">
        <is>
          <t>Cement &amp; Cement Products</t>
        </is>
      </c>
      <c r="E47" t="n">
        <v>680340</v>
      </c>
      <c r="F47" t="n">
        <v>780.62</v>
      </c>
      <c r="G47" t="n">
        <v>1</v>
      </c>
    </row>
    <row r="48">
      <c r="B48" t="inlineStr">
        <is>
          <t>Blue Star Ltd.</t>
        </is>
      </c>
      <c r="C48" t="inlineStr">
        <is>
          <t>INE472A01039</t>
        </is>
      </c>
      <c r="D48" t="inlineStr">
        <is>
          <t>Consumer Durables</t>
        </is>
      </c>
      <c r="E48" t="n">
        <v>43226</v>
      </c>
      <c r="F48" t="n">
        <v>763.11</v>
      </c>
      <c r="G48" t="n">
        <v>0.97</v>
      </c>
    </row>
    <row r="49">
      <c r="B49" t="inlineStr">
        <is>
          <t>TVS Motor Company Ltd.</t>
        </is>
      </c>
      <c r="C49" t="inlineStr">
        <is>
          <t>INE494B01023</t>
        </is>
      </c>
      <c r="D49" t="inlineStr">
        <is>
          <t>Automobiles</t>
        </is>
      </c>
      <c r="E49" t="n">
        <v>21000</v>
      </c>
      <c r="F49" t="n">
        <v>741.62</v>
      </c>
      <c r="G49" t="n">
        <v>0.95</v>
      </c>
    </row>
    <row r="50">
      <c r="B50" t="inlineStr">
        <is>
          <t>CG Power and Industrial Solutions Ltd.</t>
        </is>
      </c>
      <c r="C50" t="inlineStr">
        <is>
          <t>INE067A01029</t>
        </is>
      </c>
      <c r="D50" t="inlineStr">
        <is>
          <t>Electrical Equipment</t>
        </is>
      </c>
      <c r="E50" t="n">
        <v>110000</v>
      </c>
      <c r="F50" t="n">
        <v>740.1900000000001</v>
      </c>
      <c r="G50" t="n">
        <v>0.9399999999999999</v>
      </c>
    </row>
    <row r="51">
      <c r="B51" t="inlineStr">
        <is>
          <t>Dr Agarwal's Health Care Ltd.</t>
        </is>
      </c>
      <c r="C51" t="inlineStr">
        <is>
          <t>INE943P01029</t>
        </is>
      </c>
      <c r="D51" t="inlineStr">
        <is>
          <t>Healthcare Services</t>
        </is>
      </c>
      <c r="E51" t="n">
        <v>134798</v>
      </c>
      <c r="F51" t="n">
        <v>719.48</v>
      </c>
      <c r="G51" t="n">
        <v>0.92</v>
      </c>
    </row>
    <row r="52">
      <c r="B52" t="inlineStr">
        <is>
          <t>Dr. Reddy's Laboratories Ltd.</t>
        </is>
      </c>
      <c r="C52" t="inlineStr">
        <is>
          <t>INE089A01031</t>
        </is>
      </c>
      <c r="D52" t="inlineStr">
        <is>
          <t>Pharmaceuticals &amp; Biotechnology</t>
        </is>
      </c>
      <c r="E52" t="n">
        <v>56000</v>
      </c>
      <c r="F52" t="n">
        <v>704.9299999999999</v>
      </c>
      <c r="G52" t="n">
        <v>0.9</v>
      </c>
    </row>
    <row r="53">
      <c r="B53" t="inlineStr">
        <is>
          <t>SRF Ltd.</t>
        </is>
      </c>
      <c r="C53" t="inlineStr">
        <is>
          <t>INE647A01010</t>
        </is>
      </c>
      <c r="D53" t="inlineStr">
        <is>
          <t>Chemicals &amp; Petrochemicals</t>
        </is>
      </c>
      <c r="E53" t="n">
        <v>23300</v>
      </c>
      <c r="F53" t="n">
        <v>682.0599999999999</v>
      </c>
      <c r="G53" t="n">
        <v>0.87</v>
      </c>
    </row>
    <row r="54">
      <c r="B54" t="inlineStr">
        <is>
          <t>CCL Products (India) Ltd.</t>
        </is>
      </c>
      <c r="C54" t="inlineStr">
        <is>
          <t>INE421D01022</t>
        </is>
      </c>
      <c r="D54" t="inlineStr">
        <is>
          <t>Agricultural Food &amp; other Products</t>
        </is>
      </c>
      <c r="E54" t="n">
        <v>66033</v>
      </c>
      <c r="F54" t="n">
        <v>666.01</v>
      </c>
      <c r="G54" t="n">
        <v>0.85</v>
      </c>
    </row>
    <row r="55">
      <c r="B55" t="inlineStr">
        <is>
          <t>ITC Ltd.</t>
        </is>
      </c>
      <c r="C55" t="inlineStr">
        <is>
          <t>INE154A01025</t>
        </is>
      </c>
      <c r="D55" t="inlineStr">
        <is>
          <t>Diversified FMCG</t>
        </is>
      </c>
      <c r="E55" t="n">
        <v>163000</v>
      </c>
      <c r="F55" t="n">
        <v>658.9299999999999</v>
      </c>
      <c r="G55" t="n">
        <v>0.84</v>
      </c>
    </row>
    <row r="56">
      <c r="B56" t="inlineStr">
        <is>
          <t>Sagility Ltd.</t>
        </is>
      </c>
      <c r="C56" t="inlineStr">
        <is>
          <t>INE0W2G01015</t>
        </is>
      </c>
      <c r="D56" t="inlineStr">
        <is>
          <t>IT - Services</t>
        </is>
      </c>
      <c r="E56" t="n">
        <v>1306000</v>
      </c>
      <c r="F56" t="n">
        <v>654.04</v>
      </c>
      <c r="G56" t="n">
        <v>0.83</v>
      </c>
    </row>
    <row r="57">
      <c r="B57" t="inlineStr">
        <is>
          <t>K.P.R. Mill Ltd.</t>
        </is>
      </c>
      <c r="C57" t="inlineStr">
        <is>
          <t>INE930H01031</t>
        </is>
      </c>
      <c r="D57" t="inlineStr">
        <is>
          <t>Textiles &amp; Apparels</t>
        </is>
      </c>
      <c r="E57" t="n">
        <v>60000</v>
      </c>
      <c r="F57" t="n">
        <v>647.7</v>
      </c>
      <c r="G57" t="n">
        <v>0.83</v>
      </c>
    </row>
    <row r="58">
      <c r="B58" t="inlineStr">
        <is>
          <t>Physicswallah Ltd.</t>
        </is>
      </c>
      <c r="C58" t="inlineStr">
        <is>
          <t>INE0LP301011</t>
        </is>
      </c>
      <c r="D58" t="inlineStr">
        <is>
          <t>Other Consumer Services</t>
        </is>
      </c>
      <c r="E58" t="n">
        <v>510462</v>
      </c>
      <c r="F58" t="n">
        <v>637.52</v>
      </c>
      <c r="G58" t="n">
        <v>0.8100000000000001</v>
      </c>
    </row>
    <row r="59">
      <c r="B59" t="inlineStr">
        <is>
          <t>Rubicon Research Ltd.</t>
        </is>
      </c>
      <c r="C59" t="inlineStr">
        <is>
          <t>INE506V01022</t>
        </is>
      </c>
      <c r="D59" t="inlineStr">
        <is>
          <t>Pharmaceuticals &amp; Biotechnology</t>
        </is>
      </c>
      <c r="E59" t="n">
        <v>96900</v>
      </c>
      <c r="F59" t="n">
        <v>635.52</v>
      </c>
      <c r="G59" t="n">
        <v>0.8100000000000001</v>
      </c>
    </row>
    <row r="60">
      <c r="B60" t="inlineStr">
        <is>
          <t>LG Electronics India Ltd.</t>
        </is>
      </c>
      <c r="C60" t="inlineStr">
        <is>
          <t>INE324D01010</t>
        </is>
      </c>
      <c r="D60" t="inlineStr">
        <is>
          <t>Consumer Durables</t>
        </is>
      </c>
      <c r="E60" t="n">
        <v>37502</v>
      </c>
      <c r="F60" t="n">
        <v>622.27</v>
      </c>
      <c r="G60" t="n">
        <v>0.79</v>
      </c>
    </row>
    <row r="61">
      <c r="B61" t="inlineStr">
        <is>
          <t>Tube Investments Of India Ltd.</t>
        </is>
      </c>
      <c r="C61" t="inlineStr">
        <is>
          <t>INE974X01010</t>
        </is>
      </c>
      <c r="D61" t="inlineStr">
        <is>
          <t>Auto Components</t>
        </is>
      </c>
      <c r="E61" t="n">
        <v>21779</v>
      </c>
      <c r="F61" t="n">
        <v>606.41</v>
      </c>
      <c r="G61" t="n">
        <v>0.77</v>
      </c>
    </row>
    <row r="62">
      <c r="B62" t="inlineStr">
        <is>
          <t>Data Patterns (India) Ltd.</t>
        </is>
      </c>
      <c r="C62" t="inlineStr">
        <is>
          <t>INE0IX101010</t>
        </is>
      </c>
      <c r="D62" t="inlineStr">
        <is>
          <t>Aerospace &amp; Defense</t>
        </is>
      </c>
      <c r="E62" t="n">
        <v>19800</v>
      </c>
      <c r="F62" t="n">
        <v>588.22</v>
      </c>
      <c r="G62" t="n">
        <v>0.75</v>
      </c>
    </row>
    <row r="63">
      <c r="B63" t="inlineStr">
        <is>
          <t>Gabriel India Ltd.</t>
        </is>
      </c>
      <c r="C63" t="inlineStr">
        <is>
          <t>INE524A01029</t>
        </is>
      </c>
      <c r="D63" t="inlineStr">
        <is>
          <t>Auto Components</t>
        </is>
      </c>
      <c r="E63" t="n">
        <v>57000</v>
      </c>
      <c r="F63" t="n">
        <v>586.36</v>
      </c>
      <c r="G63" t="n">
        <v>0.75</v>
      </c>
    </row>
    <row r="64">
      <c r="B64" t="inlineStr">
        <is>
          <t>Home First Finance Company India Ltd.</t>
        </is>
      </c>
      <c r="C64" t="inlineStr">
        <is>
          <t>INE481N01025</t>
        </is>
      </c>
      <c r="D64" t="inlineStr">
        <is>
          <t>Finance</t>
        </is>
      </c>
      <c r="E64" t="n">
        <v>48339</v>
      </c>
      <c r="F64" t="n">
        <v>537.05</v>
      </c>
      <c r="G64" t="n">
        <v>0.6899999999999999</v>
      </c>
    </row>
    <row r="65">
      <c r="B65" t="inlineStr">
        <is>
          <t>MRS Bectors Food Specialities Ltd.</t>
        </is>
      </c>
      <c r="C65" t="inlineStr">
        <is>
          <t>INE495P01012</t>
        </is>
      </c>
      <c r="D65" t="inlineStr">
        <is>
          <t>Food Products</t>
        </is>
      </c>
      <c r="E65" t="n">
        <v>38097</v>
      </c>
      <c r="F65" t="n">
        <v>495.38</v>
      </c>
      <c r="G65" t="n">
        <v>0.63</v>
      </c>
    </row>
    <row r="66">
      <c r="B66" t="inlineStr">
        <is>
          <t>Doms Industries Ltd.</t>
        </is>
      </c>
      <c r="C66" t="inlineStr">
        <is>
          <t>INE321T01012</t>
        </is>
      </c>
      <c r="D66" t="inlineStr">
        <is>
          <t>Household Products</t>
        </is>
      </c>
      <c r="E66" t="n">
        <v>19499</v>
      </c>
      <c r="F66" t="n">
        <v>489.42</v>
      </c>
      <c r="G66" t="n">
        <v>0.62</v>
      </c>
    </row>
    <row r="67">
      <c r="B67" t="inlineStr">
        <is>
          <t>AWFIS Space Solutions Ltd.</t>
        </is>
      </c>
      <c r="C67" t="inlineStr">
        <is>
          <t>INE108V01019</t>
        </is>
      </c>
      <c r="D67" t="inlineStr">
        <is>
          <t>Commercial Services &amp; Supplies</t>
        </is>
      </c>
      <c r="E67" t="n">
        <v>90000</v>
      </c>
      <c r="F67" t="n">
        <v>482.4</v>
      </c>
      <c r="G67" t="n">
        <v>0.62</v>
      </c>
    </row>
    <row r="68">
      <c r="B68" t="inlineStr">
        <is>
          <t>Sai Life Sciences Ltd</t>
        </is>
      </c>
      <c r="C68" t="inlineStr">
        <is>
          <t>INE570L01029</t>
        </is>
      </c>
      <c r="D68" t="inlineStr">
        <is>
          <t>Pharmaceuticals &amp; Biotechnology</t>
        </is>
      </c>
      <c r="E68" t="n">
        <v>54264</v>
      </c>
      <c r="F68" t="n">
        <v>479.91</v>
      </c>
      <c r="G68" t="n">
        <v>0.61</v>
      </c>
    </row>
    <row r="69">
      <c r="B69" t="inlineStr">
        <is>
          <t>United Spirits Ltd.</t>
        </is>
      </c>
      <c r="C69" t="inlineStr">
        <is>
          <t>INE854D01024</t>
        </is>
      </c>
      <c r="D69" t="inlineStr">
        <is>
          <t>Beverages</t>
        </is>
      </c>
      <c r="E69" t="n">
        <v>33009</v>
      </c>
      <c r="F69" t="n">
        <v>479.16</v>
      </c>
      <c r="G69" t="n">
        <v>0.61</v>
      </c>
    </row>
    <row r="70">
      <c r="B70" t="inlineStr">
        <is>
          <t>Hexaware Technologies Ltd.</t>
        </is>
      </c>
      <c r="C70" t="inlineStr">
        <is>
          <t>INE093A01041</t>
        </is>
      </c>
      <c r="D70" t="inlineStr">
        <is>
          <t>IT - Software</t>
        </is>
      </c>
      <c r="E70" t="n">
        <v>55828</v>
      </c>
      <c r="F70" t="n">
        <v>422.48</v>
      </c>
      <c r="G70" t="n">
        <v>0.54</v>
      </c>
    </row>
    <row r="71">
      <c r="B71" t="inlineStr">
        <is>
          <t>Pine Labs Ltd.</t>
        </is>
      </c>
      <c r="C71" t="inlineStr">
        <is>
          <t>INE15B701018</t>
        </is>
      </c>
      <c r="D71" t="inlineStr">
        <is>
          <t>Financial Technology (Fintech)</t>
        </is>
      </c>
      <c r="E71" t="n">
        <v>164887</v>
      </c>
      <c r="F71" t="n">
        <v>411.82</v>
      </c>
      <c r="G71" t="n">
        <v>0.53</v>
      </c>
    </row>
    <row r="72">
      <c r="B72" t="inlineStr">
        <is>
          <t>Anthem Biosciences Ltd.</t>
        </is>
      </c>
      <c r="C72" t="inlineStr">
        <is>
          <t>INE0CZ201020</t>
        </is>
      </c>
      <c r="D72" t="inlineStr">
        <is>
          <t>Pharmaceuticals &amp; Biotechnology</t>
        </is>
      </c>
      <c r="E72" t="n">
        <v>60000</v>
      </c>
      <c r="F72" t="n">
        <v>380.82</v>
      </c>
      <c r="G72" t="n">
        <v>0.49</v>
      </c>
    </row>
    <row r="73">
      <c r="B73" t="inlineStr">
        <is>
          <t>The Phoenix Mills Ltd.</t>
        </is>
      </c>
      <c r="C73" t="inlineStr">
        <is>
          <t>INE211B01039</t>
        </is>
      </c>
      <c r="D73" t="inlineStr">
        <is>
          <t>Realty</t>
        </is>
      </c>
      <c r="E73" t="n">
        <v>21240</v>
      </c>
      <c r="F73" t="n">
        <v>368.9</v>
      </c>
      <c r="G73" t="n">
        <v>0.47</v>
      </c>
    </row>
    <row r="74">
      <c r="B74" t="inlineStr">
        <is>
          <t>Abbott India Ltd.</t>
        </is>
      </c>
      <c r="C74" t="inlineStr">
        <is>
          <t>INE358A01014</t>
        </is>
      </c>
      <c r="D74" t="inlineStr">
        <is>
          <t>Pharmaceuticals &amp; Biotechnology</t>
        </is>
      </c>
      <c r="E74" t="n">
        <v>1140</v>
      </c>
      <c r="F74" t="n">
        <v>342.86</v>
      </c>
      <c r="G74" t="n">
        <v>0.44</v>
      </c>
    </row>
    <row r="75">
      <c r="B75" t="inlineStr">
        <is>
          <t>Page Industries Ltd.</t>
        </is>
      </c>
      <c r="C75" t="inlineStr">
        <is>
          <t>INE761H01022</t>
        </is>
      </c>
      <c r="D75" t="inlineStr">
        <is>
          <t>Textiles &amp; Apparels</t>
        </is>
      </c>
      <c r="E75" t="n">
        <v>801</v>
      </c>
      <c r="F75" t="n">
        <v>306.94</v>
      </c>
      <c r="G75" t="n">
        <v>0.39</v>
      </c>
    </row>
    <row r="76">
      <c r="B76" t="inlineStr">
        <is>
          <t>Triveni Turbine Ltd.</t>
        </is>
      </c>
      <c r="C76" t="inlineStr">
        <is>
          <t>INE152M01016</t>
        </is>
      </c>
      <c r="D76" t="inlineStr">
        <is>
          <t>Electrical Equipment</t>
        </is>
      </c>
      <c r="E76" t="n">
        <v>53032</v>
      </c>
      <c r="F76" t="n">
        <v>284.73</v>
      </c>
      <c r="G76" t="n">
        <v>0.36</v>
      </c>
    </row>
    <row r="77">
      <c r="B77" t="inlineStr">
        <is>
          <t>Vinati Organics Ltd.</t>
        </is>
      </c>
      <c r="C77" t="inlineStr">
        <is>
          <t>INE410B01037</t>
        </is>
      </c>
      <c r="D77" t="inlineStr">
        <is>
          <t>Chemicals &amp; Petrochemicals</t>
        </is>
      </c>
      <c r="E77" t="n">
        <v>8260</v>
      </c>
      <c r="F77" t="n">
        <v>130.48</v>
      </c>
      <c r="G77" t="n">
        <v>0.17</v>
      </c>
    </row>
    <row r="78">
      <c r="B78" t="inlineStr">
        <is>
          <t>HDFC Asset Management Company Ltd.</t>
        </is>
      </c>
      <c r="C78" t="inlineStr">
        <is>
          <t>INE127D01025</t>
        </is>
      </c>
      <c r="D78" t="inlineStr">
        <is>
          <t>Capital Markets</t>
        </is>
      </c>
      <c r="E78" t="n">
        <v>3600</v>
      </c>
      <c r="F78" t="n">
        <v>96.23</v>
      </c>
      <c r="G78" t="n">
        <v>0.12</v>
      </c>
    </row>
    <row r="79">
      <c r="B79" t="inlineStr">
        <is>
          <t>ITC Hotels Ltd.</t>
        </is>
      </c>
      <c r="C79" t="inlineStr">
        <is>
          <t>INE379A01028</t>
        </is>
      </c>
      <c r="D79" t="inlineStr">
        <is>
          <t>Leisure Services</t>
        </is>
      </c>
      <c r="E79" t="n">
        <v>16300</v>
      </c>
      <c r="F79" t="n">
        <v>34.02</v>
      </c>
      <c r="G79" t="n">
        <v>0.04</v>
      </c>
    </row>
    <row r="80">
      <c r="B80" t="inlineStr">
        <is>
          <t>Sub Total</t>
        </is>
      </c>
      <c r="F80" t="n">
        <v>76477.50999999999</v>
      </c>
      <c r="G80" t="n">
        <v>97.56999999999999</v>
      </c>
    </row>
    <row r="81"/>
    <row r="82">
      <c r="B82" t="inlineStr">
        <is>
          <t>(b) Unlisted</t>
        </is>
      </c>
    </row>
    <row r="83">
      <c r="F83" t="n">
        <v>0</v>
      </c>
      <c r="G83" t="n">
        <v>0</v>
      </c>
    </row>
    <row r="84">
      <c r="B84" t="inlineStr">
        <is>
          <t>Sub Total</t>
        </is>
      </c>
      <c r="F84" t="inlineStr">
        <is>
          <t>NIL</t>
        </is>
      </c>
      <c r="G84" t="inlineStr">
        <is>
          <t>NIL</t>
        </is>
      </c>
    </row>
    <row r="85"/>
    <row r="86">
      <c r="B86" t="inlineStr">
        <is>
          <t>TOTAL</t>
        </is>
      </c>
      <c r="F86" t="n">
        <v>76477.50999999999</v>
      </c>
      <c r="G86" t="n">
        <v>97.56999999999999</v>
      </c>
    </row>
    <row r="87">
      <c r="B87" t="inlineStr">
        <is>
          <t>Debt Instruments</t>
        </is>
      </c>
    </row>
    <row r="88"/>
    <row r="89">
      <c r="B89" t="inlineStr">
        <is>
          <t>(a) Listed / Awaiting listing on Stock Exchanges</t>
        </is>
      </c>
    </row>
    <row r="90"/>
    <row r="91">
      <c r="B91" t="inlineStr">
        <is>
          <t>Sub Total</t>
        </is>
      </c>
      <c r="F91" t="inlineStr">
        <is>
          <t>NIL</t>
        </is>
      </c>
      <c r="G91" t="inlineStr">
        <is>
          <t>NIL</t>
        </is>
      </c>
    </row>
    <row r="92"/>
    <row r="93">
      <c r="B93" t="inlineStr">
        <is>
          <t>(b)Privately Placed/Unlisted</t>
        </is>
      </c>
    </row>
    <row r="94">
      <c r="F94" t="n">
        <v>0</v>
      </c>
      <c r="G94" t="n">
        <v>0</v>
      </c>
    </row>
    <row r="95">
      <c r="B95" t="inlineStr">
        <is>
          <t>Sub Total</t>
        </is>
      </c>
      <c r="F95" t="inlineStr">
        <is>
          <t>NIL</t>
        </is>
      </c>
      <c r="G95" t="inlineStr">
        <is>
          <t>NIL</t>
        </is>
      </c>
    </row>
    <row r="96"/>
    <row r="97">
      <c r="B97" t="inlineStr">
        <is>
          <t>(c)Securitised Debt Instruments</t>
        </is>
      </c>
    </row>
    <row r="98">
      <c r="F98" t="n">
        <v>0</v>
      </c>
      <c r="G98" t="n">
        <v>0</v>
      </c>
    </row>
    <row r="99">
      <c r="B99" t="inlineStr">
        <is>
          <t>Sub Total</t>
        </is>
      </c>
      <c r="F99" t="inlineStr">
        <is>
          <t>NIL</t>
        </is>
      </c>
      <c r="G99" t="inlineStr">
        <is>
          <t>NIL</t>
        </is>
      </c>
    </row>
    <row r="100"/>
    <row r="101">
      <c r="B101" t="inlineStr">
        <is>
          <t>TOTAL</t>
        </is>
      </c>
      <c r="F101" t="inlineStr">
        <is>
          <t>NIL</t>
        </is>
      </c>
      <c r="G101" t="inlineStr">
        <is>
          <t>NIL</t>
        </is>
      </c>
    </row>
    <row r="102"/>
    <row r="103">
      <c r="B103" t="inlineStr">
        <is>
          <t>Preference Shares - (Awaiting listing on Stock Exchanges)</t>
        </is>
      </c>
    </row>
    <row r="104">
      <c r="B104" t="inlineStr">
        <is>
          <t>TVS Motor Company Ltd. ** #</t>
        </is>
      </c>
      <c r="C104" t="inlineStr">
        <is>
          <t>INE494B04019</t>
        </is>
      </c>
      <c r="D104" t="inlineStr">
        <is>
          <t>CARE A1+</t>
        </is>
      </c>
      <c r="E104" t="n">
        <v>84000</v>
      </c>
      <c r="F104" t="n">
        <v>8.52</v>
      </c>
      <c r="G104" t="n">
        <v>0.01</v>
      </c>
      <c r="H104" t="n">
        <v>6.04</v>
      </c>
    </row>
    <row r="105">
      <c r="B105" t="inlineStr">
        <is>
          <t>Sub Total</t>
        </is>
      </c>
      <c r="F105">
        <f>SUM(F104)</f>
        <v/>
      </c>
      <c r="G105">
        <f>SUM(G104)</f>
        <v/>
      </c>
    </row>
    <row r="106"/>
    <row r="107">
      <c r="B107" t="inlineStr">
        <is>
          <t>TOTAL</t>
        </is>
      </c>
      <c r="F107">
        <f>F105</f>
        <v/>
      </c>
      <c r="G107">
        <f>G105</f>
        <v/>
      </c>
    </row>
    <row r="108"/>
    <row r="109">
      <c r="B109" t="inlineStr">
        <is>
          <t>Money Market Instruments</t>
        </is>
      </c>
    </row>
    <row r="110"/>
    <row r="111">
      <c r="B111" t="inlineStr">
        <is>
          <t>Treasury Bill</t>
        </is>
      </c>
    </row>
    <row r="112">
      <c r="B112" t="inlineStr">
        <is>
          <t>364 DAYS TBILL RED 29-10-2026</t>
        </is>
      </c>
      <c r="C112" t="inlineStr">
        <is>
          <t>IN002025Z310</t>
        </is>
      </c>
      <c r="D112" t="inlineStr">
        <is>
          <t>SOVEREIGN</t>
        </is>
      </c>
      <c r="E112" t="n">
        <v>100000</v>
      </c>
      <c r="F112" t="n">
        <v>95.23</v>
      </c>
      <c r="G112" t="n">
        <v>0.12</v>
      </c>
      <c r="H112" t="n">
        <v>5.5103</v>
      </c>
    </row>
    <row r="113">
      <c r="B113" t="inlineStr">
        <is>
          <t>Sub Total</t>
        </is>
      </c>
      <c r="F113" t="n">
        <v>95.23</v>
      </c>
      <c r="G113" t="n">
        <v>0.12</v>
      </c>
    </row>
    <row r="114"/>
    <row r="115">
      <c r="B115" t="inlineStr">
        <is>
          <t>TOTAL</t>
        </is>
      </c>
      <c r="F115" t="n">
        <v>95.23</v>
      </c>
      <c r="G115" t="n">
        <v>0.12</v>
      </c>
    </row>
    <row r="116"/>
    <row r="117"/>
    <row r="118">
      <c r="B118" t="inlineStr">
        <is>
          <t>Treps / Reverse Repo</t>
        </is>
      </c>
    </row>
    <row r="119">
      <c r="B119" t="inlineStr">
        <is>
          <t>Clearing Corporation of India Ltd.</t>
        </is>
      </c>
      <c r="F119" t="n">
        <v>1860.43</v>
      </c>
      <c r="G119" t="n">
        <v>2.38</v>
      </c>
    </row>
    <row r="120">
      <c r="B120" t="inlineStr">
        <is>
          <t>Sub Total</t>
        </is>
      </c>
      <c r="F120" t="n">
        <v>1860.43</v>
      </c>
      <c r="G120" t="n">
        <v>2.38</v>
      </c>
    </row>
    <row r="121"/>
    <row r="122">
      <c r="B122" t="inlineStr">
        <is>
          <t>TOTAL</t>
        </is>
      </c>
      <c r="F122" t="n">
        <v>1860.43</v>
      </c>
      <c r="G122" t="n">
        <v>2.38</v>
      </c>
    </row>
    <row r="123"/>
    <row r="124">
      <c r="B124" t="inlineStr">
        <is>
          <t>Net Receivables / (Payables)</t>
        </is>
      </c>
      <c r="F124" t="n">
        <v>-51.28</v>
      </c>
      <c r="G124" t="n">
        <v>-0.07999999999999829</v>
      </c>
    </row>
    <row r="125"/>
    <row r="126">
      <c r="B126" t="inlineStr">
        <is>
          <t>GRAND TOTAL</t>
        </is>
      </c>
      <c r="F126" t="n">
        <v>78390.41</v>
      </c>
      <c r="G126" t="n">
        <v>100</v>
      </c>
    </row>
    <row r="127"/>
    <row r="128">
      <c r="B128" t="inlineStr">
        <is>
          <t>#  Unlisted Security</t>
        </is>
      </c>
    </row>
    <row r="129">
      <c r="B129" t="inlineStr">
        <is>
          <t>** Non Traded Security</t>
        </is>
      </c>
    </row>
    <row r="130"/>
    <row r="131"/>
    <row r="132"/>
    <row r="133"/>
    <row r="134"/>
    <row r="135">
      <c r="B135" t="inlineStr">
        <is>
          <t>Notes:</t>
        </is>
      </c>
    </row>
    <row r="136">
      <c r="B136" t="inlineStr">
        <is>
          <t>1. Plan / Option-wise Net Asset Value per unit are as below :   (Face Value per unit = Rs. 10)</t>
        </is>
      </c>
    </row>
    <row r="137">
      <c r="B137" t="inlineStr">
        <is>
          <t xml:space="preserve">Plan / Option </t>
        </is>
      </c>
      <c r="C137" s="1" t="n">
        <v>45961</v>
      </c>
      <c r="D137" s="1" t="n">
        <v>45989</v>
      </c>
    </row>
    <row r="138">
      <c r="B138" t="inlineStr">
        <is>
          <t>Direct Plan</t>
        </is>
      </c>
      <c r="C138" t="inlineStr">
        <is>
          <t>(INR)</t>
        </is>
      </c>
      <c r="D138" t="inlineStr">
        <is>
          <t>(INR)</t>
        </is>
      </c>
    </row>
    <row r="139">
      <c r="B139" t="inlineStr">
        <is>
          <t>Growth</t>
        </is>
      </c>
      <c r="C139" t="n">
        <v>40.65</v>
      </c>
      <c r="D139" t="n">
        <v>40.98</v>
      </c>
    </row>
    <row r="140">
      <c r="B140" t="inlineStr">
        <is>
          <t>IDCW (earlier called Dividend)</t>
        </is>
      </c>
      <c r="C140" t="n">
        <v>19.74</v>
      </c>
      <c r="D140" t="n">
        <v>19.9</v>
      </c>
    </row>
    <row r="141">
      <c r="B141" t="inlineStr">
        <is>
          <t>Regular Plan</t>
        </is>
      </c>
    </row>
    <row r="142">
      <c r="B142" t="inlineStr">
        <is>
          <t>Growth</t>
        </is>
      </c>
      <c r="C142" t="n">
        <v>35.37</v>
      </c>
      <c r="D142" t="n">
        <v>35.61</v>
      </c>
    </row>
    <row r="143">
      <c r="B143" t="inlineStr">
        <is>
          <t>IDCW (earlier called Dividend)</t>
        </is>
      </c>
      <c r="C143" t="n">
        <v>18.5</v>
      </c>
      <c r="D143" t="n">
        <v>18.63</v>
      </c>
    </row>
    <row r="144"/>
    <row r="145">
      <c r="B145" t="inlineStr">
        <is>
          <t>2.   Exposure to derivative instruments in the scheme at the end of the month</t>
        </is>
      </c>
      <c r="D145" t="inlineStr">
        <is>
          <t>NIL</t>
        </is>
      </c>
    </row>
    <row r="146"/>
    <row r="147">
      <c r="B147" t="inlineStr">
        <is>
          <t>3.  Derivatives Transactions in the scheme for the month</t>
        </is>
      </c>
      <c r="D147" t="inlineStr">
        <is>
          <t>NIL</t>
        </is>
      </c>
    </row>
    <row r="148"/>
    <row r="149">
      <c r="B149" t="inlineStr">
        <is>
          <t>4.   Investment in foreign securities/ADRs/GDRs at the end of the month (INR Lacs)</t>
        </is>
      </c>
      <c r="D149" t="inlineStr">
        <is>
          <t>NIL</t>
        </is>
      </c>
    </row>
    <row r="150"/>
    <row r="151">
      <c r="B151" t="inlineStr">
        <is>
          <t>5.   Investment in short term deposits at the end of the month (INR Lacs)</t>
        </is>
      </c>
      <c r="D151" t="inlineStr">
        <is>
          <t>NIL</t>
        </is>
      </c>
    </row>
    <row r="152"/>
    <row r="153">
      <c r="B153" t="inlineStr">
        <is>
          <t>6. Portfolio Turnover Ratio</t>
        </is>
      </c>
      <c r="D153" t="n">
        <v>0.27</v>
      </c>
    </row>
    <row r="154"/>
    <row r="155">
      <c r="B155" t="inlineStr">
        <is>
          <t>7.   Aggregate IDCW (earlier called Dividend) declared during the month</t>
        </is>
      </c>
      <c r="D155" t="inlineStr">
        <is>
          <t>NIL</t>
        </is>
      </c>
    </row>
    <row r="156"/>
    <row r="157">
      <c r="B157" t="inlineStr">
        <is>
          <t>8.   (a) Total Exposure to illiquid securities in the portfolio (INR Lacs)</t>
        </is>
      </c>
      <c r="D157" t="inlineStr">
        <is>
          <t>NIL</t>
        </is>
      </c>
    </row>
    <row r="158">
      <c r="B158" t="inlineStr">
        <is>
          <t xml:space="preserve">     (b) Total Exposure to illiquid securities in the portfolio (% of AUM)</t>
        </is>
      </c>
      <c r="D158" t="inlineStr">
        <is>
          <t>NIL</t>
        </is>
      </c>
    </row>
    <row r="159"/>
    <row r="160">
      <c r="B160" t="inlineStr">
        <is>
          <t>9.   Instances of Fair valuation of securities or Deviation in valuation from what is  provided by valuation agencies</t>
        </is>
      </c>
      <c r="D160" t="inlineStr">
        <is>
          <t>NIL</t>
        </is>
      </c>
    </row>
    <row r="161"/>
    <row r="162">
      <c r="B162" t="inlineStr">
        <is>
          <t>10. Securities in default beyond its maturity date in the portfolio of the scheme</t>
        </is>
      </c>
      <c r="D162" t="inlineStr">
        <is>
          <t>NIL</t>
        </is>
      </c>
    </row>
    <row r="163">
      <c r="B163" t="inlineStr">
        <is>
          <t xml:space="preserve">11. For Performance of the scheme refer - </t>
        </is>
      </c>
      <c r="C163" t="inlineStr">
        <is>
          <t>PGIM India ELSS Fund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2026-01-03T07:07:40Z</dcterms:created>
  <dcterms:modified xmlns:dcterms="http://purl.org/dc/terms/" xmlns:xsi="http://www.w3.org/2001/XMLSchema-instance" xsi:type="dcterms:W3CDTF">2026-01-03T07:07:41Z</dcterms:modified>
</cp:coreProperties>
</file>