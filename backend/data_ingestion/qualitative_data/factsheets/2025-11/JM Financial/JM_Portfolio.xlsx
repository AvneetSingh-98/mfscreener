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rge Cap" sheetId="1" state="visible" r:id="rId1"/>
    <sheet xmlns:r="http://schemas.openxmlformats.org/officeDocument/2006/relationships" name="Large &amp; Mid Cap" sheetId="2" state="visible" r:id="rId2"/>
    <sheet xmlns:r="http://schemas.openxmlformats.org/officeDocument/2006/relationships" name="Mid Cap" sheetId="3" state="visible" r:id="rId3"/>
    <sheet xmlns:r="http://schemas.openxmlformats.org/officeDocument/2006/relationships" name="Small Cap" sheetId="4" state="visible" r:id="rId4"/>
    <sheet xmlns:r="http://schemas.openxmlformats.org/officeDocument/2006/relationships" name="Flexi Cap" sheetId="5" state="visible" r:id="rId5"/>
    <sheet xmlns:r="http://schemas.openxmlformats.org/officeDocument/2006/relationships" name="Focused" sheetId="6" state="visible" r:id="rId6"/>
    <sheet xmlns:r="http://schemas.openxmlformats.org/officeDocument/2006/relationships" name="Value" sheetId="7" state="visible" r:id="rId7"/>
    <sheet xmlns:r="http://schemas.openxmlformats.org/officeDocument/2006/relationships" name="ELSS" sheetId="8" state="visible" r:id="rId8"/>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B1" t="inlineStr">
        <is>
          <t>JM Financial Mutual Fund</t>
        </is>
      </c>
    </row>
    <row r="2">
      <c r="B2" t="inlineStr">
        <is>
          <t>JM Large Cap Fund (An open ended equity scheme predominantly investing in large cap stocks.)</t>
        </is>
      </c>
    </row>
    <row r="3">
      <c r="B3" t="inlineStr">
        <is>
          <t>Monthly Portfolio Statement for the period ended 30.11.2025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INE040A01034</t>
        </is>
      </c>
      <c r="B7" t="inlineStr">
        <is>
          <t>HDFC Bank Limited</t>
        </is>
      </c>
      <c r="C7" t="inlineStr">
        <is>
          <t>Banks</t>
        </is>
      </c>
      <c r="D7" t="n">
        <v>422694</v>
      </c>
      <c r="E7" t="n">
        <v>4259.064744</v>
      </c>
      <c r="F7" t="n">
        <v>0.08827445365954409</v>
      </c>
    </row>
    <row r="8">
      <c r="A8" t="inlineStr">
        <is>
          <t>INE002A01018</t>
        </is>
      </c>
      <c r="B8" t="inlineStr">
        <is>
          <t>Reliance Industries Limited</t>
        </is>
      </c>
      <c r="C8" t="inlineStr">
        <is>
          <t>Petroleum Products</t>
        </is>
      </c>
      <c r="D8" t="n">
        <v>177450</v>
      </c>
      <c r="E8" t="n">
        <v>2781.52875</v>
      </c>
      <c r="F8" t="n">
        <v>0.0576506687508023</v>
      </c>
    </row>
    <row r="9">
      <c r="A9" t="inlineStr">
        <is>
          <t>INE090A01021</t>
        </is>
      </c>
      <c r="B9" t="inlineStr">
        <is>
          <t>ICICI Bank Limited</t>
        </is>
      </c>
      <c r="C9" t="inlineStr">
        <is>
          <t>Banks</t>
        </is>
      </c>
      <c r="D9" t="n">
        <v>156587</v>
      </c>
      <c r="E9" t="n">
        <v>2174.680256</v>
      </c>
      <c r="F9" t="n">
        <v>0.04507297329843021</v>
      </c>
    </row>
    <row r="10">
      <c r="A10" t="inlineStr">
        <is>
          <t>INE397D01024</t>
        </is>
      </c>
      <c r="B10" t="inlineStr">
        <is>
          <t>Bharti Airtel Limited</t>
        </is>
      </c>
      <c r="C10" t="inlineStr">
        <is>
          <t>Telecom - Services</t>
        </is>
      </c>
      <c r="D10" t="n">
        <v>97350</v>
      </c>
      <c r="E10" t="n">
        <v>2045.9076</v>
      </c>
      <c r="F10" t="n">
        <v>0.04240399864367712</v>
      </c>
    </row>
    <row r="11">
      <c r="A11" t="inlineStr">
        <is>
          <t>INE018A01030</t>
        </is>
      </c>
      <c r="B11" t="inlineStr">
        <is>
          <t>Larsen &amp; Toubro Limited</t>
        </is>
      </c>
      <c r="C11" t="inlineStr">
        <is>
          <t>Construction</t>
        </is>
      </c>
      <c r="D11" t="n">
        <v>43850</v>
      </c>
      <c r="E11" t="n">
        <v>1784.5196</v>
      </c>
      <c r="F11" t="n">
        <v>0.03698640481027356</v>
      </c>
    </row>
    <row r="12">
      <c r="A12" t="inlineStr">
        <is>
          <t>INE009A01021</t>
        </is>
      </c>
      <c r="B12" t="inlineStr">
        <is>
          <t>Infosys Limited</t>
        </is>
      </c>
      <c r="C12" t="inlineStr">
        <is>
          <t>IT - Software</t>
        </is>
      </c>
      <c r="D12" t="n">
        <v>104422</v>
      </c>
      <c r="E12" t="n">
        <v>1629.087622</v>
      </c>
      <c r="F12" t="n">
        <v>0.03376488230148771</v>
      </c>
    </row>
    <row r="13">
      <c r="A13" t="inlineStr">
        <is>
          <t>INE296A01032</t>
        </is>
      </c>
      <c r="B13" t="inlineStr">
        <is>
          <t>Bajaj Finance Limited</t>
        </is>
      </c>
      <c r="C13" t="inlineStr">
        <is>
          <t>Finance</t>
        </is>
      </c>
      <c r="D13" t="n">
        <v>149999</v>
      </c>
      <c r="E13" t="n">
        <v>1556.239625</v>
      </c>
      <c r="F13" t="n">
        <v>0.03225501628115394</v>
      </c>
    </row>
    <row r="14">
      <c r="A14" t="inlineStr">
        <is>
          <t>INE062A01020</t>
        </is>
      </c>
      <c r="B14" t="inlineStr">
        <is>
          <t>State Bank of India</t>
        </is>
      </c>
      <c r="C14" t="inlineStr">
        <is>
          <t>Banks</t>
        </is>
      </c>
      <c r="D14" t="n">
        <v>152397</v>
      </c>
      <c r="E14" t="n">
        <v>1491.96663</v>
      </c>
      <c r="F14" t="n">
        <v>0.03092287792221483</v>
      </c>
    </row>
    <row r="15">
      <c r="A15" t="inlineStr">
        <is>
          <t>INE101A01026</t>
        </is>
      </c>
      <c r="B15" t="inlineStr">
        <is>
          <t>Mahindra &amp; Mahindra Limited</t>
        </is>
      </c>
      <c r="C15" t="inlineStr">
        <is>
          <t>Automobiles</t>
        </is>
      </c>
      <c r="D15" t="n">
        <v>31800</v>
      </c>
      <c r="E15" t="n">
        <v>1194.8214</v>
      </c>
      <c r="F15" t="n">
        <v>0.02476417069130414</v>
      </c>
    </row>
    <row r="16">
      <c r="A16" t="inlineStr">
        <is>
          <t>INE646L01027</t>
        </is>
      </c>
      <c r="B16" t="inlineStr">
        <is>
          <t>InterGlobe Aviation Limited</t>
        </is>
      </c>
      <c r="C16" t="inlineStr">
        <is>
          <t>Transport Services</t>
        </is>
      </c>
      <c r="D16" t="n">
        <v>20100</v>
      </c>
      <c r="E16" t="n">
        <v>1186.2015</v>
      </c>
      <c r="F16" t="n">
        <v>0.02458551246259986</v>
      </c>
    </row>
    <row r="17">
      <c r="A17" t="inlineStr">
        <is>
          <t>INE721A01047</t>
        </is>
      </c>
      <c r="B17" t="inlineStr">
        <is>
          <t>Shriram Finance Limited</t>
        </is>
      </c>
      <c r="C17" t="inlineStr">
        <is>
          <t>Finance</t>
        </is>
      </c>
      <c r="D17" t="n">
        <v>138000</v>
      </c>
      <c r="E17" t="n">
        <v>1175.277</v>
      </c>
      <c r="F17" t="n">
        <v>0.02435908851110623</v>
      </c>
    </row>
    <row r="18">
      <c r="A18" t="inlineStr">
        <is>
          <t>INE585B01010</t>
        </is>
      </c>
      <c r="B18" t="inlineStr">
        <is>
          <t>Maruti Suzuki India Limited</t>
        </is>
      </c>
      <c r="C18" t="inlineStr">
        <is>
          <t>Automobiles</t>
        </is>
      </c>
      <c r="D18" t="n">
        <v>7217</v>
      </c>
      <c r="E18" t="n">
        <v>1147.503</v>
      </c>
      <c r="F18" t="n">
        <v>0.02378343755877119</v>
      </c>
    </row>
    <row r="19">
      <c r="A19" t="inlineStr">
        <is>
          <t>INE685A01028</t>
        </is>
      </c>
      <c r="B19" t="inlineStr">
        <is>
          <t>Torrent Pharmaceuticals Limited</t>
        </is>
      </c>
      <c r="C19" t="inlineStr">
        <is>
          <t>Pharmaceuticals &amp; Biotechnology</t>
        </is>
      </c>
      <c r="D19" t="n">
        <v>29000</v>
      </c>
      <c r="E19" t="n">
        <v>1078.974</v>
      </c>
      <c r="F19" t="n">
        <v>0.02236308816320096</v>
      </c>
    </row>
    <row r="20">
      <c r="A20" t="inlineStr">
        <is>
          <t>INE742F01042</t>
        </is>
      </c>
      <c r="B20" t="inlineStr">
        <is>
          <t>Adani Port &amp; Special Economic Zone Ltd</t>
        </is>
      </c>
      <c r="C20" t="inlineStr">
        <is>
          <t>Transport Infrastructure</t>
        </is>
      </c>
      <c r="D20" t="n">
        <v>66250</v>
      </c>
      <c r="E20" t="n">
        <v>1004.94625</v>
      </c>
      <c r="F20" t="n">
        <v>0.02082877028364742</v>
      </c>
    </row>
    <row r="21">
      <c r="A21" t="inlineStr">
        <is>
          <t>INE437A01024</t>
        </is>
      </c>
      <c r="B21" t="inlineStr">
        <is>
          <t>Apollo Hospitals Enterprise Limited</t>
        </is>
      </c>
      <c r="C21" t="inlineStr">
        <is>
          <t>Healthcare Services</t>
        </is>
      </c>
      <c r="D21" t="n">
        <v>13454</v>
      </c>
      <c r="E21" t="n">
        <v>986.91817</v>
      </c>
      <c r="F21" t="n">
        <v>0.02045511573548107</v>
      </c>
    </row>
    <row r="22">
      <c r="A22" t="inlineStr">
        <is>
          <t>INE237A01028</t>
        </is>
      </c>
      <c r="B22" t="inlineStr">
        <is>
          <t>Kotak Mahindra Bank Limited</t>
        </is>
      </c>
      <c r="C22" t="inlineStr">
        <is>
          <t>Banks</t>
        </is>
      </c>
      <c r="D22" t="n">
        <v>43700</v>
      </c>
      <c r="E22" t="n">
        <v>928.3628</v>
      </c>
      <c r="F22" t="n">
        <v>0.01924148231916255</v>
      </c>
    </row>
    <row r="23">
      <c r="A23" t="inlineStr">
        <is>
          <t>INE214T01019</t>
        </is>
      </c>
      <c r="B23" t="inlineStr">
        <is>
          <t>LTIMindtree Ltd</t>
        </is>
      </c>
      <c r="C23" t="inlineStr">
        <is>
          <t>IT - Software</t>
        </is>
      </c>
      <c r="D23" t="n">
        <v>14700</v>
      </c>
      <c r="E23" t="n">
        <v>896.1855</v>
      </c>
      <c r="F23" t="n">
        <v>0.01857456745675274</v>
      </c>
    </row>
    <row r="24">
      <c r="A24" t="inlineStr">
        <is>
          <t>INE591G01025</t>
        </is>
      </c>
      <c r="B24" t="inlineStr">
        <is>
          <t>Coforge Limited</t>
        </is>
      </c>
      <c r="C24" t="inlineStr">
        <is>
          <t>IT - Software</t>
        </is>
      </c>
      <c r="D24" t="n">
        <v>44000</v>
      </c>
      <c r="E24" t="n">
        <v>839.828</v>
      </c>
      <c r="F24" t="n">
        <v>0.01740648765023507</v>
      </c>
    </row>
    <row r="25">
      <c r="A25" t="inlineStr">
        <is>
          <t>INE669C01036</t>
        </is>
      </c>
      <c r="B25" t="inlineStr">
        <is>
          <t>Tech Mahindra Limited</t>
        </is>
      </c>
      <c r="C25" t="inlineStr">
        <is>
          <t>IT - Software</t>
        </is>
      </c>
      <c r="D25" t="n">
        <v>55000</v>
      </c>
      <c r="E25" t="n">
        <v>834.515</v>
      </c>
      <c r="F25" t="n">
        <v>0.01729636906775664</v>
      </c>
    </row>
    <row r="26">
      <c r="A26" t="inlineStr">
        <is>
          <t>INE121E01018</t>
        </is>
      </c>
      <c r="B26" t="inlineStr">
        <is>
          <t>JSW Energy Limited</t>
        </is>
      </c>
      <c r="C26" t="inlineStr">
        <is>
          <t>Power</t>
        </is>
      </c>
      <c r="D26" t="n">
        <v>170000</v>
      </c>
      <c r="E26" t="n">
        <v>830.705</v>
      </c>
      <c r="F26" t="n">
        <v>0.01721740204361908</v>
      </c>
    </row>
    <row r="27">
      <c r="A27" t="inlineStr">
        <is>
          <t>INE854D01024</t>
        </is>
      </c>
      <c r="B27" t="inlineStr">
        <is>
          <t>United Spirits Limited</t>
        </is>
      </c>
      <c r="C27" t="inlineStr">
        <is>
          <t>Beverages</t>
        </is>
      </c>
      <c r="D27" t="n">
        <v>56592</v>
      </c>
      <c r="E27" t="n">
        <v>821.489472</v>
      </c>
      <c r="F27" t="n">
        <v>0.01702639867826046</v>
      </c>
    </row>
    <row r="28">
      <c r="A28" t="inlineStr">
        <is>
          <t>INE466L01038</t>
        </is>
      </c>
      <c r="B28" t="inlineStr">
        <is>
          <t>360 ONE WAM LIMITED</t>
        </is>
      </c>
      <c r="C28" t="inlineStr">
        <is>
          <t>Capital Markets</t>
        </is>
      </c>
      <c r="D28" t="n">
        <v>69000</v>
      </c>
      <c r="E28" t="n">
        <v>816.408</v>
      </c>
      <c r="F28" t="n">
        <v>0.01692107880369923</v>
      </c>
    </row>
    <row r="29">
      <c r="A29" t="inlineStr">
        <is>
          <t>INE982J01020</t>
        </is>
      </c>
      <c r="B29" t="inlineStr">
        <is>
          <t>One 97 Communications Limited</t>
        </is>
      </c>
      <c r="C29" t="inlineStr">
        <is>
          <t>Financial Technology (Fintech)</t>
        </is>
      </c>
      <c r="D29" t="n">
        <v>61700</v>
      </c>
      <c r="E29" t="n">
        <v>814.8102</v>
      </c>
      <c r="F29" t="n">
        <v>0.01688796239656878</v>
      </c>
    </row>
    <row r="30">
      <c r="A30" t="inlineStr">
        <is>
          <t>INE361B01024</t>
        </is>
      </c>
      <c r="B30" t="inlineStr">
        <is>
          <t>Divi's Laboratories Limited</t>
        </is>
      </c>
      <c r="C30" t="inlineStr">
        <is>
          <t>Pharmaceuticals &amp; Biotechnology</t>
        </is>
      </c>
      <c r="D30" t="n">
        <v>12091</v>
      </c>
      <c r="E30" t="n">
        <v>783.13407</v>
      </c>
      <c r="F30" t="n">
        <v>0.01623143491040228</v>
      </c>
    </row>
    <row r="31">
      <c r="A31" t="inlineStr">
        <is>
          <t>INE494B01023</t>
        </is>
      </c>
      <c r="B31" t="inlineStr">
        <is>
          <t>TVS Motor Company Limited</t>
        </is>
      </c>
      <c r="C31" t="inlineStr">
        <is>
          <t>Automobiles</t>
        </is>
      </c>
      <c r="D31" t="n">
        <v>22150</v>
      </c>
      <c r="E31" t="n">
        <v>782.22725</v>
      </c>
      <c r="F31" t="n">
        <v>0.01621263992960742</v>
      </c>
    </row>
    <row r="32">
      <c r="A32" t="inlineStr">
        <is>
          <t>INE481G01011</t>
        </is>
      </c>
      <c r="B32" t="inlineStr">
        <is>
          <t>UltraTech Cement Limited</t>
        </is>
      </c>
      <c r="C32" t="inlineStr">
        <is>
          <t>Cement &amp; Cement Products</t>
        </is>
      </c>
      <c r="D32" t="n">
        <v>6700</v>
      </c>
      <c r="E32" t="n">
        <v>777.2</v>
      </c>
      <c r="F32" t="n">
        <v>0.0161084438739393</v>
      </c>
    </row>
    <row r="33">
      <c r="A33" t="inlineStr">
        <is>
          <t>INE298A01020</t>
        </is>
      </c>
      <c r="B33" t="inlineStr">
        <is>
          <t>Cummins India Limited</t>
        </is>
      </c>
      <c r="C33" t="inlineStr">
        <is>
          <t>Industrial Products</t>
        </is>
      </c>
      <c r="D33" t="n">
        <v>16850</v>
      </c>
      <c r="E33" t="n">
        <v>754.76205</v>
      </c>
      <c r="F33" t="n">
        <v>0.01564338924421561</v>
      </c>
    </row>
    <row r="34">
      <c r="A34" t="inlineStr">
        <is>
          <t>INE935N01020</t>
        </is>
      </c>
      <c r="B34" t="inlineStr">
        <is>
          <t>Dixon Technologies (India) Limited</t>
        </is>
      </c>
      <c r="C34" t="inlineStr">
        <is>
          <t>Consumer Durables</t>
        </is>
      </c>
      <c r="D34" t="n">
        <v>4900</v>
      </c>
      <c r="E34" t="n">
        <v>715.449</v>
      </c>
      <c r="F34" t="n">
        <v>0.01482857702157231</v>
      </c>
    </row>
    <row r="35">
      <c r="A35" t="inlineStr">
        <is>
          <t>INE849A01020</t>
        </is>
      </c>
      <c r="B35" t="inlineStr">
        <is>
          <t>Trent Limited</t>
        </is>
      </c>
      <c r="C35" t="inlineStr">
        <is>
          <t>Retailing</t>
        </is>
      </c>
      <c r="D35" t="n">
        <v>16700</v>
      </c>
      <c r="E35" t="n">
        <v>709.8167999999999</v>
      </c>
      <c r="F35" t="n">
        <v>0.01471184261911889</v>
      </c>
    </row>
    <row r="36">
      <c r="A36" t="inlineStr">
        <is>
          <t>INE089A01031</t>
        </is>
      </c>
      <c r="B36" t="inlineStr">
        <is>
          <t>Dr. Reddy's Laboratories Limited</t>
        </is>
      </c>
      <c r="C36" t="inlineStr">
        <is>
          <t>Pharmaceuticals &amp; Biotechnology</t>
        </is>
      </c>
      <c r="D36" t="n">
        <v>56000</v>
      </c>
      <c r="E36" t="n">
        <v>704.928</v>
      </c>
      <c r="F36" t="n">
        <v>0.01461051611318616</v>
      </c>
    </row>
    <row r="37">
      <c r="A37" t="inlineStr">
        <is>
          <t>INE263A01024</t>
        </is>
      </c>
      <c r="B37" t="inlineStr">
        <is>
          <t>Bharat Electronics Limited</t>
        </is>
      </c>
      <c r="C37" t="inlineStr">
        <is>
          <t>Aerospace &amp; Defense</t>
        </is>
      </c>
      <c r="D37" t="n">
        <v>170000</v>
      </c>
      <c r="E37" t="n">
        <v>699.975</v>
      </c>
      <c r="F37" t="n">
        <v>0.01450785898180734</v>
      </c>
    </row>
    <row r="38">
      <c r="A38" t="inlineStr">
        <is>
          <t>INE053A01029</t>
        </is>
      </c>
      <c r="B38" t="inlineStr">
        <is>
          <t>The Indian Hotels Company Limited</t>
        </is>
      </c>
      <c r="C38" t="inlineStr">
        <is>
          <t>Leisure Services</t>
        </is>
      </c>
      <c r="D38" t="n">
        <v>93792</v>
      </c>
      <c r="E38" t="n">
        <v>698.093856</v>
      </c>
      <c r="F38" t="n">
        <v>0.01446886991523143</v>
      </c>
    </row>
    <row r="39">
      <c r="A39" t="inlineStr">
        <is>
          <t>INE572E01012</t>
        </is>
      </c>
      <c r="B39" t="inlineStr">
        <is>
          <t>PNB Housing Finance Limited</t>
        </is>
      </c>
      <c r="C39" t="inlineStr">
        <is>
          <t>Finance</t>
        </is>
      </c>
      <c r="D39" t="n">
        <v>74000</v>
      </c>
      <c r="E39" t="n">
        <v>669.922</v>
      </c>
      <c r="F39" t="n">
        <v>0.01388497289876115</v>
      </c>
    </row>
    <row r="40">
      <c r="A40" t="inlineStr">
        <is>
          <t>INE038A01020</t>
        </is>
      </c>
      <c r="B40" t="inlineStr">
        <is>
          <t>Hindalco Industries Limited</t>
        </is>
      </c>
      <c r="C40" t="inlineStr">
        <is>
          <t>Non - Ferrous Metals</t>
        </is>
      </c>
      <c r="D40" t="n">
        <v>82500</v>
      </c>
      <c r="E40" t="n">
        <v>666.9299999999999</v>
      </c>
      <c r="F40" t="n">
        <v>0.01382295994962216</v>
      </c>
    </row>
    <row r="41">
      <c r="A41" t="inlineStr">
        <is>
          <t>INE081A01020</t>
        </is>
      </c>
      <c r="B41" t="inlineStr">
        <is>
          <t>Tata Steel Limited</t>
        </is>
      </c>
      <c r="C41" t="inlineStr">
        <is>
          <t>Ferrous Metals</t>
        </is>
      </c>
      <c r="D41" t="n">
        <v>395000</v>
      </c>
      <c r="E41" t="n">
        <v>663.442</v>
      </c>
      <c r="F41" t="n">
        <v>0.01375066677896814</v>
      </c>
    </row>
    <row r="42">
      <c r="A42" t="inlineStr">
        <is>
          <t>INE795G01014</t>
        </is>
      </c>
      <c r="B42" t="inlineStr">
        <is>
          <t>HDFC Life Insurance Company Limited</t>
        </is>
      </c>
      <c r="C42" t="inlineStr">
        <is>
          <t>Insurance</t>
        </is>
      </c>
      <c r="D42" t="n">
        <v>81674</v>
      </c>
      <c r="E42" t="n">
        <v>624.234382</v>
      </c>
      <c r="F42" t="n">
        <v>0.01293803976663688</v>
      </c>
    </row>
    <row r="43">
      <c r="A43" t="inlineStr">
        <is>
          <t>INE030A01027</t>
        </is>
      </c>
      <c r="B43" t="inlineStr">
        <is>
          <t>Hindustan Unilever Limited</t>
        </is>
      </c>
      <c r="C43" t="inlineStr">
        <is>
          <t>Diversified FMCG</t>
        </is>
      </c>
      <c r="D43" t="n">
        <v>25300</v>
      </c>
      <c r="E43" t="n">
        <v>624.0498</v>
      </c>
      <c r="F43" t="n">
        <v>0.01293421407339558</v>
      </c>
    </row>
    <row r="44">
      <c r="A44" t="inlineStr">
        <is>
          <t>INE067A01029</t>
        </is>
      </c>
      <c r="B44" t="inlineStr">
        <is>
          <t>CG Power And Industrial Solutions Ltd</t>
        </is>
      </c>
      <c r="C44" t="inlineStr">
        <is>
          <t>Electrical Equipment</t>
        </is>
      </c>
      <c r="D44" t="n">
        <v>89867</v>
      </c>
      <c r="E44" t="n">
        <v>604.715043</v>
      </c>
      <c r="F44" t="n">
        <v>0.01253347700706677</v>
      </c>
    </row>
    <row r="45">
      <c r="A45" t="inlineStr">
        <is>
          <t>INE121J01017</t>
        </is>
      </c>
      <c r="B45" t="inlineStr">
        <is>
          <t>Indus Towers Limited</t>
        </is>
      </c>
      <c r="C45" t="inlineStr">
        <is>
          <t>Telecom - Services</t>
        </is>
      </c>
      <c r="D45" t="n">
        <v>150000</v>
      </c>
      <c r="E45" t="n">
        <v>601.575</v>
      </c>
      <c r="F45" t="n">
        <v>0.01246839568124683</v>
      </c>
    </row>
    <row r="46">
      <c r="A46" t="inlineStr">
        <is>
          <t>INE811K01011</t>
        </is>
      </c>
      <c r="B46" t="inlineStr">
        <is>
          <t>Prestige Estates Projects Limited</t>
        </is>
      </c>
      <c r="C46" t="inlineStr">
        <is>
          <t>Realty</t>
        </is>
      </c>
      <c r="D46" t="n">
        <v>35000</v>
      </c>
      <c r="E46" t="n">
        <v>587.0549999999999</v>
      </c>
      <c r="F46" t="n">
        <v>0.01216745048689583</v>
      </c>
    </row>
    <row r="47">
      <c r="A47" t="inlineStr">
        <is>
          <t>INE758T01015</t>
        </is>
      </c>
      <c r="B47" t="inlineStr">
        <is>
          <t>Eternal Limited</t>
        </is>
      </c>
      <c r="C47" t="inlineStr">
        <is>
          <t>Retailing</t>
        </is>
      </c>
      <c r="D47" t="n">
        <v>192000</v>
      </c>
      <c r="E47" t="n">
        <v>576.192</v>
      </c>
      <c r="F47" t="n">
        <v>0.01194230119996505</v>
      </c>
    </row>
    <row r="48">
      <c r="A48" t="inlineStr">
        <is>
          <t>INE280A01028</t>
        </is>
      </c>
      <c r="B48" t="inlineStr">
        <is>
          <t>Titan Company Limited</t>
        </is>
      </c>
      <c r="C48" t="inlineStr">
        <is>
          <t>Consumer Durables</t>
        </is>
      </c>
      <c r="D48" t="n">
        <v>14700</v>
      </c>
      <c r="E48" t="n">
        <v>574.4319</v>
      </c>
      <c r="F48" t="n">
        <v>0.01190582092196386</v>
      </c>
    </row>
    <row r="49">
      <c r="A49" t="inlineStr">
        <is>
          <t>INE238A01034</t>
        </is>
      </c>
      <c r="B49" t="inlineStr">
        <is>
          <t>Axis Bank Limited</t>
        </is>
      </c>
      <c r="C49" t="inlineStr">
        <is>
          <t>Banks</t>
        </is>
      </c>
      <c r="D49" t="n">
        <v>44523</v>
      </c>
      <c r="E49" t="n">
        <v>569.7608310000001</v>
      </c>
      <c r="F49" t="n">
        <v>0.01180900716383494</v>
      </c>
    </row>
    <row r="50">
      <c r="A50" t="inlineStr">
        <is>
          <t>INE07Y701011</t>
        </is>
      </c>
      <c r="B50" t="inlineStr">
        <is>
          <t>Hitachi Energy India Limited</t>
        </is>
      </c>
      <c r="C50" t="inlineStr">
        <is>
          <t>Electrical Equipment</t>
        </is>
      </c>
      <c r="D50" t="n">
        <v>2485</v>
      </c>
      <c r="E50" t="n">
        <v>548.0916</v>
      </c>
      <c r="F50" t="n">
        <v>0.01135988519863303</v>
      </c>
    </row>
    <row r="51">
      <c r="A51" t="inlineStr">
        <is>
          <t>INE455K01017</t>
        </is>
      </c>
      <c r="B51" t="inlineStr">
        <is>
          <t>Polycab India Limited</t>
        </is>
      </c>
      <c r="C51" t="inlineStr">
        <is>
          <t>Industrial Products</t>
        </is>
      </c>
      <c r="D51" t="n">
        <v>7050</v>
      </c>
      <c r="E51" t="n">
        <v>526.635</v>
      </c>
      <c r="F51" t="n">
        <v>0.01091517027734435</v>
      </c>
    </row>
    <row r="52">
      <c r="A52" t="inlineStr">
        <is>
          <t>INE917I01010</t>
        </is>
      </c>
      <c r="B52" t="inlineStr">
        <is>
          <t>Bajaj Auto Limited</t>
        </is>
      </c>
      <c r="C52" t="inlineStr">
        <is>
          <t>Automobiles</t>
        </is>
      </c>
      <c r="D52" t="n">
        <v>5650</v>
      </c>
      <c r="E52" t="n">
        <v>512.65275</v>
      </c>
      <c r="F52" t="n">
        <v>0.01062537062557339</v>
      </c>
    </row>
    <row r="53">
      <c r="A53" t="inlineStr">
        <is>
          <t>INE741K01010</t>
        </is>
      </c>
      <c r="B53" t="inlineStr">
        <is>
          <t>Creditaccess Grameen Limited</t>
        </is>
      </c>
      <c r="C53" t="inlineStr">
        <is>
          <t>Finance</t>
        </is>
      </c>
      <c r="D53" t="n">
        <v>34141</v>
      </c>
      <c r="E53" t="n">
        <v>456.499311</v>
      </c>
      <c r="F53" t="n">
        <v>0.009461520238980265</v>
      </c>
    </row>
    <row r="54">
      <c r="A54" t="inlineStr">
        <is>
          <t>INE0KBH01020</t>
        </is>
      </c>
      <c r="B54" t="inlineStr">
        <is>
          <t>Blue Jet Healthcare Ltd</t>
        </is>
      </c>
      <c r="C54" t="inlineStr">
        <is>
          <t>Pharmaceuticals &amp; Biotechnology</t>
        </is>
      </c>
      <c r="D54" t="n">
        <v>41900</v>
      </c>
      <c r="E54" t="n">
        <v>242.37055</v>
      </c>
      <c r="F54" t="n">
        <v>0.005023433352252702</v>
      </c>
    </row>
    <row r="55">
      <c r="B55" t="inlineStr">
        <is>
          <t>Sub Total</t>
        </is>
      </c>
      <c r="E55" t="n">
        <v>47954.083312</v>
      </c>
      <c r="F55" t="n">
        <v>0.993908465719971</v>
      </c>
    </row>
    <row r="56">
      <c r="B56" t="inlineStr">
        <is>
          <t>(b) Unlisted</t>
        </is>
      </c>
      <c r="E56" t="inlineStr">
        <is>
          <t>NIL</t>
        </is>
      </c>
      <c r="F56" t="inlineStr">
        <is>
          <t>NIL</t>
        </is>
      </c>
    </row>
    <row r="57">
      <c r="B57" t="inlineStr">
        <is>
          <t>Sub Total</t>
        </is>
      </c>
      <c r="E57" t="inlineStr">
        <is>
          <t>NIL</t>
        </is>
      </c>
      <c r="F57" t="inlineStr">
        <is>
          <t>NIL</t>
        </is>
      </c>
    </row>
    <row r="58">
      <c r="B58" t="inlineStr">
        <is>
          <t>Total</t>
        </is>
      </c>
      <c r="E58">
        <f>+E55</f>
        <v/>
      </c>
      <c r="F58">
        <f>+F55</f>
        <v/>
      </c>
    </row>
    <row r="59"/>
    <row r="60">
      <c r="B60" t="inlineStr">
        <is>
          <t>DEBT INSTRUMENTS</t>
        </is>
      </c>
    </row>
    <row r="61">
      <c r="B61" t="inlineStr">
        <is>
          <t>(a) Listed / awaiting listing on Stock Exchanges</t>
        </is>
      </c>
      <c r="E61" t="inlineStr">
        <is>
          <t>NIL</t>
        </is>
      </c>
      <c r="F61" t="inlineStr">
        <is>
          <t>NIL</t>
        </is>
      </c>
    </row>
    <row r="62">
      <c r="B62" t="inlineStr">
        <is>
          <t>Sub Total</t>
        </is>
      </c>
      <c r="E62" t="inlineStr">
        <is>
          <t>NIL</t>
        </is>
      </c>
      <c r="F62" t="inlineStr">
        <is>
          <t>NIL</t>
        </is>
      </c>
    </row>
    <row r="63">
      <c r="B63" t="inlineStr">
        <is>
          <t>(b) Privately placed / Unlisted</t>
        </is>
      </c>
      <c r="E63" t="inlineStr">
        <is>
          <t>NIL</t>
        </is>
      </c>
      <c r="F63" t="inlineStr">
        <is>
          <t>NIL</t>
        </is>
      </c>
    </row>
    <row r="64">
      <c r="B64" t="inlineStr">
        <is>
          <t>Sub Total</t>
        </is>
      </c>
      <c r="E64" t="inlineStr">
        <is>
          <t>NIL</t>
        </is>
      </c>
      <c r="F64" t="inlineStr">
        <is>
          <t>NIL</t>
        </is>
      </c>
    </row>
    <row r="65">
      <c r="B65" t="inlineStr">
        <is>
          <t>(c) Securitized Debt Instruments</t>
        </is>
      </c>
      <c r="E65" t="inlineStr">
        <is>
          <t>NIL</t>
        </is>
      </c>
      <c r="F65" t="inlineStr">
        <is>
          <t>NIL</t>
        </is>
      </c>
    </row>
    <row r="66">
      <c r="B66" t="inlineStr">
        <is>
          <t>Sub Total</t>
        </is>
      </c>
      <c r="E66" t="inlineStr">
        <is>
          <t>NIL</t>
        </is>
      </c>
      <c r="F66" t="inlineStr">
        <is>
          <t>NIL</t>
        </is>
      </c>
    </row>
    <row r="67">
      <c r="B67" t="inlineStr">
        <is>
          <t>(d) Government Securities / SDL</t>
        </is>
      </c>
      <c r="E67" t="inlineStr">
        <is>
          <t>NIL</t>
        </is>
      </c>
      <c r="F67" t="inlineStr">
        <is>
          <t>NIL</t>
        </is>
      </c>
    </row>
    <row r="68">
      <c r="B68" t="inlineStr">
        <is>
          <t>Sub Total</t>
        </is>
      </c>
      <c r="E68" t="inlineStr">
        <is>
          <t>NIL</t>
        </is>
      </c>
      <c r="F68" t="inlineStr">
        <is>
          <t>NIL</t>
        </is>
      </c>
    </row>
    <row r="69">
      <c r="B69" t="inlineStr">
        <is>
          <t>Total</t>
        </is>
      </c>
      <c r="E69" t="inlineStr">
        <is>
          <t>NIL</t>
        </is>
      </c>
      <c r="F69" t="inlineStr">
        <is>
          <t>NIL</t>
        </is>
      </c>
    </row>
    <row r="70"/>
    <row r="71">
      <c r="B71" t="inlineStr">
        <is>
          <t>MONEY MARKET INSTRUMENTS</t>
        </is>
      </c>
    </row>
    <row r="72">
      <c r="B72" t="inlineStr">
        <is>
          <t>Total</t>
        </is>
      </c>
      <c r="E72" t="inlineStr">
        <is>
          <t>NIL</t>
        </is>
      </c>
      <c r="F72" t="inlineStr">
        <is>
          <t>NIL</t>
        </is>
      </c>
    </row>
    <row r="73">
      <c r="A73" t="inlineStr">
        <is>
          <t>INE494B04019</t>
        </is>
      </c>
      <c r="B73" t="inlineStr">
        <is>
          <t xml:space="preserve">6% TVS Motor Co Ltd. Cumulative Non Convertible
Redeemable Preference Shares  #
</t>
        </is>
      </c>
      <c r="C73" t="inlineStr">
        <is>
          <t>CARE A1+</t>
        </is>
      </c>
      <c r="D73" t="n">
        <v>100000</v>
      </c>
      <c r="E73" t="n">
        <v>10.1406</v>
      </c>
      <c r="F73" t="n">
        <v>0.0002</v>
      </c>
      <c r="G73" s="1" t="n">
        <v>46266</v>
      </c>
      <c r="I73" t="n">
        <v>0.06035</v>
      </c>
    </row>
    <row r="74">
      <c r="B74" t="inlineStr">
        <is>
          <t>Total</t>
        </is>
      </c>
      <c r="E74">
        <f>+E73</f>
        <v/>
      </c>
      <c r="F74">
        <f>+F73</f>
        <v/>
      </c>
    </row>
    <row r="75"/>
    <row r="76">
      <c r="B76" t="inlineStr">
        <is>
          <t>TREPS / Reverse Repo Investments / Corporate Debt Repo</t>
        </is>
      </c>
    </row>
    <row r="77">
      <c r="B77" t="inlineStr">
        <is>
          <t>CCIL</t>
        </is>
      </c>
      <c r="D77" t="n">
        <v>2361.9993</v>
      </c>
      <c r="E77" t="n">
        <v>236.19993</v>
      </c>
      <c r="F77" t="n">
        <v>0.004895539520629686</v>
      </c>
      <c r="G77" t="inlineStr">
        <is>
          <t>01-DEC-2025</t>
        </is>
      </c>
      <c r="I77" t="n">
        <v>0.0543101</v>
      </c>
    </row>
    <row r="78">
      <c r="B78" t="inlineStr">
        <is>
          <t>Total</t>
        </is>
      </c>
      <c r="E78" t="n">
        <v>236.19993</v>
      </c>
      <c r="F78" t="n">
        <v>0.004895539520629686</v>
      </c>
    </row>
    <row r="79"/>
    <row r="80">
      <c r="B80" t="inlineStr">
        <is>
          <t>Cash &amp; Cash Equivalents</t>
        </is>
      </c>
    </row>
    <row r="81">
      <c r="B81" t="inlineStr">
        <is>
          <t>Net Receivable/Payable</t>
        </is>
      </c>
      <c r="E81" t="n">
        <v>47.5637403</v>
      </c>
      <c r="F81" t="n">
        <v>0.0009858181176752123</v>
      </c>
    </row>
    <row r="82">
      <c r="B82" t="inlineStr">
        <is>
          <t>Total</t>
        </is>
      </c>
      <c r="E82" t="n">
        <v>47.5637403</v>
      </c>
      <c r="F82" t="n">
        <v>0.0009858181176752123</v>
      </c>
    </row>
    <row r="83">
      <c r="B83" t="inlineStr">
        <is>
          <t>Grand Total</t>
        </is>
      </c>
      <c r="E83" t="n">
        <v>48247.9875823</v>
      </c>
      <c r="F83" t="n">
        <v>1</v>
      </c>
    </row>
    <row r="84"/>
    <row r="85">
      <c r="A85" t="inlineStr">
        <is>
          <t># awaiting listing on Stock Exchanges</t>
        </is>
      </c>
    </row>
    <row r="86"/>
    <row r="87">
      <c r="A87" t="inlineStr">
        <is>
          <t>Number of Instances of Deviation In valuation Of Securities as per Sebi circular ref no SEBI/HO/IMD/DF4/CIR/P/2019/102 dated September 24, 2019- Nil</t>
        </is>
      </c>
    </row>
    <row r="88">
      <c r="A88" t="inlineStr">
        <is>
          <t>^ YTC i.e. Yield to Call is disclosed at security level only for Additional Tier 1 Bonds and Tier 2 Bonds issued by Banks as per AMFI Best Practices Notification 135/BP/91/2020-21 read with SEBI circular SEBI/HO/IMD/DF4/CIR/P/2021/034</t>
        </is>
      </c>
    </row>
    <row r="89">
      <c r="A89" t="inlineStr">
        <is>
          <t>Where the scheme has invested in floating rate instruments and / or interest rate derivatives, the following disclaimer may be read in regard to such investment;</t>
        </is>
      </c>
    </row>
    <row r="90">
      <c r="A90"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91"/>
    <row r="92"/>
    <row r="93">
      <c r="A93" t="inlineStr">
        <is>
          <t>This Product is suitable for investors who are seeking*</t>
        </is>
      </c>
    </row>
    <row r="94">
      <c r="A94" t="inlineStr">
        <is>
          <t>• Capital appreciation over Long Term.</t>
        </is>
      </c>
    </row>
    <row r="95">
      <c r="A95" t="inlineStr">
        <is>
          <t>• Investment predominantly in Equity &amp; Equity related securities in the Large Cap segment.</t>
        </is>
      </c>
    </row>
    <row r="96">
      <c r="A96" t="inlineStr">
        <is>
          <t>*Investors should consult their financial advisers if in doubt about whether the product is suitable for them.</t>
        </is>
      </c>
    </row>
    <row r="97"/>
    <row r="98">
      <c r="A98" t="inlineStr">
        <is>
          <t xml:space="preserve">                                          Riskometer of the scheme </t>
        </is>
      </c>
      <c r="C98" t="inlineStr">
        <is>
          <t xml:space="preserve">                                                                Benchmark of the scheme - BSE 100 TRI </t>
        </is>
      </c>
    </row>
    <row r="99"/>
    <row r="100"/>
    <row r="101"/>
    <row r="102"/>
    <row r="103"/>
    <row r="104"/>
    <row r="105"/>
    <row r="106"/>
    <row r="107"/>
    <row r="108"/>
    <row r="109">
      <c r="A109" t="inlineStr">
        <is>
          <t xml:space="preserve">                        The risk of the scheme is Very High</t>
        </is>
      </c>
      <c r="C109" t="inlineStr">
        <is>
          <t xml:space="preserve"> The risk of the benchmark is Very High </t>
        </is>
      </c>
    </row>
    <row r="110"/>
    <row r="111">
      <c r="A111" t="inlineStr">
        <is>
          <t>Scheme performance</t>
        </is>
      </c>
    </row>
    <row r="112">
      <c r="A112" t="inlineStr">
        <is>
          <t>Regular Plan</t>
        </is>
      </c>
    </row>
    <row r="113">
      <c r="A113" t="inlineStr">
        <is>
          <t>https://www.jmfinancialmf.com/products/Equity/JM-Large-Cap-Fund/J02/Regular-Plan-Growth-Option</t>
        </is>
      </c>
    </row>
    <row r="114"/>
    <row r="115">
      <c r="A115" t="inlineStr">
        <is>
          <t>Direct Plan</t>
        </is>
      </c>
    </row>
    <row r="116">
      <c r="A116" t="inlineStr">
        <is>
          <t>https://www.jmfinancialmf.com/products/Equity/JM-Large-Cap-Fund/J442/Direct-Plan-Growth-Option</t>
        </is>
      </c>
    </row>
    <row r="117"/>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9"/>
  <sheetViews>
    <sheetView workbookViewId="0">
      <selection activeCell="A1" sqref="A1"/>
    </sheetView>
  </sheetViews>
  <sheetFormatPr baseColWidth="8" defaultRowHeight="15"/>
  <sheetData>
    <row r="1">
      <c r="B1" t="inlineStr">
        <is>
          <t>JM Financial Mutual Fund</t>
        </is>
      </c>
    </row>
    <row r="2">
      <c r="B2" t="inlineStr">
        <is>
          <t>JM Large and Midcap Fund (An open ended equity scheme predominantly investing in large and mid cap stocks.)</t>
        </is>
      </c>
    </row>
    <row r="3">
      <c r="B3" t="inlineStr">
        <is>
          <t>Monthly Portfolio Statement for the period ended 30.11.2025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row>
    <row r="5">
      <c r="B5" t="inlineStr">
        <is>
          <t>(a) Listed / awaiting listing on the stock exchanges</t>
        </is>
      </c>
    </row>
    <row r="6">
      <c r="A6" t="inlineStr">
        <is>
          <t>INE040A01034</t>
        </is>
      </c>
      <c r="B6" t="inlineStr">
        <is>
          <t>HDFC Bank Limited</t>
        </is>
      </c>
      <c r="C6" t="inlineStr">
        <is>
          <t>Banks</t>
        </is>
      </c>
      <c r="D6" t="n">
        <v>168000</v>
      </c>
      <c r="E6" t="n">
        <v>1692.768</v>
      </c>
      <c r="F6" t="n">
        <v>0.04290028155832974</v>
      </c>
    </row>
    <row r="7">
      <c r="A7" t="inlineStr">
        <is>
          <t>INE090A01021</t>
        </is>
      </c>
      <c r="B7" t="inlineStr">
        <is>
          <t>ICICI Bank Limited</t>
        </is>
      </c>
      <c r="C7" t="inlineStr">
        <is>
          <t>Banks</t>
        </is>
      </c>
      <c r="D7" t="n">
        <v>119000</v>
      </c>
      <c r="E7" t="n">
        <v>1652.672</v>
      </c>
      <c r="F7" t="n">
        <v>0.04188411768391648</v>
      </c>
    </row>
    <row r="8">
      <c r="A8" t="inlineStr">
        <is>
          <t>INE397D01024</t>
        </is>
      </c>
      <c r="B8" t="inlineStr">
        <is>
          <t>Bharti Airtel Limited</t>
        </is>
      </c>
      <c r="C8" t="inlineStr">
        <is>
          <t>Telecom - Services</t>
        </is>
      </c>
      <c r="D8" t="n">
        <v>66000</v>
      </c>
      <c r="E8" t="n">
        <v>1387.056</v>
      </c>
      <c r="F8" t="n">
        <v>0.03515253888138872</v>
      </c>
    </row>
    <row r="9">
      <c r="A9" t="inlineStr">
        <is>
          <t>INE262H01021</t>
        </is>
      </c>
      <c r="B9" t="inlineStr">
        <is>
          <t>PERSISTENT SYSTEMS LTD</t>
        </is>
      </c>
      <c r="C9" t="inlineStr">
        <is>
          <t>IT - Software</t>
        </is>
      </c>
      <c r="D9" t="n">
        <v>21000</v>
      </c>
      <c r="E9" t="n">
        <v>1334.13</v>
      </c>
      <c r="F9" t="n">
        <v>0.03381122081431977</v>
      </c>
    </row>
    <row r="10">
      <c r="A10" t="inlineStr">
        <is>
          <t>INE591G01025</t>
        </is>
      </c>
      <c r="B10" t="inlineStr">
        <is>
          <t>Coforge Limited</t>
        </is>
      </c>
      <c r="C10" t="inlineStr">
        <is>
          <t>IT - Software</t>
        </is>
      </c>
      <c r="D10" t="n">
        <v>67000</v>
      </c>
      <c r="E10" t="n">
        <v>1278.829</v>
      </c>
      <c r="F10" t="n">
        <v>0.03240971247386368</v>
      </c>
    </row>
    <row r="11">
      <c r="A11" t="inlineStr">
        <is>
          <t>INE296A01032</t>
        </is>
      </c>
      <c r="B11" t="inlineStr">
        <is>
          <t>Bajaj Finance Limited</t>
        </is>
      </c>
      <c r="C11" t="inlineStr">
        <is>
          <t>Finance</t>
        </is>
      </c>
      <c r="D11" t="n">
        <v>97000</v>
      </c>
      <c r="E11" t="n">
        <v>1006.375</v>
      </c>
      <c r="F11" t="n">
        <v>0.02550483637052691</v>
      </c>
    </row>
    <row r="12">
      <c r="A12" t="inlineStr">
        <is>
          <t>INE324D01010</t>
        </is>
      </c>
      <c r="B12" t="inlineStr">
        <is>
          <t>LG Electronics India Limited</t>
        </is>
      </c>
      <c r="C12" t="inlineStr">
        <is>
          <t>Consumer Durables</t>
        </is>
      </c>
      <c r="D12" t="n">
        <v>60000</v>
      </c>
      <c r="E12" t="n">
        <v>995.58</v>
      </c>
      <c r="F12" t="n">
        <v>0.02523125573843665</v>
      </c>
    </row>
    <row r="13">
      <c r="A13" t="inlineStr">
        <is>
          <t>INE982J01020</t>
        </is>
      </c>
      <c r="B13" t="inlineStr">
        <is>
          <t>One 97 Communications Limited</t>
        </is>
      </c>
      <c r="C13" t="inlineStr">
        <is>
          <t>Financial Technology (Fintech)</t>
        </is>
      </c>
      <c r="D13" t="n">
        <v>70400</v>
      </c>
      <c r="E13" t="n">
        <v>929.7024</v>
      </c>
      <c r="F13" t="n">
        <v>0.0235617017367146</v>
      </c>
    </row>
    <row r="14">
      <c r="A14" t="inlineStr">
        <is>
          <t>INE118H01025</t>
        </is>
      </c>
      <c r="B14" t="inlineStr">
        <is>
          <t>BSE Ltd</t>
        </is>
      </c>
      <c r="C14" t="inlineStr">
        <is>
          <t>Capital Markets</t>
        </is>
      </c>
      <c r="D14" t="n">
        <v>31999</v>
      </c>
      <c r="E14" t="n">
        <v>928.738976</v>
      </c>
      <c r="F14" t="n">
        <v>0.02353728541926292</v>
      </c>
    </row>
    <row r="15">
      <c r="A15" t="inlineStr">
        <is>
          <t>INE180A01020</t>
        </is>
      </c>
      <c r="B15" t="inlineStr">
        <is>
          <t>Max Financial Services Limited</t>
        </is>
      </c>
      <c r="C15" t="inlineStr">
        <is>
          <t>Insurance</t>
        </is>
      </c>
      <c r="D15" t="n">
        <v>52998</v>
      </c>
      <c r="E15" t="n">
        <v>902.0789579999999</v>
      </c>
      <c r="F15" t="n">
        <v>0.02286163330476752</v>
      </c>
    </row>
    <row r="16">
      <c r="A16" t="inlineStr">
        <is>
          <t>INE944F01028</t>
        </is>
      </c>
      <c r="B16" t="inlineStr">
        <is>
          <t>Radico Khaitan Limited</t>
        </is>
      </c>
      <c r="C16" t="inlineStr">
        <is>
          <t>Beverages</t>
        </is>
      </c>
      <c r="D16" t="n">
        <v>28099</v>
      </c>
      <c r="E16" t="n">
        <v>901.444019</v>
      </c>
      <c r="F16" t="n">
        <v>0.02284554187234893</v>
      </c>
    </row>
    <row r="17">
      <c r="A17" t="inlineStr">
        <is>
          <t>INE061F01013</t>
        </is>
      </c>
      <c r="B17" t="inlineStr">
        <is>
          <t>Fortis Healthcare Limited</t>
        </is>
      </c>
      <c r="C17" t="inlineStr">
        <is>
          <t>Healthcare Services</t>
        </is>
      </c>
      <c r="D17" t="n">
        <v>89000</v>
      </c>
      <c r="E17" t="n">
        <v>817.999</v>
      </c>
      <c r="F17" t="n">
        <v>0.02073077197491456</v>
      </c>
    </row>
    <row r="18">
      <c r="A18" t="inlineStr">
        <is>
          <t>INE721A01047</t>
        </is>
      </c>
      <c r="B18" t="inlineStr">
        <is>
          <t>Shriram Finance Limited</t>
        </is>
      </c>
      <c r="C18" t="inlineStr">
        <is>
          <t>Finance</t>
        </is>
      </c>
      <c r="D18" t="n">
        <v>94500</v>
      </c>
      <c r="E18" t="n">
        <v>804.80925</v>
      </c>
      <c r="F18" t="n">
        <v>0.02039650053979529</v>
      </c>
    </row>
    <row r="19">
      <c r="A19" t="inlineStr">
        <is>
          <t>INE158A01026</t>
        </is>
      </c>
      <c r="B19" t="inlineStr">
        <is>
          <t>Hero MotoCorp Limited</t>
        </is>
      </c>
      <c r="C19" t="inlineStr">
        <is>
          <t>Automobiles</t>
        </is>
      </c>
      <c r="D19" t="n">
        <v>12750</v>
      </c>
      <c r="E19" t="n">
        <v>787.24875</v>
      </c>
      <c r="F19" t="n">
        <v>0.01995145999418889</v>
      </c>
    </row>
    <row r="20">
      <c r="A20" t="inlineStr">
        <is>
          <t>INE002A01018</t>
        </is>
      </c>
      <c r="B20" t="inlineStr">
        <is>
          <t>Reliance Industries Limited</t>
        </is>
      </c>
      <c r="C20" t="inlineStr">
        <is>
          <t>Petroleum Products</t>
        </is>
      </c>
      <c r="D20" t="n">
        <v>50000</v>
      </c>
      <c r="E20" t="n">
        <v>783.75</v>
      </c>
      <c r="F20" t="n">
        <v>0.01986279021776223</v>
      </c>
    </row>
    <row r="21">
      <c r="A21" t="inlineStr">
        <is>
          <t>INE148O01028</t>
        </is>
      </c>
      <c r="B21" t="inlineStr">
        <is>
          <t>Delhivery Limited</t>
        </is>
      </c>
      <c r="C21" t="inlineStr">
        <is>
          <t>Transport Services</t>
        </is>
      </c>
      <c r="D21" t="n">
        <v>167500</v>
      </c>
      <c r="E21" t="n">
        <v>713.885</v>
      </c>
      <c r="F21" t="n">
        <v>0.01809218244925957</v>
      </c>
    </row>
    <row r="22">
      <c r="A22" t="inlineStr">
        <is>
          <t>INE169A01031</t>
        </is>
      </c>
      <c r="B22" t="inlineStr">
        <is>
          <t>Coromandel International Limited</t>
        </is>
      </c>
      <c r="C22" t="inlineStr">
        <is>
          <t>Fertilizers &amp; Agrochemicals</t>
        </is>
      </c>
      <c r="D22" t="n">
        <v>29472</v>
      </c>
      <c r="E22" t="n">
        <v>702.052512</v>
      </c>
      <c r="F22" t="n">
        <v>0.01779230847554578</v>
      </c>
    </row>
    <row r="23">
      <c r="A23" t="inlineStr">
        <is>
          <t>INE377N01017</t>
        </is>
      </c>
      <c r="B23" t="inlineStr">
        <is>
          <t>WAAREE ENERGIES LIMITED</t>
        </is>
      </c>
      <c r="C23" t="inlineStr">
        <is>
          <t>Electrical Equipment</t>
        </is>
      </c>
      <c r="D23" t="n">
        <v>21000</v>
      </c>
      <c r="E23" t="n">
        <v>666.225</v>
      </c>
      <c r="F23" t="n">
        <v>0.01688432205783559</v>
      </c>
    </row>
    <row r="24">
      <c r="A24" t="inlineStr">
        <is>
          <t>INE018A01030</t>
        </is>
      </c>
      <c r="B24" t="inlineStr">
        <is>
          <t>Larsen &amp; Toubro Limited</t>
        </is>
      </c>
      <c r="C24" t="inlineStr">
        <is>
          <t>Construction</t>
        </is>
      </c>
      <c r="D24" t="n">
        <v>16300</v>
      </c>
      <c r="E24" t="n">
        <v>663.3448</v>
      </c>
      <c r="F24" t="n">
        <v>0.01681132836292624</v>
      </c>
    </row>
    <row r="25">
      <c r="A25" t="inlineStr">
        <is>
          <t>INE417T01026</t>
        </is>
      </c>
      <c r="B25" t="inlineStr">
        <is>
          <t>PB Fintech Limited</t>
        </is>
      </c>
      <c r="C25" t="inlineStr">
        <is>
          <t>Financial Technology (Fintech)</t>
        </is>
      </c>
      <c r="D25" t="n">
        <v>35650</v>
      </c>
      <c r="E25" t="n">
        <v>648.43785</v>
      </c>
      <c r="F25" t="n">
        <v>0.01643353745940258</v>
      </c>
    </row>
    <row r="26">
      <c r="A26" t="inlineStr">
        <is>
          <t>INE298A01020</t>
        </is>
      </c>
      <c r="B26" t="inlineStr">
        <is>
          <t>Cummins India Limited</t>
        </is>
      </c>
      <c r="C26" t="inlineStr">
        <is>
          <t>Industrial Products</t>
        </is>
      </c>
      <c r="D26" t="n">
        <v>14200</v>
      </c>
      <c r="E26" t="n">
        <v>636.0606</v>
      </c>
      <c r="F26" t="n">
        <v>0.01611985743359997</v>
      </c>
    </row>
    <row r="27">
      <c r="A27" t="inlineStr">
        <is>
          <t>INE067A01029</t>
        </is>
      </c>
      <c r="B27" t="inlineStr">
        <is>
          <t>CG Power And Industrial Solutions Ltd</t>
        </is>
      </c>
      <c r="C27" t="inlineStr">
        <is>
          <t>Electrical Equipment</t>
        </is>
      </c>
      <c r="D27" t="n">
        <v>93465</v>
      </c>
      <c r="E27" t="n">
        <v>628.925985</v>
      </c>
      <c r="F27" t="n">
        <v>0.01593904293786855</v>
      </c>
    </row>
    <row r="28">
      <c r="A28" t="inlineStr">
        <is>
          <t>INE371P01015</t>
        </is>
      </c>
      <c r="B28" t="inlineStr">
        <is>
          <t>Amber Enterprises India Limited</t>
        </is>
      </c>
      <c r="C28" t="inlineStr">
        <is>
          <t>Consumer Durables</t>
        </is>
      </c>
      <c r="D28" t="n">
        <v>8549</v>
      </c>
      <c r="E28" t="n">
        <v>613.90369</v>
      </c>
      <c r="F28" t="n">
        <v>0.01555832881452011</v>
      </c>
    </row>
    <row r="29">
      <c r="A29" t="inlineStr">
        <is>
          <t>INE062A01020</t>
        </is>
      </c>
      <c r="B29" t="inlineStr">
        <is>
          <t>State Bank of India</t>
        </is>
      </c>
      <c r="C29" t="inlineStr">
        <is>
          <t>Banks</t>
        </is>
      </c>
      <c r="D29" t="n">
        <v>62000</v>
      </c>
      <c r="E29" t="n">
        <v>606.98</v>
      </c>
      <c r="F29" t="n">
        <v>0.0153828598486473</v>
      </c>
    </row>
    <row r="30">
      <c r="A30" t="inlineStr">
        <is>
          <t>INE205A01025</t>
        </is>
      </c>
      <c r="B30" t="inlineStr">
        <is>
          <t>Vedanta Limited</t>
        </is>
      </c>
      <c r="C30" t="inlineStr">
        <is>
          <t>Diversified Metals</t>
        </is>
      </c>
      <c r="D30" t="n">
        <v>114000</v>
      </c>
      <c r="E30" t="n">
        <v>599.64</v>
      </c>
      <c r="F30" t="n">
        <v>0.01519684022478972</v>
      </c>
    </row>
    <row r="31">
      <c r="A31" t="inlineStr">
        <is>
          <t>INE101A01026</t>
        </is>
      </c>
      <c r="B31" t="inlineStr">
        <is>
          <t>Mahindra &amp; Mahindra Limited</t>
        </is>
      </c>
      <c r="C31" t="inlineStr">
        <is>
          <t>Automobiles</t>
        </is>
      </c>
      <c r="D31" t="n">
        <v>15900</v>
      </c>
      <c r="E31" t="n">
        <v>597.4107</v>
      </c>
      <c r="F31" t="n">
        <v>0.01514034246627941</v>
      </c>
    </row>
    <row r="32">
      <c r="A32" t="inlineStr">
        <is>
          <t>INE013P01021</t>
        </is>
      </c>
      <c r="B32" t="inlineStr">
        <is>
          <t>One Source Specialty Pharma Ltd</t>
        </is>
      </c>
      <c r="C32" t="inlineStr">
        <is>
          <t>Pharmaceuticals &amp; Biotechnology</t>
        </is>
      </c>
      <c r="D32" t="n">
        <v>38649</v>
      </c>
      <c r="E32" t="n">
        <v>592.179978</v>
      </c>
      <c r="F32" t="n">
        <v>0.01500777885061953</v>
      </c>
    </row>
    <row r="33">
      <c r="A33" t="inlineStr">
        <is>
          <t>INE338I01027</t>
        </is>
      </c>
      <c r="B33" t="inlineStr">
        <is>
          <t>Motilal Oswal Financial Services</t>
        </is>
      </c>
      <c r="C33" t="inlineStr">
        <is>
          <t>Capital Markets</t>
        </is>
      </c>
      <c r="D33" t="n">
        <v>61700</v>
      </c>
      <c r="E33" t="n">
        <v>591.98065</v>
      </c>
      <c r="F33" t="n">
        <v>0.01500272722669796</v>
      </c>
    </row>
    <row r="34">
      <c r="A34" t="inlineStr">
        <is>
          <t>INE646L01027</t>
        </is>
      </c>
      <c r="B34" t="inlineStr">
        <is>
          <t>InterGlobe Aviation Limited</t>
        </is>
      </c>
      <c r="C34" t="inlineStr">
        <is>
          <t>Transport Services</t>
        </is>
      </c>
      <c r="D34" t="n">
        <v>10000</v>
      </c>
      <c r="E34" t="n">
        <v>590.15</v>
      </c>
      <c r="F34" t="n">
        <v>0.01495633256397114</v>
      </c>
    </row>
    <row r="35">
      <c r="A35" t="inlineStr">
        <is>
          <t>INE685A01028</t>
        </is>
      </c>
      <c r="B35" t="inlineStr">
        <is>
          <t>Torrent Pharmaceuticals Limited</t>
        </is>
      </c>
      <c r="C35" t="inlineStr">
        <is>
          <t>Pharmaceuticals &amp; Biotechnology</t>
        </is>
      </c>
      <c r="D35" t="n">
        <v>15702</v>
      </c>
      <c r="E35" t="n">
        <v>584.208612</v>
      </c>
      <c r="F35" t="n">
        <v>0.0148057583458578</v>
      </c>
    </row>
    <row r="36">
      <c r="A36" t="inlineStr">
        <is>
          <t>INE127D01025</t>
        </is>
      </c>
      <c r="B36" t="inlineStr">
        <is>
          <t>HDFC Asset Management Company Limited</t>
        </is>
      </c>
      <c r="C36" t="inlineStr">
        <is>
          <t>Capital Markets</t>
        </is>
      </c>
      <c r="D36" t="n">
        <v>21400</v>
      </c>
      <c r="E36" t="n">
        <v>572.022</v>
      </c>
      <c r="F36" t="n">
        <v>0.01449690971093434</v>
      </c>
    </row>
    <row r="37">
      <c r="A37" t="inlineStr">
        <is>
          <t>INE935N01020</t>
        </is>
      </c>
      <c r="B37" t="inlineStr">
        <is>
          <t>Dixon Technologies (India) Limited</t>
        </is>
      </c>
      <c r="C37" t="inlineStr">
        <is>
          <t>Consumer Durables</t>
        </is>
      </c>
      <c r="D37" t="n">
        <v>3900</v>
      </c>
      <c r="E37" t="n">
        <v>569.439</v>
      </c>
      <c r="F37" t="n">
        <v>0.01443144803676211</v>
      </c>
    </row>
    <row r="38">
      <c r="A38" t="inlineStr">
        <is>
          <t>INE263A01024</t>
        </is>
      </c>
      <c r="B38" t="inlineStr">
        <is>
          <t>Bharat Electronics Limited</t>
        </is>
      </c>
      <c r="C38" t="inlineStr">
        <is>
          <t>Aerospace &amp; Defense</t>
        </is>
      </c>
      <c r="D38" t="n">
        <v>137351</v>
      </c>
      <c r="E38" t="n">
        <v>565.5427425</v>
      </c>
      <c r="F38" t="n">
        <v>0.01433270411924137</v>
      </c>
    </row>
    <row r="39">
      <c r="A39" t="inlineStr">
        <is>
          <t>INE455K01017</t>
        </is>
      </c>
      <c r="B39" t="inlineStr">
        <is>
          <t>Polycab India Limited</t>
        </is>
      </c>
      <c r="C39" t="inlineStr">
        <is>
          <t>Industrial Products</t>
        </is>
      </c>
      <c r="D39" t="n">
        <v>7510</v>
      </c>
      <c r="E39" t="n">
        <v>560.997</v>
      </c>
      <c r="F39" t="n">
        <v>0.0142175001260529</v>
      </c>
    </row>
    <row r="40">
      <c r="A40" t="inlineStr">
        <is>
          <t>INE121E01018</t>
        </is>
      </c>
      <c r="B40" t="inlineStr">
        <is>
          <t>JSW Energy Limited</t>
        </is>
      </c>
      <c r="C40" t="inlineStr">
        <is>
          <t>Power</t>
        </is>
      </c>
      <c r="D40" t="n">
        <v>114000</v>
      </c>
      <c r="E40" t="n">
        <v>557.061</v>
      </c>
      <c r="F40" t="n">
        <v>0.01411774900350475</v>
      </c>
    </row>
    <row r="41">
      <c r="A41" t="inlineStr">
        <is>
          <t>INE290S01011</t>
        </is>
      </c>
      <c r="B41" t="inlineStr">
        <is>
          <t>CarTrade Tech Limited</t>
        </is>
      </c>
      <c r="C41" t="inlineStr">
        <is>
          <t>Retailing</t>
        </is>
      </c>
      <c r="D41" t="n">
        <v>18000</v>
      </c>
      <c r="E41" t="n">
        <v>555.7859999999999</v>
      </c>
      <c r="F41" t="n">
        <v>0.01408543633042322</v>
      </c>
    </row>
    <row r="42">
      <c r="A42" t="inlineStr">
        <is>
          <t>INE742F01042</t>
        </is>
      </c>
      <c r="B42" t="inlineStr">
        <is>
          <t>Adani Port &amp; Special Economic Zone Ltd</t>
        </is>
      </c>
      <c r="C42" t="inlineStr">
        <is>
          <t>Transport Infrastructure</t>
        </is>
      </c>
      <c r="D42" t="n">
        <v>35900</v>
      </c>
      <c r="E42" t="n">
        <v>544.5671</v>
      </c>
      <c r="F42" t="n">
        <v>0.01380111268490609</v>
      </c>
    </row>
    <row r="43">
      <c r="A43" t="inlineStr">
        <is>
          <t>INE383A01012</t>
        </is>
      </c>
      <c r="B43" t="inlineStr">
        <is>
          <t>INDIA CEMENTS LTD</t>
        </is>
      </c>
      <c r="C43" t="inlineStr">
        <is>
          <t>Cement &amp; Cement Products</t>
        </is>
      </c>
      <c r="D43" t="n">
        <v>135000</v>
      </c>
      <c r="E43" t="n">
        <v>530.28</v>
      </c>
      <c r="F43" t="n">
        <v>0.01343903080915465</v>
      </c>
    </row>
    <row r="44">
      <c r="A44" t="inlineStr">
        <is>
          <t>INE089A01031</t>
        </is>
      </c>
      <c r="B44" t="inlineStr">
        <is>
          <t>Dr. Reddy's Laboratories Limited</t>
        </is>
      </c>
      <c r="C44" t="inlineStr">
        <is>
          <t>Pharmaceuticals &amp; Biotechnology</t>
        </is>
      </c>
      <c r="D44" t="n">
        <v>41950</v>
      </c>
      <c r="E44" t="n">
        <v>528.0666</v>
      </c>
      <c r="F44" t="n">
        <v>0.01338293600868512</v>
      </c>
    </row>
    <row r="45">
      <c r="A45" t="inlineStr">
        <is>
          <t>INE196A01026</t>
        </is>
      </c>
      <c r="B45" t="inlineStr">
        <is>
          <t>Marico Limited</t>
        </is>
      </c>
      <c r="C45" t="inlineStr">
        <is>
          <t>Agricultural Food &amp; other Products</t>
        </is>
      </c>
      <c r="D45" t="n">
        <v>73500</v>
      </c>
      <c r="E45" t="n">
        <v>527.289</v>
      </c>
      <c r="F45" t="n">
        <v>0.01336322907959634</v>
      </c>
    </row>
    <row r="46">
      <c r="A46" t="inlineStr">
        <is>
          <t>INE0DYJ01015</t>
        </is>
      </c>
      <c r="B46" t="inlineStr">
        <is>
          <t>SYRMA SGS TECHNOLOGY LIMITED</t>
        </is>
      </c>
      <c r="C46" t="inlineStr">
        <is>
          <t>Industrial Manufacturing</t>
        </is>
      </c>
      <c r="D46" t="n">
        <v>62835</v>
      </c>
      <c r="E46" t="n">
        <v>515.4040874999999</v>
      </c>
      <c r="F46" t="n">
        <v>0.01306202649746688</v>
      </c>
    </row>
    <row r="47">
      <c r="A47" t="inlineStr">
        <is>
          <t>INE066F01020</t>
        </is>
      </c>
      <c r="B47" t="inlineStr">
        <is>
          <t>Hindustan Aeronautics Limited</t>
        </is>
      </c>
      <c r="C47" t="inlineStr">
        <is>
          <t>Aerospace &amp; Defense</t>
        </is>
      </c>
      <c r="D47" t="n">
        <v>11300</v>
      </c>
      <c r="E47" t="n">
        <v>513.2912</v>
      </c>
      <c r="F47" t="n">
        <v>0.01300847901272528</v>
      </c>
    </row>
    <row r="48">
      <c r="A48" t="inlineStr">
        <is>
          <t>INE956O01016</t>
        </is>
      </c>
      <c r="B48" t="inlineStr">
        <is>
          <t>Lenskart Solutions Limited</t>
        </is>
      </c>
      <c r="C48" t="inlineStr">
        <is>
          <t>Retailing</t>
        </is>
      </c>
      <c r="D48" t="n">
        <v>124835</v>
      </c>
      <c r="E48" t="n">
        <v>512.3852575</v>
      </c>
      <c r="F48" t="n">
        <v>0.01298551946462084</v>
      </c>
    </row>
    <row r="49">
      <c r="A49" t="inlineStr">
        <is>
          <t>INE585B01010</t>
        </is>
      </c>
      <c r="B49" t="inlineStr">
        <is>
          <t>Maruti Suzuki India Limited</t>
        </is>
      </c>
      <c r="C49" t="inlineStr">
        <is>
          <t>Automobiles</t>
        </is>
      </c>
      <c r="D49" t="n">
        <v>3000</v>
      </c>
      <c r="E49" t="n">
        <v>477</v>
      </c>
      <c r="F49" t="n">
        <v>0.01208874122344189</v>
      </c>
    </row>
    <row r="50">
      <c r="A50" t="inlineStr">
        <is>
          <t>INE669C01036</t>
        </is>
      </c>
      <c r="B50" t="inlineStr">
        <is>
          <t>Tech Mahindra Limited</t>
        </is>
      </c>
      <c r="C50" t="inlineStr">
        <is>
          <t>IT - Software</t>
        </is>
      </c>
      <c r="D50" t="n">
        <v>31300</v>
      </c>
      <c r="E50" t="n">
        <v>474.9149</v>
      </c>
      <c r="F50" t="n">
        <v>0.01203589796489892</v>
      </c>
    </row>
    <row r="51">
      <c r="A51" t="inlineStr">
        <is>
          <t>INE494B01023</t>
        </is>
      </c>
      <c r="B51" t="inlineStr">
        <is>
          <t>TVS Motor Company Limited</t>
        </is>
      </c>
      <c r="C51" t="inlineStr">
        <is>
          <t>Automobiles</t>
        </is>
      </c>
      <c r="D51" t="n">
        <v>13300</v>
      </c>
      <c r="E51" t="n">
        <v>469.6895</v>
      </c>
      <c r="F51" t="n">
        <v>0.01190346922613797</v>
      </c>
    </row>
    <row r="52">
      <c r="A52" t="inlineStr">
        <is>
          <t>INE128S01021</t>
        </is>
      </c>
      <c r="B52" t="inlineStr">
        <is>
          <t>FIVE-STAR BUSINESS FINANCE LIMITED</t>
        </is>
      </c>
      <c r="C52" t="inlineStr">
        <is>
          <t>Finance</t>
        </is>
      </c>
      <c r="D52" t="n">
        <v>79000</v>
      </c>
      <c r="E52" t="n">
        <v>466.811</v>
      </c>
      <c r="F52" t="n">
        <v>0.01183051861479273</v>
      </c>
    </row>
    <row r="53">
      <c r="A53" t="inlineStr">
        <is>
          <t>INE085001019</t>
        </is>
      </c>
      <c r="B53" t="inlineStr">
        <is>
          <t>WeWork India Management Limited</t>
        </is>
      </c>
      <c r="C53" t="inlineStr">
        <is>
          <t>Commercial Services &amp; Supplies</t>
        </is>
      </c>
      <c r="D53" t="n">
        <v>75776</v>
      </c>
      <c r="E53" t="n">
        <v>453.405696</v>
      </c>
      <c r="F53" t="n">
        <v>0.01149078433580412</v>
      </c>
    </row>
    <row r="54">
      <c r="A54" t="inlineStr">
        <is>
          <t>INE200A01026</t>
        </is>
      </c>
      <c r="B54" t="inlineStr">
        <is>
          <t>GE Vernova T&amp;D India Limited</t>
        </is>
      </c>
      <c r="C54" t="inlineStr">
        <is>
          <t>Electrical Equipment</t>
        </is>
      </c>
      <c r="D54" t="n">
        <v>15649</v>
      </c>
      <c r="E54" t="n">
        <v>450.910286</v>
      </c>
      <c r="F54" t="n">
        <v>0.01142754247891441</v>
      </c>
    </row>
    <row r="55">
      <c r="A55" t="inlineStr">
        <is>
          <t>INE758T01015</t>
        </is>
      </c>
      <c r="B55" t="inlineStr">
        <is>
          <t>Eternal Limited</t>
        </is>
      </c>
      <c r="C55" t="inlineStr">
        <is>
          <t>Retailing</t>
        </is>
      </c>
      <c r="D55" t="n">
        <v>150000</v>
      </c>
      <c r="E55" t="n">
        <v>450.15</v>
      </c>
      <c r="F55" t="n">
        <v>0.01140827434325444</v>
      </c>
    </row>
    <row r="56">
      <c r="A56" t="inlineStr">
        <is>
          <t>INE749A01030</t>
        </is>
      </c>
      <c r="B56" t="inlineStr">
        <is>
          <t>Jindal Steel &amp; Power Limited</t>
        </is>
      </c>
      <c r="C56" t="inlineStr">
        <is>
          <t>Ferrous Metals</t>
        </is>
      </c>
      <c r="D56" t="n">
        <v>43000</v>
      </c>
      <c r="E56" t="n">
        <v>449.092</v>
      </c>
      <c r="F56" t="n">
        <v>0.01138146116041502</v>
      </c>
    </row>
    <row r="57">
      <c r="A57" t="inlineStr">
        <is>
          <t>INE200M01039</t>
        </is>
      </c>
      <c r="B57" t="inlineStr">
        <is>
          <t>Varun Beverages Limited</t>
        </is>
      </c>
      <c r="C57" t="inlineStr">
        <is>
          <t>Beverages</t>
        </is>
      </c>
      <c r="D57" t="n">
        <v>90000</v>
      </c>
      <c r="E57" t="n">
        <v>433.395</v>
      </c>
      <c r="F57" t="n">
        <v>0.01098364780405367</v>
      </c>
    </row>
    <row r="58">
      <c r="A58" t="inlineStr">
        <is>
          <t>INE0KBH01020</t>
        </is>
      </c>
      <c r="B58" t="inlineStr">
        <is>
          <t>Blue Jet Healthcare Ltd</t>
        </is>
      </c>
      <c r="C58" t="inlineStr">
        <is>
          <t>Pharmaceuticals &amp; Biotechnology</t>
        </is>
      </c>
      <c r="D58" t="n">
        <v>67900</v>
      </c>
      <c r="E58" t="n">
        <v>392.76755</v>
      </c>
      <c r="F58" t="n">
        <v>0.009954015247201834</v>
      </c>
    </row>
    <row r="59">
      <c r="A59" t="inlineStr">
        <is>
          <t>INE849A01020</t>
        </is>
      </c>
      <c r="B59" t="inlineStr">
        <is>
          <t>Trent Limited</t>
        </is>
      </c>
      <c r="C59" t="inlineStr">
        <is>
          <t>Retailing</t>
        </is>
      </c>
      <c r="D59" t="n">
        <v>8700</v>
      </c>
      <c r="E59" t="n">
        <v>369.7848</v>
      </c>
      <c r="F59" t="n">
        <v>0.00937155713954343</v>
      </c>
    </row>
    <row r="60">
      <c r="A60" t="inlineStr">
        <is>
          <t>INE271C01023</t>
        </is>
      </c>
      <c r="B60" t="inlineStr">
        <is>
          <t>DLF Limited</t>
        </is>
      </c>
      <c r="C60" t="inlineStr">
        <is>
          <t>Realty</t>
        </is>
      </c>
      <c r="D60" t="n">
        <v>47000</v>
      </c>
      <c r="E60" t="n">
        <v>340.092</v>
      </c>
      <c r="F60" t="n">
        <v>0.008619044402857025</v>
      </c>
    </row>
    <row r="61">
      <c r="A61" t="inlineStr">
        <is>
          <t>INE093I01010</t>
        </is>
      </c>
      <c r="B61" t="inlineStr">
        <is>
          <t>Oberoi Realty Limited</t>
        </is>
      </c>
      <c r="C61" t="inlineStr">
        <is>
          <t>Realty</t>
        </is>
      </c>
      <c r="D61" t="n">
        <v>20000</v>
      </c>
      <c r="E61" t="n">
        <v>329.44</v>
      </c>
      <c r="F61" t="n">
        <v>0.008349087858806493</v>
      </c>
    </row>
    <row r="62">
      <c r="B62" t="inlineStr">
        <is>
          <t>Sub Total</t>
        </is>
      </c>
      <c r="E62">
        <f>SUM(E6:E61)</f>
        <v/>
      </c>
      <c r="F62">
        <f>SUM(F6:F61)</f>
        <v/>
      </c>
    </row>
    <row r="63">
      <c r="B63" t="inlineStr">
        <is>
          <t>(b) Unlisted</t>
        </is>
      </c>
      <c r="E63" t="inlineStr">
        <is>
          <t>NIL</t>
        </is>
      </c>
      <c r="F63" t="inlineStr">
        <is>
          <t>NIL</t>
        </is>
      </c>
    </row>
    <row r="64">
      <c r="B64" t="inlineStr">
        <is>
          <t>Total</t>
        </is>
      </c>
      <c r="E64">
        <f>+E62</f>
        <v/>
      </c>
      <c r="F64">
        <f>+F62</f>
        <v/>
      </c>
    </row>
    <row r="65"/>
    <row r="66">
      <c r="B66" t="inlineStr">
        <is>
          <t>DEBT INSTRUMENTS</t>
        </is>
      </c>
    </row>
    <row r="67">
      <c r="B67" t="inlineStr">
        <is>
          <t>(a) Listed / awaiting listing on Stock Exchanges</t>
        </is>
      </c>
      <c r="E67" t="inlineStr">
        <is>
          <t>NIL</t>
        </is>
      </c>
      <c r="F67" t="inlineStr">
        <is>
          <t>NIL</t>
        </is>
      </c>
    </row>
    <row r="68">
      <c r="B68" t="inlineStr">
        <is>
          <t>Sub Total</t>
        </is>
      </c>
      <c r="E68" t="inlineStr">
        <is>
          <t>NIL</t>
        </is>
      </c>
      <c r="F68" t="inlineStr">
        <is>
          <t>NIL</t>
        </is>
      </c>
    </row>
    <row r="69">
      <c r="B69" t="inlineStr">
        <is>
          <t>(b) Privately placed / Unlisted</t>
        </is>
      </c>
      <c r="E69" t="inlineStr">
        <is>
          <t>NIL</t>
        </is>
      </c>
      <c r="F69" t="inlineStr">
        <is>
          <t>NIL</t>
        </is>
      </c>
    </row>
    <row r="70">
      <c r="B70" t="inlineStr">
        <is>
          <t>Sub Total</t>
        </is>
      </c>
      <c r="E70" t="inlineStr">
        <is>
          <t>NIL</t>
        </is>
      </c>
      <c r="F70" t="inlineStr">
        <is>
          <t>NIL</t>
        </is>
      </c>
    </row>
    <row r="71">
      <c r="B71" t="inlineStr">
        <is>
          <t>(c) Securitized Debt Instruments</t>
        </is>
      </c>
      <c r="E71" t="inlineStr">
        <is>
          <t>NIL</t>
        </is>
      </c>
      <c r="F71" t="inlineStr">
        <is>
          <t>NIL</t>
        </is>
      </c>
    </row>
    <row r="72">
      <c r="B72" t="inlineStr">
        <is>
          <t>Sub Total</t>
        </is>
      </c>
      <c r="E72" t="inlineStr">
        <is>
          <t>NIL</t>
        </is>
      </c>
      <c r="F72" t="inlineStr">
        <is>
          <t>NIL</t>
        </is>
      </c>
    </row>
    <row r="73">
      <c r="B73" t="inlineStr">
        <is>
          <t>(d) Government Securities / SDL</t>
        </is>
      </c>
      <c r="E73" t="inlineStr">
        <is>
          <t>NIL</t>
        </is>
      </c>
      <c r="F73" t="inlineStr">
        <is>
          <t>NIL</t>
        </is>
      </c>
    </row>
    <row r="74">
      <c r="B74" t="inlineStr">
        <is>
          <t>Sub Total</t>
        </is>
      </c>
      <c r="E74" t="inlineStr">
        <is>
          <t>NIL</t>
        </is>
      </c>
      <c r="F74" t="inlineStr">
        <is>
          <t>NIL</t>
        </is>
      </c>
    </row>
    <row r="75">
      <c r="B75" t="inlineStr">
        <is>
          <t>Total</t>
        </is>
      </c>
      <c r="E75" t="inlineStr">
        <is>
          <t>NIL</t>
        </is>
      </c>
      <c r="F75" t="inlineStr">
        <is>
          <t>NIL</t>
        </is>
      </c>
    </row>
    <row r="76"/>
    <row r="77">
      <c r="B77" t="inlineStr">
        <is>
          <t>MONEY MARKET INSTRUMENTS</t>
        </is>
      </c>
    </row>
    <row r="78">
      <c r="B78" t="inlineStr">
        <is>
          <t>Total</t>
        </is>
      </c>
      <c r="E78" t="inlineStr">
        <is>
          <t>NIL</t>
        </is>
      </c>
      <c r="F78" t="inlineStr">
        <is>
          <t>NIL</t>
        </is>
      </c>
    </row>
    <row r="79"/>
    <row r="80">
      <c r="A80" t="inlineStr">
        <is>
          <t>INE494B04019</t>
        </is>
      </c>
      <c r="B80" t="inlineStr">
        <is>
          <t>6% TVS Motor Co Ltd. Pref Share</t>
        </is>
      </c>
      <c r="C80" t="inlineStr">
        <is>
          <t>CARE A1+</t>
        </is>
      </c>
      <c r="D80" t="n">
        <v>84000</v>
      </c>
      <c r="E80" t="n">
        <v>8.518104000000001</v>
      </c>
      <c r="F80" t="n">
        <v>0.0002</v>
      </c>
      <c r="G80" s="1" t="n">
        <v>46266</v>
      </c>
      <c r="I80" t="n">
        <v>0.06035</v>
      </c>
    </row>
    <row r="81">
      <c r="B81" t="inlineStr">
        <is>
          <t>Total</t>
        </is>
      </c>
      <c r="E81">
        <f>+E80</f>
        <v/>
      </c>
      <c r="F81">
        <f>+F80</f>
        <v/>
      </c>
    </row>
    <row r="82"/>
    <row r="83">
      <c r="B83" t="inlineStr">
        <is>
          <t>TREPS / Reverse Repo Investments / Corporate Debt Repo</t>
        </is>
      </c>
    </row>
    <row r="84">
      <c r="B84" t="inlineStr">
        <is>
          <t>CCIL</t>
        </is>
      </c>
      <c r="D84" t="n">
        <v>10304.159</v>
      </c>
      <c r="E84" t="n">
        <v>1030.4159</v>
      </c>
      <c r="F84" t="n">
        <v>0.02611411146251568</v>
      </c>
      <c r="G84" t="inlineStr">
        <is>
          <t>01-DEC-2025</t>
        </is>
      </c>
      <c r="I84" t="n">
        <v>0.0543101</v>
      </c>
    </row>
    <row r="85">
      <c r="B85" t="inlineStr">
        <is>
          <t>Total</t>
        </is>
      </c>
      <c r="E85" t="n">
        <v>1030.4159</v>
      </c>
      <c r="F85" t="n">
        <v>0.02611411146251568</v>
      </c>
    </row>
    <row r="86"/>
    <row r="87">
      <c r="B87" t="inlineStr">
        <is>
          <t>Cash &amp; Cash Equivalents</t>
        </is>
      </c>
    </row>
    <row r="88">
      <c r="B88" t="inlineStr">
        <is>
          <t>Net Receivable/Payable</t>
        </is>
      </c>
      <c r="E88" t="n">
        <v>171.1181156</v>
      </c>
      <c r="F88" t="n">
        <v>0.00433669311977236</v>
      </c>
    </row>
    <row r="89">
      <c r="B89" t="inlineStr">
        <is>
          <t>Total</t>
        </is>
      </c>
      <c r="E89" t="n">
        <v>171.1181156</v>
      </c>
      <c r="F89" t="n">
        <v>0.00433669311977236</v>
      </c>
    </row>
    <row r="90">
      <c r="B90" t="inlineStr">
        <is>
          <t>Grand Total</t>
        </is>
      </c>
      <c r="E90" t="n">
        <v>39458.2025691</v>
      </c>
      <c r="F90" t="n">
        <v>1</v>
      </c>
    </row>
    <row r="91"/>
    <row r="92">
      <c r="A92" t="inlineStr">
        <is>
          <t># awaiting listing on Stock Exchanges</t>
        </is>
      </c>
    </row>
    <row r="93"/>
    <row r="94">
      <c r="A94" t="inlineStr">
        <is>
          <t>Number of Instances of Deviation In valuation Of Securities as per Sebi circular ref no SEBI/HO/IMD/DF4/CIR/P/2019/102 dated September 24, 2019- Nil</t>
        </is>
      </c>
    </row>
    <row r="95">
      <c r="A95" t="inlineStr">
        <is>
          <t>^ YTC i.e. Yield to Call is disclosed at security level only for Additional Tier 1 Bonds and Tier 2 Bonds issued by Banks as per AMFI Best Practices Notification 135/BP/91/2020-21 read with SEBI circular SEBI/HO/IMD/DF4/CIR/P/2021/034</t>
        </is>
      </c>
    </row>
    <row r="96">
      <c r="A96" t="inlineStr">
        <is>
          <t>Where the scheme has invested in floating rate instruments and / or interest rate derivatives, the following disclaimer may be read in regard to such investment;</t>
        </is>
      </c>
    </row>
    <row r="97">
      <c r="A97"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98"/>
    <row r="99">
      <c r="A99" t="inlineStr">
        <is>
          <t>This Product is suitable for investors who are seeking*</t>
        </is>
      </c>
    </row>
    <row r="100">
      <c r="A100" t="inlineStr">
        <is>
          <t>• Capital appreciation over Long Term.</t>
        </is>
      </c>
    </row>
    <row r="101">
      <c r="A101" t="inlineStr">
        <is>
          <t>• Investment predominantly in Equity &amp; Equity related securities in the Large Cap segment.</t>
        </is>
      </c>
    </row>
    <row r="102">
      <c r="A102" t="inlineStr">
        <is>
          <t>*Investors should consult their financial advisers if in doubt about whether the product is suitable for them.</t>
        </is>
      </c>
    </row>
    <row r="103"/>
    <row r="104">
      <c r="A104" t="inlineStr">
        <is>
          <t xml:space="preserve">                                    Riskometer of the scheme </t>
        </is>
      </c>
      <c r="C104" t="inlineStr">
        <is>
          <t xml:space="preserve">                   Nifty Large Midcap 250 TRI</t>
        </is>
      </c>
    </row>
    <row r="105"/>
    <row r="106"/>
    <row r="107"/>
    <row r="108"/>
    <row r="109"/>
    <row r="110"/>
    <row r="111"/>
    <row r="112"/>
    <row r="113"/>
    <row r="114"/>
    <row r="115">
      <c r="A115" t="inlineStr">
        <is>
          <t xml:space="preserve">                      The risk of the scheme is Very High</t>
        </is>
      </c>
      <c r="C115" t="inlineStr">
        <is>
          <t xml:space="preserve">                  The risk of the benchmark is Very High </t>
        </is>
      </c>
    </row>
    <row r="116"/>
    <row r="117"/>
    <row r="118">
      <c r="A118" t="inlineStr">
        <is>
          <t>Scheme performance</t>
        </is>
      </c>
    </row>
    <row r="119">
      <c r="A119" t="inlineStr">
        <is>
          <t>This scheme is a new scheme and does not have any performance track record.</t>
        </is>
      </c>
    </row>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B1" t="inlineStr">
        <is>
          <t>JM Financial Mutual Fund</t>
        </is>
      </c>
    </row>
    <row r="2">
      <c r="B2" t="inlineStr">
        <is>
          <t>JM Midcap Fund (An open ended equity scheme predominantly investing in mid cap stocks.)</t>
        </is>
      </c>
    </row>
    <row r="3">
      <c r="B3" t="inlineStr">
        <is>
          <t>Monthly Portfolio Statement for the period ended 30.11.2025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INE591G01025</t>
        </is>
      </c>
      <c r="B7" t="inlineStr">
        <is>
          <t>Coforge Limited</t>
        </is>
      </c>
      <c r="C7" t="inlineStr">
        <is>
          <t>IT - Software</t>
        </is>
      </c>
      <c r="D7" t="n">
        <v>330000</v>
      </c>
      <c r="E7" t="n">
        <v>6298.71</v>
      </c>
      <c r="F7" t="n">
        <v>0.04271414689454349</v>
      </c>
    </row>
    <row r="8">
      <c r="A8" t="inlineStr">
        <is>
          <t>INE158A01026</t>
        </is>
      </c>
      <c r="B8" t="inlineStr">
        <is>
          <t>Hero MotoCorp Limited</t>
        </is>
      </c>
      <c r="C8" t="inlineStr">
        <is>
          <t>Automobiles</t>
        </is>
      </c>
      <c r="D8" t="n">
        <v>100000</v>
      </c>
      <c r="E8" t="n">
        <v>6174.5</v>
      </c>
      <c r="F8" t="n">
        <v>0.04187182772351145</v>
      </c>
    </row>
    <row r="9">
      <c r="A9" t="inlineStr">
        <is>
          <t>INE118H01025</t>
        </is>
      </c>
      <c r="B9" t="inlineStr">
        <is>
          <t>BSE Ltd</t>
        </is>
      </c>
      <c r="C9" t="inlineStr">
        <is>
          <t>Capital Markets</t>
        </is>
      </c>
      <c r="D9" t="n">
        <v>203500</v>
      </c>
      <c r="E9" t="n">
        <v>5906.384</v>
      </c>
      <c r="F9" t="n">
        <v>0.04005362269283415</v>
      </c>
    </row>
    <row r="10">
      <c r="A10" t="inlineStr">
        <is>
          <t>INE260B01028</t>
        </is>
      </c>
      <c r="B10" t="inlineStr">
        <is>
          <t>Godfrey Phillips India Limited</t>
        </is>
      </c>
      <c r="C10" t="inlineStr">
        <is>
          <t>Cigarettes &amp; Tobacco Products</t>
        </is>
      </c>
      <c r="D10" t="n">
        <v>190151</v>
      </c>
      <c r="E10" t="n">
        <v>5463.03823</v>
      </c>
      <c r="F10" t="n">
        <v>0.0370471124161498</v>
      </c>
    </row>
    <row r="11">
      <c r="A11" t="inlineStr">
        <is>
          <t>INE774D01024</t>
        </is>
      </c>
      <c r="B11" t="inlineStr">
        <is>
          <t>Mahindra &amp; Mahindra Financial Serv Ltd.</t>
        </is>
      </c>
      <c r="C11" t="inlineStr">
        <is>
          <t>Finance</t>
        </is>
      </c>
      <c r="D11" t="n">
        <v>1384955</v>
      </c>
      <c r="E11" t="n">
        <v>5149.9551675</v>
      </c>
      <c r="F11" t="n">
        <v>0.03492396721311321</v>
      </c>
    </row>
    <row r="12">
      <c r="A12" t="inlineStr">
        <is>
          <t>INE823G01014</t>
        </is>
      </c>
      <c r="B12" t="inlineStr">
        <is>
          <t>JK Cement Limited</t>
        </is>
      </c>
      <c r="C12" t="inlineStr">
        <is>
          <t>Cement &amp; Cement Products</t>
        </is>
      </c>
      <c r="D12" t="n">
        <v>74436</v>
      </c>
      <c r="E12" t="n">
        <v>4286.02488</v>
      </c>
      <c r="F12" t="n">
        <v>0.0290653000881114</v>
      </c>
    </row>
    <row r="13">
      <c r="A13" t="inlineStr">
        <is>
          <t>INE326A01037</t>
        </is>
      </c>
      <c r="B13" t="inlineStr">
        <is>
          <t>Lupin Limited</t>
        </is>
      </c>
      <c r="C13" t="inlineStr">
        <is>
          <t>Pharmaceuticals &amp; Biotechnology</t>
        </is>
      </c>
      <c r="D13" t="n">
        <v>200000</v>
      </c>
      <c r="E13" t="n">
        <v>4164.4</v>
      </c>
      <c r="F13" t="n">
        <v>0.02824051168058807</v>
      </c>
    </row>
    <row r="14">
      <c r="A14" t="inlineStr">
        <is>
          <t>INE338I01027</t>
        </is>
      </c>
      <c r="B14" t="inlineStr">
        <is>
          <t>Motilal Oswal Financial Services</t>
        </is>
      </c>
      <c r="C14" t="inlineStr">
        <is>
          <t>Capital Markets</t>
        </is>
      </c>
      <c r="D14" t="n">
        <v>402689</v>
      </c>
      <c r="E14" t="n">
        <v>3863.5996105</v>
      </c>
      <c r="F14" t="n">
        <v>0.026200660342292</v>
      </c>
    </row>
    <row r="15">
      <c r="A15" t="inlineStr">
        <is>
          <t>INE298A01020</t>
        </is>
      </c>
      <c r="B15" t="inlineStr">
        <is>
          <t>Cummins India Limited</t>
        </is>
      </c>
      <c r="C15" t="inlineStr">
        <is>
          <t>Industrial Products</t>
        </is>
      </c>
      <c r="D15" t="n">
        <v>80000</v>
      </c>
      <c r="E15" t="n">
        <v>3583.44</v>
      </c>
      <c r="F15" t="n">
        <v>0.02430078262815448</v>
      </c>
    </row>
    <row r="16">
      <c r="A16" t="inlineStr">
        <is>
          <t>INE974X01010</t>
        </is>
      </c>
      <c r="B16" t="inlineStr">
        <is>
          <t>TUBE INVESTMENTS OF INDIA LTD</t>
        </is>
      </c>
      <c r="C16" t="inlineStr">
        <is>
          <t>Auto Components</t>
        </is>
      </c>
      <c r="D16" t="n">
        <v>125000</v>
      </c>
      <c r="E16" t="n">
        <v>3480.5</v>
      </c>
      <c r="F16" t="n">
        <v>0.02360270408805273</v>
      </c>
    </row>
    <row r="17">
      <c r="A17" t="inlineStr">
        <is>
          <t>INE797F01020</t>
        </is>
      </c>
      <c r="B17" t="inlineStr">
        <is>
          <t>Jubilant Foodworks Limited</t>
        </is>
      </c>
      <c r="C17" t="inlineStr">
        <is>
          <t>Leisure Services</t>
        </is>
      </c>
      <c r="D17" t="n">
        <v>566388</v>
      </c>
      <c r="E17" t="n">
        <v>3406.82382</v>
      </c>
      <c r="F17" t="n">
        <v>0.02310307556488706</v>
      </c>
    </row>
    <row r="18">
      <c r="A18" t="inlineStr">
        <is>
          <t>INE562A01011</t>
        </is>
      </c>
      <c r="B18" t="inlineStr">
        <is>
          <t>Indian Bank</t>
        </is>
      </c>
      <c r="C18" t="inlineStr">
        <is>
          <t>Banks</t>
        </is>
      </c>
      <c r="D18" t="n">
        <v>370000</v>
      </c>
      <c r="E18" t="n">
        <v>3219.925</v>
      </c>
      <c r="F18" t="n">
        <v>0.02183563768444855</v>
      </c>
    </row>
    <row r="19">
      <c r="A19" t="inlineStr">
        <is>
          <t>INE196A01026</t>
        </is>
      </c>
      <c r="B19" t="inlineStr">
        <is>
          <t>Marico Limited</t>
        </is>
      </c>
      <c r="C19" t="inlineStr">
        <is>
          <t>Agricultural Food &amp; other Products</t>
        </is>
      </c>
      <c r="D19" t="n">
        <v>438255</v>
      </c>
      <c r="E19" t="n">
        <v>3144.04137</v>
      </c>
      <c r="F19" t="n">
        <v>0.02132103953360319</v>
      </c>
    </row>
    <row r="20">
      <c r="A20" t="inlineStr">
        <is>
          <t>INE00FF01025</t>
        </is>
      </c>
      <c r="B20" t="inlineStr">
        <is>
          <t>Acutaas Chemicals Limited</t>
        </is>
      </c>
      <c r="C20" t="inlineStr">
        <is>
          <t>Pharmaceuticals &amp; Biotechnology</t>
        </is>
      </c>
      <c r="D20" t="n">
        <v>170755</v>
      </c>
      <c r="E20" t="n">
        <v>3137.623125</v>
      </c>
      <c r="F20" t="n">
        <v>0.02127751477063821</v>
      </c>
    </row>
    <row r="21">
      <c r="A21" t="inlineStr">
        <is>
          <t>INE0LCL01028</t>
        </is>
      </c>
      <c r="B21" t="inlineStr">
        <is>
          <t>AVALON TECHNOLOGIES LIMITED</t>
        </is>
      </c>
      <c r="C21" t="inlineStr">
        <is>
          <t>Electrical Equipment</t>
        </is>
      </c>
      <c r="D21" t="n">
        <v>300000</v>
      </c>
      <c r="E21" t="n">
        <v>2906.1</v>
      </c>
      <c r="F21" t="n">
        <v>0.01970746109762679</v>
      </c>
    </row>
    <row r="22">
      <c r="A22" t="inlineStr">
        <is>
          <t>INE377N01017</t>
        </is>
      </c>
      <c r="B22" t="inlineStr">
        <is>
          <t>WAAREE ENERGIES LIMITED</t>
        </is>
      </c>
      <c r="C22" t="inlineStr">
        <is>
          <t>Electrical Equipment</t>
        </is>
      </c>
      <c r="D22" t="n">
        <v>91219</v>
      </c>
      <c r="E22" t="n">
        <v>2893.922775</v>
      </c>
      <c r="F22" t="n">
        <v>0.01962488231920741</v>
      </c>
    </row>
    <row r="23">
      <c r="A23" t="inlineStr">
        <is>
          <t>INE417T01026</t>
        </is>
      </c>
      <c r="B23" t="inlineStr">
        <is>
          <t>PB Fintech Limited</t>
        </is>
      </c>
      <c r="C23" t="inlineStr">
        <is>
          <t>Financial Technology (Fintech)</t>
        </is>
      </c>
      <c r="D23" t="n">
        <v>157044</v>
      </c>
      <c r="E23" t="n">
        <v>2856.473316</v>
      </c>
      <c r="F23" t="n">
        <v>0.01937092211261794</v>
      </c>
    </row>
    <row r="24">
      <c r="A24" t="inlineStr">
        <is>
          <t>INE034A01011</t>
        </is>
      </c>
      <c r="B24" t="inlineStr">
        <is>
          <t>Arvind Limited</t>
        </is>
      </c>
      <c r="C24" t="inlineStr">
        <is>
          <t>Textiles &amp; Apparels</t>
        </is>
      </c>
      <c r="D24" t="n">
        <v>792572</v>
      </c>
      <c r="E24" t="n">
        <v>2793.8163</v>
      </c>
      <c r="F24" t="n">
        <v>0.01894601907923527</v>
      </c>
    </row>
    <row r="25">
      <c r="A25" t="inlineStr">
        <is>
          <t>INE982J01020</t>
        </is>
      </c>
      <c r="B25" t="inlineStr">
        <is>
          <t>One 97 Communications Limited</t>
        </is>
      </c>
      <c r="C25" t="inlineStr">
        <is>
          <t>Financial Technology (Fintech)</t>
        </is>
      </c>
      <c r="D25" t="n">
        <v>207894</v>
      </c>
      <c r="E25" t="n">
        <v>2745.448164</v>
      </c>
      <c r="F25" t="n">
        <v>0.01861801482659953</v>
      </c>
    </row>
    <row r="26">
      <c r="A26" t="inlineStr">
        <is>
          <t>INE935A01035</t>
        </is>
      </c>
      <c r="B26" t="inlineStr">
        <is>
          <t>Glenmark Pharmaceuticals Limited</t>
        </is>
      </c>
      <c r="C26" t="inlineStr">
        <is>
          <t>Pharmaceuticals &amp; Biotechnology</t>
        </is>
      </c>
      <c r="D26" t="n">
        <v>140299</v>
      </c>
      <c r="E26" t="n">
        <v>2730.499138</v>
      </c>
      <c r="F26" t="n">
        <v>0.01851663932391813</v>
      </c>
    </row>
    <row r="27">
      <c r="A27" t="inlineStr">
        <is>
          <t>INE465A01025</t>
        </is>
      </c>
      <c r="B27" t="inlineStr">
        <is>
          <t>Bharat Forge Limited</t>
        </is>
      </c>
      <c r="C27" t="inlineStr">
        <is>
          <t>Auto Components</t>
        </is>
      </c>
      <c r="D27" t="n">
        <v>185000</v>
      </c>
      <c r="E27" t="n">
        <v>2652.53</v>
      </c>
      <c r="F27" t="n">
        <v>0.01798789848432194</v>
      </c>
    </row>
    <row r="28">
      <c r="A28" t="inlineStr">
        <is>
          <t>INE406A01037</t>
        </is>
      </c>
      <c r="B28" t="inlineStr">
        <is>
          <t>Aurobindo Pharma Limited</t>
        </is>
      </c>
      <c r="C28" t="inlineStr">
        <is>
          <t>Pharmaceuticals &amp; Biotechnology</t>
        </is>
      </c>
      <c r="D28" t="n">
        <v>207833</v>
      </c>
      <c r="E28" t="n">
        <v>2549.487411</v>
      </c>
      <c r="F28" t="n">
        <v>0.01728912424595566</v>
      </c>
    </row>
    <row r="29">
      <c r="A29" t="inlineStr">
        <is>
          <t>INE061F01013</t>
        </is>
      </c>
      <c r="B29" t="inlineStr">
        <is>
          <t>Fortis Healthcare Limited</t>
        </is>
      </c>
      <c r="C29" t="inlineStr">
        <is>
          <t>Healthcare Services</t>
        </is>
      </c>
      <c r="D29" t="n">
        <v>260000</v>
      </c>
      <c r="E29" t="n">
        <v>2389.66</v>
      </c>
      <c r="F29" t="n">
        <v>0.01620526874042698</v>
      </c>
    </row>
    <row r="30">
      <c r="A30" t="inlineStr">
        <is>
          <t>INE811K01011</t>
        </is>
      </c>
      <c r="B30" t="inlineStr">
        <is>
          <t>Prestige Estates Projects Limited</t>
        </is>
      </c>
      <c r="C30" t="inlineStr">
        <is>
          <t>Realty</t>
        </is>
      </c>
      <c r="D30" t="n">
        <v>140000</v>
      </c>
      <c r="E30" t="n">
        <v>2348.22</v>
      </c>
      <c r="F30" t="n">
        <v>0.01592424703164694</v>
      </c>
    </row>
    <row r="31">
      <c r="A31" t="inlineStr">
        <is>
          <t>INE949L01017</t>
        </is>
      </c>
      <c r="B31" t="inlineStr">
        <is>
          <t>AU Small Finance Bank Limited</t>
        </is>
      </c>
      <c r="C31" t="inlineStr">
        <is>
          <t>Banks</t>
        </is>
      </c>
      <c r="D31" t="n">
        <v>240000</v>
      </c>
      <c r="E31" t="n">
        <v>2292.6</v>
      </c>
      <c r="F31" t="n">
        <v>0.01554706490224672</v>
      </c>
    </row>
    <row r="32">
      <c r="A32" t="inlineStr">
        <is>
          <t>INE615H01020</t>
        </is>
      </c>
      <c r="B32" t="inlineStr">
        <is>
          <t>TITAGARH RAIL SYSTEMS LIMITED</t>
        </is>
      </c>
      <c r="C32" t="inlineStr">
        <is>
          <t>Industrial Manufacturing</t>
        </is>
      </c>
      <c r="D32" t="n">
        <v>275000</v>
      </c>
      <c r="E32" t="n">
        <v>2273.425</v>
      </c>
      <c r="F32" t="n">
        <v>0.01541703132922893</v>
      </c>
    </row>
    <row r="33">
      <c r="A33" t="inlineStr">
        <is>
          <t>INE457A01014</t>
        </is>
      </c>
      <c r="B33" t="inlineStr">
        <is>
          <t>Bank of Maharashtra</t>
        </is>
      </c>
      <c r="C33" t="inlineStr">
        <is>
          <t>Banks</t>
        </is>
      </c>
      <c r="D33" t="n">
        <v>3767515</v>
      </c>
      <c r="E33" t="n">
        <v>2206.256784</v>
      </c>
      <c r="F33" t="n">
        <v>0.01496153599052173</v>
      </c>
    </row>
    <row r="34">
      <c r="A34" t="inlineStr">
        <is>
          <t>INE092T01019</t>
        </is>
      </c>
      <c r="B34" t="inlineStr">
        <is>
          <t>IDFC First Bank Limited</t>
        </is>
      </c>
      <c r="C34" t="inlineStr">
        <is>
          <t>Banks</t>
        </is>
      </c>
      <c r="D34" t="n">
        <v>2700000</v>
      </c>
      <c r="E34" t="n">
        <v>2163.51</v>
      </c>
      <c r="F34" t="n">
        <v>0.01467165244118459</v>
      </c>
    </row>
    <row r="35">
      <c r="A35" t="inlineStr">
        <is>
          <t>INE013P01021</t>
        </is>
      </c>
      <c r="B35" t="inlineStr">
        <is>
          <t>One Source Specialty Pharma Ltd</t>
        </is>
      </c>
      <c r="C35" t="inlineStr">
        <is>
          <t>Pharmaceuticals &amp; Biotechnology</t>
        </is>
      </c>
      <c r="D35" t="n">
        <v>139904</v>
      </c>
      <c r="E35" t="n">
        <v>2143.609088</v>
      </c>
      <c r="F35" t="n">
        <v>0.01453669615989788</v>
      </c>
    </row>
    <row r="36">
      <c r="A36" t="inlineStr">
        <is>
          <t>INE127D01025</t>
        </is>
      </c>
      <c r="B36" t="inlineStr">
        <is>
          <t>HDFC Asset Management Company Limited</t>
        </is>
      </c>
      <c r="C36" t="inlineStr">
        <is>
          <t>Capital Markets</t>
        </is>
      </c>
      <c r="D36" t="n">
        <v>80000</v>
      </c>
      <c r="E36" t="n">
        <v>2138.4</v>
      </c>
      <c r="F36" t="n">
        <v>0.01450137118859128</v>
      </c>
    </row>
    <row r="37">
      <c r="A37" t="inlineStr">
        <is>
          <t>INE258G01013</t>
        </is>
      </c>
      <c r="B37" t="inlineStr">
        <is>
          <t>Sumitomo Chemical India Limited</t>
        </is>
      </c>
      <c r="C37" t="inlineStr">
        <is>
          <t>Fertilizers &amp; Agrochemicals</t>
        </is>
      </c>
      <c r="D37" t="n">
        <v>451260</v>
      </c>
      <c r="E37" t="n">
        <v>2102.8716</v>
      </c>
      <c r="F37" t="n">
        <v>0.01426043847434851</v>
      </c>
    </row>
    <row r="38">
      <c r="A38" t="inlineStr">
        <is>
          <t>INE291A01017</t>
        </is>
      </c>
      <c r="B38" t="inlineStr">
        <is>
          <t>Garware Hi-Tech Films Ltd</t>
        </is>
      </c>
      <c r="C38" t="inlineStr">
        <is>
          <t>Industrial Products</t>
        </is>
      </c>
      <c r="D38" t="n">
        <v>51267</v>
      </c>
      <c r="E38" t="n">
        <v>2014.536765</v>
      </c>
      <c r="F38" t="n">
        <v>0.01366140357385376</v>
      </c>
    </row>
    <row r="39">
      <c r="A39" t="inlineStr">
        <is>
          <t>INE466L01038</t>
        </is>
      </c>
      <c r="B39" t="inlineStr">
        <is>
          <t>360 ONE WAM LIMITED</t>
        </is>
      </c>
      <c r="C39" t="inlineStr">
        <is>
          <t>Capital Markets</t>
        </is>
      </c>
      <c r="D39" t="n">
        <v>170000</v>
      </c>
      <c r="E39" t="n">
        <v>2011.44</v>
      </c>
      <c r="F39" t="n">
        <v>0.01364040313485786</v>
      </c>
    </row>
    <row r="40">
      <c r="A40" t="inlineStr">
        <is>
          <t>INE04I401011</t>
        </is>
      </c>
      <c r="B40" t="inlineStr">
        <is>
          <t>KPIT Technologies Limited</t>
        </is>
      </c>
      <c r="C40" t="inlineStr">
        <is>
          <t>IT - Software</t>
        </is>
      </c>
      <c r="D40" t="n">
        <v>163070</v>
      </c>
      <c r="E40" t="n">
        <v>1993.36768</v>
      </c>
      <c r="F40" t="n">
        <v>0.01351784728910449</v>
      </c>
    </row>
    <row r="41">
      <c r="A41" t="inlineStr">
        <is>
          <t>INE290S01011</t>
        </is>
      </c>
      <c r="B41" t="inlineStr">
        <is>
          <t>CarTrade Tech Limited</t>
        </is>
      </c>
      <c r="C41" t="inlineStr">
        <is>
          <t>Retailing</t>
        </is>
      </c>
      <c r="D41" t="n">
        <v>61000</v>
      </c>
      <c r="E41" t="n">
        <v>1883.497</v>
      </c>
      <c r="F41" t="n">
        <v>0.01277276895323518</v>
      </c>
    </row>
    <row r="42">
      <c r="A42" t="inlineStr">
        <is>
          <t>INE0DYJ01015</t>
        </is>
      </c>
      <c r="B42" t="inlineStr">
        <is>
          <t>SYRMA SGS TECHNOLOGY LIMITED</t>
        </is>
      </c>
      <c r="C42" t="inlineStr">
        <is>
          <t>Industrial Manufacturing</t>
        </is>
      </c>
      <c r="D42" t="n">
        <v>229600</v>
      </c>
      <c r="E42" t="n">
        <v>1883.294</v>
      </c>
      <c r="F42" t="n">
        <v>0.01277139232662123</v>
      </c>
    </row>
    <row r="43">
      <c r="A43" t="inlineStr">
        <is>
          <t>INE953L01027</t>
        </is>
      </c>
      <c r="B43" t="inlineStr">
        <is>
          <t>Jana Small Finance Bank Ltd</t>
        </is>
      </c>
      <c r="C43" t="inlineStr">
        <is>
          <t>Banks</t>
        </is>
      </c>
      <c r="D43" t="n">
        <v>411000</v>
      </c>
      <c r="E43" t="n">
        <v>1864.707</v>
      </c>
      <c r="F43" t="n">
        <v>0.01264534622379559</v>
      </c>
    </row>
    <row r="44">
      <c r="A44" t="inlineStr">
        <is>
          <t>INE749A01030</t>
        </is>
      </c>
      <c r="B44" t="inlineStr">
        <is>
          <t>Jindal Steel &amp; Power Limited</t>
        </is>
      </c>
      <c r="C44" t="inlineStr">
        <is>
          <t>Ferrous Metals</t>
        </is>
      </c>
      <c r="D44" t="n">
        <v>160000</v>
      </c>
      <c r="E44" t="n">
        <v>1671.04</v>
      </c>
      <c r="F44" t="n">
        <v>0.01133201052702188</v>
      </c>
    </row>
    <row r="45">
      <c r="A45" t="inlineStr">
        <is>
          <t>INE085001019</t>
        </is>
      </c>
      <c r="B45" t="inlineStr">
        <is>
          <t>WeWork India Management Limited</t>
        </is>
      </c>
      <c r="C45" t="inlineStr">
        <is>
          <t>Commercial Services &amp; Supplies</t>
        </is>
      </c>
      <c r="D45" t="n">
        <v>278036</v>
      </c>
      <c r="E45" t="n">
        <v>1663.628406</v>
      </c>
      <c r="F45" t="n">
        <v>0.01128174945533597</v>
      </c>
    </row>
    <row r="46">
      <c r="A46" t="inlineStr">
        <is>
          <t>INE257A01026</t>
        </is>
      </c>
      <c r="B46" t="inlineStr">
        <is>
          <t>Bharat Heavy Electricals Limited</t>
        </is>
      </c>
      <c r="C46" t="inlineStr">
        <is>
          <t>Electrical Equipment</t>
        </is>
      </c>
      <c r="D46" t="n">
        <v>550000</v>
      </c>
      <c r="E46" t="n">
        <v>1599.675</v>
      </c>
      <c r="F46" t="n">
        <v>0.0108480550673914</v>
      </c>
    </row>
    <row r="47">
      <c r="A47" t="inlineStr">
        <is>
          <t>INE324D01010</t>
        </is>
      </c>
      <c r="B47" t="inlineStr">
        <is>
          <t>LG Electronics India Limited</t>
        </is>
      </c>
      <c r="C47" t="inlineStr">
        <is>
          <t>Consumer Durables</t>
        </is>
      </c>
      <c r="D47" t="n">
        <v>95920</v>
      </c>
      <c r="E47" t="n">
        <v>1591.60056</v>
      </c>
      <c r="F47" t="n">
        <v>0.01079329896395892</v>
      </c>
    </row>
    <row r="48">
      <c r="A48" t="inlineStr">
        <is>
          <t>INE208A01029</t>
        </is>
      </c>
      <c r="B48" t="inlineStr">
        <is>
          <t>Ashok Leyland Limited</t>
        </is>
      </c>
      <c r="C48" t="inlineStr">
        <is>
          <t>Agricultural, Commercial &amp; Construction Vehicles</t>
        </is>
      </c>
      <c r="D48" t="n">
        <v>1000000</v>
      </c>
      <c r="E48" t="n">
        <v>1581.2</v>
      </c>
      <c r="F48" t="n">
        <v>0.0107227684826976</v>
      </c>
    </row>
    <row r="49">
      <c r="A49" t="inlineStr">
        <is>
          <t>INE159A01016</t>
        </is>
      </c>
      <c r="B49" t="inlineStr">
        <is>
          <t>GlaxoSmithKline Pharmaceuticals Ltd</t>
        </is>
      </c>
      <c r="C49" t="inlineStr">
        <is>
          <t>Pharmaceuticals &amp; Biotechnology</t>
        </is>
      </c>
      <c r="D49" t="n">
        <v>59151</v>
      </c>
      <c r="E49" t="n">
        <v>1519.884945</v>
      </c>
      <c r="F49" t="n">
        <v>0.01030696583959813</v>
      </c>
    </row>
    <row r="50">
      <c r="A50" t="inlineStr">
        <is>
          <t>INE881D01027</t>
        </is>
      </c>
      <c r="B50" t="inlineStr">
        <is>
          <t>Oracle Financial Services Software</t>
        </is>
      </c>
      <c r="C50" t="inlineStr">
        <is>
          <t>IT - Software</t>
        </is>
      </c>
      <c r="D50" t="n">
        <v>18510</v>
      </c>
      <c r="E50" t="n">
        <v>1500.6057</v>
      </c>
      <c r="F50" t="n">
        <v>0.01017622533829773</v>
      </c>
    </row>
    <row r="51">
      <c r="A51" t="inlineStr">
        <is>
          <t>INE371P01015</t>
        </is>
      </c>
      <c r="B51" t="inlineStr">
        <is>
          <t>Amber Enterprises India Limited</t>
        </is>
      </c>
      <c r="C51" t="inlineStr">
        <is>
          <t>Consumer Durables</t>
        </is>
      </c>
      <c r="D51" t="n">
        <v>20592</v>
      </c>
      <c r="E51" t="n">
        <v>1478.71152</v>
      </c>
      <c r="F51" t="n">
        <v>0.01002775188569305</v>
      </c>
    </row>
    <row r="52">
      <c r="A52" t="inlineStr">
        <is>
          <t>INE883F01010</t>
        </is>
      </c>
      <c r="B52" t="inlineStr">
        <is>
          <t>Aadhar Housing Finance Limited</t>
        </is>
      </c>
      <c r="C52" t="inlineStr">
        <is>
          <t>Finance</t>
        </is>
      </c>
      <c r="D52" t="n">
        <v>300000</v>
      </c>
      <c r="E52" t="n">
        <v>1443.45</v>
      </c>
      <c r="F52" t="n">
        <v>0.009788628994655858</v>
      </c>
    </row>
    <row r="53">
      <c r="A53" t="inlineStr">
        <is>
          <t>INE148O01028</t>
        </is>
      </c>
      <c r="B53" t="inlineStr">
        <is>
          <t>Delhivery Limited</t>
        </is>
      </c>
      <c r="C53" t="inlineStr">
        <is>
          <t>Transport Services</t>
        </is>
      </c>
      <c r="D53" t="n">
        <v>330000</v>
      </c>
      <c r="E53" t="n">
        <v>1406.46</v>
      </c>
      <c r="F53" t="n">
        <v>0.0095377845687926</v>
      </c>
    </row>
    <row r="54">
      <c r="A54" t="inlineStr">
        <is>
          <t>INE388Y01029</t>
        </is>
      </c>
      <c r="B54" t="inlineStr">
        <is>
          <t>FSN E-Commerce Ventures Limited</t>
        </is>
      </c>
      <c r="C54" t="inlineStr">
        <is>
          <t>Retailing</t>
        </is>
      </c>
      <c r="D54" t="n">
        <v>500000</v>
      </c>
      <c r="E54" t="n">
        <v>1336.55</v>
      </c>
      <c r="F54" t="n">
        <v>0.009063696063464122</v>
      </c>
    </row>
    <row r="55">
      <c r="A55" t="inlineStr">
        <is>
          <t>INE015C01016</t>
        </is>
      </c>
      <c r="B55" t="inlineStr">
        <is>
          <t>Tinna Rubber and Infrastructure Limited</t>
        </is>
      </c>
      <c r="C55" t="inlineStr">
        <is>
          <t>Industrial Products</t>
        </is>
      </c>
      <c r="D55" t="n">
        <v>157650</v>
      </c>
      <c r="E55" t="n">
        <v>1328.0436</v>
      </c>
      <c r="F55" t="n">
        <v>0.009006010661351033</v>
      </c>
    </row>
    <row r="56">
      <c r="A56" t="inlineStr">
        <is>
          <t>INE980O01024</t>
        </is>
      </c>
      <c r="B56" t="inlineStr">
        <is>
          <t>Jyoti Cnc Automation Ltd</t>
        </is>
      </c>
      <c r="C56" t="inlineStr">
        <is>
          <t>Industrial Manufacturing</t>
        </is>
      </c>
      <c r="D56" t="n">
        <v>128795</v>
      </c>
      <c r="E56" t="n">
        <v>1301.1514875</v>
      </c>
      <c r="F56" t="n">
        <v>0.008823644169858395</v>
      </c>
    </row>
    <row r="57">
      <c r="A57" t="inlineStr">
        <is>
          <t>INE872J01023</t>
        </is>
      </c>
      <c r="B57" t="inlineStr">
        <is>
          <t>Devyani International Limited</t>
        </is>
      </c>
      <c r="C57" t="inlineStr">
        <is>
          <t>Leisure Services</t>
        </is>
      </c>
      <c r="D57" t="n">
        <v>905717</v>
      </c>
      <c r="E57" t="n">
        <v>1228.5145388</v>
      </c>
      <c r="F57" t="n">
        <v>0.008331063102188473</v>
      </c>
    </row>
    <row r="58">
      <c r="A58" t="inlineStr">
        <is>
          <t>INE301O01023</t>
        </is>
      </c>
      <c r="B58" t="inlineStr">
        <is>
          <t>National Securities Depository Limited</t>
        </is>
      </c>
      <c r="C58" t="inlineStr">
        <is>
          <t>Capital Markets</t>
        </is>
      </c>
      <c r="D58" t="n">
        <v>102513</v>
      </c>
      <c r="E58" t="n">
        <v>1143.532515</v>
      </c>
      <c r="F58" t="n">
        <v>0.007754764995435059</v>
      </c>
    </row>
    <row r="59">
      <c r="A59" t="inlineStr">
        <is>
          <t>INE647A01010</t>
        </is>
      </c>
      <c r="B59" t="inlineStr">
        <is>
          <t>SRF Limited</t>
        </is>
      </c>
      <c r="C59" t="inlineStr">
        <is>
          <t>Chemicals &amp; Petrochemicals</t>
        </is>
      </c>
      <c r="D59" t="n">
        <v>39049</v>
      </c>
      <c r="E59" t="n">
        <v>1143.081377</v>
      </c>
      <c r="F59" t="n">
        <v>0.007751705642837192</v>
      </c>
    </row>
    <row r="60">
      <c r="A60" t="inlineStr">
        <is>
          <t>INE00H001014</t>
        </is>
      </c>
      <c r="B60" t="inlineStr">
        <is>
          <t>SWIGGY LIMITED</t>
        </is>
      </c>
      <c r="C60" t="inlineStr">
        <is>
          <t>Retailing</t>
        </is>
      </c>
      <c r="D60" t="n">
        <v>300420</v>
      </c>
      <c r="E60" t="n">
        <v>1136.48886</v>
      </c>
      <c r="F60" t="n">
        <v>0.007706999069659069</v>
      </c>
    </row>
    <row r="61">
      <c r="A61" t="inlineStr">
        <is>
          <t>INE03QK01018</t>
        </is>
      </c>
      <c r="B61" t="inlineStr">
        <is>
          <t>Cohance Lifesciences Limited</t>
        </is>
      </c>
      <c r="C61" t="inlineStr">
        <is>
          <t>Pharmaceuticals &amp; Biotechnology</t>
        </is>
      </c>
      <c r="D61" t="n">
        <v>186278</v>
      </c>
      <c r="E61" t="n">
        <v>1051.353032</v>
      </c>
      <c r="F61" t="n">
        <v>0.007129657953274827</v>
      </c>
    </row>
    <row r="62">
      <c r="A62" t="inlineStr">
        <is>
          <t>INE255Z01019</t>
        </is>
      </c>
      <c r="B62" t="inlineStr">
        <is>
          <t>E2E Networks Limited</t>
        </is>
      </c>
      <c r="C62" t="inlineStr">
        <is>
          <t>IT - Services</t>
        </is>
      </c>
      <c r="D62" t="n">
        <v>40555</v>
      </c>
      <c r="E62" t="n">
        <v>917.27299</v>
      </c>
      <c r="F62" t="n">
        <v>0.006220405962055266</v>
      </c>
    </row>
    <row r="63">
      <c r="A63" t="inlineStr">
        <is>
          <t>INE383A01012</t>
        </is>
      </c>
      <c r="B63" t="inlineStr">
        <is>
          <t>INDIA CEMENTS LTD</t>
        </is>
      </c>
      <c r="C63" t="inlineStr">
        <is>
          <t>Cement &amp; Cement Products</t>
        </is>
      </c>
      <c r="D63" t="n">
        <v>232907</v>
      </c>
      <c r="E63" t="n">
        <v>914.858696</v>
      </c>
      <c r="F63" t="n">
        <v>0.006204033640014306</v>
      </c>
    </row>
    <row r="64">
      <c r="A64" t="inlineStr">
        <is>
          <t>INE040H01021</t>
        </is>
      </c>
      <c r="B64" t="inlineStr">
        <is>
          <t>Suzlon Energy Limited</t>
        </is>
      </c>
      <c r="C64" t="inlineStr">
        <is>
          <t>Electrical Equipment</t>
        </is>
      </c>
      <c r="D64" t="n">
        <v>1500000</v>
      </c>
      <c r="E64" t="n">
        <v>810.15</v>
      </c>
      <c r="F64" t="n">
        <v>0.005493960843825864</v>
      </c>
    </row>
    <row r="65">
      <c r="A65" t="inlineStr">
        <is>
          <t>INE0KBH01020</t>
        </is>
      </c>
      <c r="B65" t="inlineStr">
        <is>
          <t>Blue Jet Healthcare Ltd</t>
        </is>
      </c>
      <c r="C65" t="inlineStr">
        <is>
          <t>Pharmaceuticals &amp; Biotechnology</t>
        </is>
      </c>
      <c r="D65" t="n">
        <v>139800</v>
      </c>
      <c r="E65" t="n">
        <v>808.6731</v>
      </c>
      <c r="F65" t="n">
        <v>0.005483945376603441</v>
      </c>
    </row>
    <row r="66">
      <c r="A66" t="inlineStr">
        <is>
          <t>INE571A01038</t>
        </is>
      </c>
      <c r="B66" t="inlineStr">
        <is>
          <t>IPCA Laboratories Limited</t>
        </is>
      </c>
      <c r="C66" t="inlineStr">
        <is>
          <t>Pharmaceuticals &amp; Biotechnology</t>
        </is>
      </c>
      <c r="D66" t="n">
        <v>55000</v>
      </c>
      <c r="E66" t="n">
        <v>799.205</v>
      </c>
      <c r="F66" t="n">
        <v>0.005419738290674382</v>
      </c>
    </row>
    <row r="67">
      <c r="A67" t="inlineStr">
        <is>
          <t>INE473A01011</t>
        </is>
      </c>
      <c r="B67" t="inlineStr">
        <is>
          <t>Linde India Limited</t>
        </is>
      </c>
      <c r="C67" t="inlineStr">
        <is>
          <t>Chemicals &amp; Petrochemicals</t>
        </is>
      </c>
      <c r="D67" t="n">
        <v>12884</v>
      </c>
      <c r="E67" t="n">
        <v>768.65944</v>
      </c>
      <c r="F67" t="n">
        <v>0.005212596266860601</v>
      </c>
    </row>
    <row r="68">
      <c r="A68" t="inlineStr">
        <is>
          <t>INE200A01026</t>
        </is>
      </c>
      <c r="B68" t="inlineStr">
        <is>
          <t>GE Vernova T&amp;D India Limited</t>
        </is>
      </c>
      <c r="C68" t="inlineStr">
        <is>
          <t>Electrical Equipment</t>
        </is>
      </c>
      <c r="D68" t="n">
        <v>20000</v>
      </c>
      <c r="E68" t="n">
        <v>576.28</v>
      </c>
      <c r="F68" t="n">
        <v>0.003907992044781793</v>
      </c>
    </row>
    <row r="69">
      <c r="A69" t="inlineStr">
        <is>
          <t>INE085A01013</t>
        </is>
      </c>
      <c r="B69" t="inlineStr">
        <is>
          <t>Chambal Fertilizers &amp; Chemicals Limited</t>
        </is>
      </c>
      <c r="C69" t="inlineStr">
        <is>
          <t>Fertilizers &amp; Agrochemicals</t>
        </is>
      </c>
      <c r="D69" t="n">
        <v>113999</v>
      </c>
      <c r="E69" t="n">
        <v>501.7665985</v>
      </c>
      <c r="F69" t="n">
        <v>0.00340268597778028</v>
      </c>
    </row>
    <row r="70">
      <c r="B70" t="inlineStr">
        <is>
          <t>Sub Total</t>
        </is>
      </c>
      <c r="E70" t="n">
        <v>146338.4745898</v>
      </c>
      <c r="F70" t="n">
        <v>0.9923814717540795</v>
      </c>
    </row>
    <row r="71">
      <c r="B71" t="inlineStr">
        <is>
          <t>(b) Unlisted</t>
        </is>
      </c>
      <c r="E71" t="inlineStr">
        <is>
          <t>NIL</t>
        </is>
      </c>
      <c r="F71" t="inlineStr">
        <is>
          <t>NIL</t>
        </is>
      </c>
    </row>
    <row r="72">
      <c r="B72" t="inlineStr">
        <is>
          <t>Sub Total</t>
        </is>
      </c>
      <c r="E72" t="inlineStr">
        <is>
          <t>NIL</t>
        </is>
      </c>
      <c r="F72" t="inlineStr">
        <is>
          <t>NIL</t>
        </is>
      </c>
    </row>
    <row r="73">
      <c r="B73" t="inlineStr">
        <is>
          <t>Total</t>
        </is>
      </c>
      <c r="E73" t="n">
        <v>146338.4745898</v>
      </c>
      <c r="F73" t="n">
        <v>0.9923814717540795</v>
      </c>
    </row>
    <row r="74"/>
    <row r="75">
      <c r="B75" t="inlineStr">
        <is>
          <t>DEBT INSTRUMENTS</t>
        </is>
      </c>
    </row>
    <row r="76">
      <c r="B76" t="inlineStr">
        <is>
          <t>(a) Listed / awaiting listing on Stock Exchanges</t>
        </is>
      </c>
      <c r="E76" t="inlineStr">
        <is>
          <t>NIL</t>
        </is>
      </c>
      <c r="F76" t="inlineStr">
        <is>
          <t>NIL</t>
        </is>
      </c>
    </row>
    <row r="77">
      <c r="B77" t="inlineStr">
        <is>
          <t>Sub Total</t>
        </is>
      </c>
      <c r="E77" t="inlineStr">
        <is>
          <t>NIL</t>
        </is>
      </c>
      <c r="F77" t="inlineStr">
        <is>
          <t>NIL</t>
        </is>
      </c>
    </row>
    <row r="78">
      <c r="B78" t="inlineStr">
        <is>
          <t>(b) Privately placed / Unlisted</t>
        </is>
      </c>
      <c r="E78" t="inlineStr">
        <is>
          <t>NIL</t>
        </is>
      </c>
      <c r="F78" t="inlineStr">
        <is>
          <t>NIL</t>
        </is>
      </c>
    </row>
    <row r="79">
      <c r="B79" t="inlineStr">
        <is>
          <t>Sub Total</t>
        </is>
      </c>
      <c r="E79" t="inlineStr">
        <is>
          <t>NIL</t>
        </is>
      </c>
      <c r="F79" t="inlineStr">
        <is>
          <t>NIL</t>
        </is>
      </c>
    </row>
    <row r="80">
      <c r="B80" t="inlineStr">
        <is>
          <t>(c) Securitized Debt Instruments</t>
        </is>
      </c>
      <c r="E80" t="inlineStr">
        <is>
          <t>NIL</t>
        </is>
      </c>
      <c r="F80" t="inlineStr">
        <is>
          <t>NIL</t>
        </is>
      </c>
    </row>
    <row r="81">
      <c r="B81" t="inlineStr">
        <is>
          <t>Sub Total</t>
        </is>
      </c>
      <c r="E81" t="inlineStr">
        <is>
          <t>NIL</t>
        </is>
      </c>
      <c r="F81" t="inlineStr">
        <is>
          <t>NIL</t>
        </is>
      </c>
    </row>
    <row r="82">
      <c r="B82" t="inlineStr">
        <is>
          <t>(d) Government Securities / SDL</t>
        </is>
      </c>
      <c r="E82" t="inlineStr">
        <is>
          <t>NIL</t>
        </is>
      </c>
      <c r="F82" t="inlineStr">
        <is>
          <t>NIL</t>
        </is>
      </c>
    </row>
    <row r="83">
      <c r="B83" t="inlineStr">
        <is>
          <t>Sub Total</t>
        </is>
      </c>
      <c r="E83" t="inlineStr">
        <is>
          <t>NIL</t>
        </is>
      </c>
      <c r="F83" t="inlineStr">
        <is>
          <t>NIL</t>
        </is>
      </c>
    </row>
    <row r="84">
      <c r="B84" t="inlineStr">
        <is>
          <t>Total</t>
        </is>
      </c>
      <c r="E84" t="inlineStr">
        <is>
          <t>NIL</t>
        </is>
      </c>
      <c r="F84" t="inlineStr">
        <is>
          <t>NIL</t>
        </is>
      </c>
    </row>
    <row r="85"/>
    <row r="86">
      <c r="B86" t="inlineStr">
        <is>
          <t>MONEY MARKET INSTRUMENTS</t>
        </is>
      </c>
    </row>
    <row r="87">
      <c r="B87" t="inlineStr">
        <is>
          <t>Total</t>
        </is>
      </c>
      <c r="E87" t="inlineStr">
        <is>
          <t>NIL</t>
        </is>
      </c>
      <c r="F87" t="inlineStr">
        <is>
          <t>NIL</t>
        </is>
      </c>
    </row>
    <row r="88"/>
    <row r="89">
      <c r="B89" t="inlineStr">
        <is>
          <t>TREPS / Reverse Repo Investments / Corporate Debt Repo</t>
        </is>
      </c>
    </row>
    <row r="90">
      <c r="B90" t="inlineStr">
        <is>
          <t>CCIL</t>
        </is>
      </c>
      <c r="D90" t="n">
        <v>8423.9154</v>
      </c>
      <c r="E90" t="n">
        <v>842.39154</v>
      </c>
      <c r="F90" t="n">
        <v>0.005712604006579238</v>
      </c>
      <c r="G90" t="inlineStr">
        <is>
          <t>01-DEC-2025</t>
        </is>
      </c>
      <c r="I90" t="n">
        <v>0.0543101</v>
      </c>
    </row>
    <row r="91">
      <c r="B91" t="inlineStr">
        <is>
          <t>Total</t>
        </is>
      </c>
      <c r="E91" t="n">
        <v>842.39154</v>
      </c>
      <c r="F91" t="n">
        <v>0.005712604006579238</v>
      </c>
    </row>
    <row r="92"/>
    <row r="93">
      <c r="B93" t="inlineStr">
        <is>
          <t>Cash &amp; Cash Equivalents</t>
        </is>
      </c>
    </row>
    <row r="94">
      <c r="B94" t="inlineStr">
        <is>
          <t>Net Receivable/Payable</t>
        </is>
      </c>
      <c r="E94" t="n">
        <v>281.0512427</v>
      </c>
      <c r="F94" t="n">
        <v>0.001905924239341356</v>
      </c>
    </row>
    <row r="95">
      <c r="B95" t="inlineStr">
        <is>
          <t>Total</t>
        </is>
      </c>
      <c r="E95" t="n">
        <v>281.0512427</v>
      </c>
      <c r="F95" t="n">
        <v>0.001905924239341356</v>
      </c>
    </row>
    <row r="96">
      <c r="B96" t="inlineStr">
        <is>
          <t>Grand Total</t>
        </is>
      </c>
      <c r="E96" t="n">
        <v>147461.9173725</v>
      </c>
      <c r="F96" t="n">
        <v>1</v>
      </c>
    </row>
    <row r="97"/>
    <row r="98"/>
    <row r="99">
      <c r="B99" t="inlineStr">
        <is>
          <t>Number of Instances of Deviation In valuation Of Securities as per Sebi circular ref no SEBI/HO/IMD/DF4/CIR/P/2019/102 dated September 24, 2019- Nil</t>
        </is>
      </c>
    </row>
    <row r="100">
      <c r="B100" t="inlineStr">
        <is>
          <t>^ YTC i.e. Yield to Call is disclosed at security level only for Additional Tier 1 Bonds and Tier 2 Bonds issued by Banks as per AMFI Best Practices Notification 135/BP/91/2020-21 read with SEBI circular SEBI/HO/IMD/DF4/CIR/P/2021/034</t>
        </is>
      </c>
    </row>
    <row r="101">
      <c r="B101" t="inlineStr">
        <is>
          <t>Where the scheme has invested in floating rate instruments and / or interest rate derivatives, the following disclaimer may be read in regard to such investment;</t>
        </is>
      </c>
    </row>
    <row r="102">
      <c r="B102"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03"/>
    <row r="104">
      <c r="B104" t="inlineStr">
        <is>
          <t>This Product is suitable for investors who are seeking*</t>
        </is>
      </c>
    </row>
    <row r="105">
      <c r="B105" t="inlineStr">
        <is>
          <t>• Long Term wealth creation</t>
        </is>
      </c>
    </row>
    <row r="106">
      <c r="B106" t="inlineStr">
        <is>
          <t>• An open ended equity scheme that aims for capital appreciation
by investing in diversified mid cap companies.</t>
        </is>
      </c>
    </row>
    <row r="107">
      <c r="B107" t="inlineStr">
        <is>
          <t>*Investors should consult their financial advisers if in doubt
about whether the product is suitable for them.</t>
        </is>
      </c>
    </row>
    <row r="108"/>
    <row r="109">
      <c r="B109" t="inlineStr">
        <is>
          <t xml:space="preserve">         Riskometer of the scheme </t>
        </is>
      </c>
      <c r="C109" t="inlineStr">
        <is>
          <t xml:space="preserve">                                                                                     Benchmark of the Scheme - Nifty Midcap 150 TRI  </t>
        </is>
      </c>
    </row>
    <row r="110"/>
    <row r="111"/>
    <row r="112"/>
    <row r="113"/>
    <row r="114"/>
    <row r="115"/>
    <row r="116"/>
    <row r="117"/>
    <row r="118"/>
    <row r="119"/>
    <row r="120"/>
    <row r="121">
      <c r="B121" t="inlineStr">
        <is>
          <t>The risk of the scheme is Very High</t>
        </is>
      </c>
      <c r="C121" t="inlineStr">
        <is>
          <t xml:space="preserve"> The risk of the benchmark is Very High </t>
        </is>
      </c>
    </row>
    <row r="122"/>
    <row r="123">
      <c r="B123" t="inlineStr">
        <is>
          <t>Scheme performance</t>
        </is>
      </c>
    </row>
    <row r="124"/>
    <row r="125">
      <c r="B125" t="inlineStr">
        <is>
          <t>Regular Plan</t>
        </is>
      </c>
    </row>
    <row r="126">
      <c r="B126" t="inlineStr">
        <is>
          <t>https://www.jmfinancialmf.com/products/Equity/JM-Midcap-Fund/J644/Regular-Plan-Growth-Option</t>
        </is>
      </c>
    </row>
    <row r="127"/>
    <row r="128">
      <c r="B128" t="inlineStr">
        <is>
          <t>Direct Plan</t>
        </is>
      </c>
    </row>
    <row r="129">
      <c r="B129" t="inlineStr">
        <is>
          <t>https://www.jmfinancialmf.com/products/Equity/JM-Midcap-Fund/J642/Direct-Plan-Growth-Option</t>
        </is>
      </c>
    </row>
    <row r="130"/>
    <row r="13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t="inlineStr">
        <is>
          <t>JM Financial Mutual Fund</t>
        </is>
      </c>
    </row>
    <row r="2">
      <c r="A2" t="inlineStr">
        <is>
          <t>JM Small Cap Fund (An open ended equity scheme predominantly investing in small cap stocks.)</t>
        </is>
      </c>
    </row>
    <row r="3">
      <c r="A3" t="inlineStr">
        <is>
          <t>Monthly Portfolio Statement for the period ended 30.11.2025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INE260B01028</t>
        </is>
      </c>
      <c r="B7" t="inlineStr">
        <is>
          <t>Godfrey Phillips India Limited</t>
        </is>
      </c>
      <c r="C7" t="inlineStr">
        <is>
          <t>Cigarettes &amp; Tobacco Products</t>
        </is>
      </c>
      <c r="D7" t="n">
        <v>142161</v>
      </c>
      <c r="E7" t="n">
        <v>4084.28553</v>
      </c>
      <c r="F7" t="n">
        <v>0.05479681465945001</v>
      </c>
    </row>
    <row r="8">
      <c r="A8" t="inlineStr">
        <is>
          <t>INE291A01017</t>
        </is>
      </c>
      <c r="B8" t="inlineStr">
        <is>
          <t>Garware Hi-Tech Films Ltd</t>
        </is>
      </c>
      <c r="C8" t="inlineStr">
        <is>
          <t>Industrial Products</t>
        </is>
      </c>
      <c r="D8" t="n">
        <v>84518</v>
      </c>
      <c r="E8" t="n">
        <v>3321.13481</v>
      </c>
      <c r="F8" t="n">
        <v>0.04455800342700764</v>
      </c>
    </row>
    <row r="9">
      <c r="A9" t="inlineStr">
        <is>
          <t>INE741K01010</t>
        </is>
      </c>
      <c r="B9" t="inlineStr">
        <is>
          <t>Creditaccess Grameen Limited</t>
        </is>
      </c>
      <c r="C9" t="inlineStr">
        <is>
          <t>Finance</t>
        </is>
      </c>
      <c r="D9" t="n">
        <v>214743</v>
      </c>
      <c r="E9" t="n">
        <v>2871.328653</v>
      </c>
      <c r="F9" t="n">
        <v>0.03852317935881659</v>
      </c>
    </row>
    <row r="10">
      <c r="A10" t="inlineStr">
        <is>
          <t>INE371P01015</t>
        </is>
      </c>
      <c r="B10" t="inlineStr">
        <is>
          <t>Amber Enterprises India Limited</t>
        </is>
      </c>
      <c r="C10" t="inlineStr">
        <is>
          <t>Consumer Durables</t>
        </is>
      </c>
      <c r="D10" t="n">
        <v>35000</v>
      </c>
      <c r="E10" t="n">
        <v>2513.35</v>
      </c>
      <c r="F10" t="n">
        <v>0.03372035894961748</v>
      </c>
    </row>
    <row r="11">
      <c r="A11" t="inlineStr">
        <is>
          <t>INE338I01027</t>
        </is>
      </c>
      <c r="B11" t="inlineStr">
        <is>
          <t>Motilal Oswal Financial Services</t>
        </is>
      </c>
      <c r="C11" t="inlineStr">
        <is>
          <t>Capital Markets</t>
        </is>
      </c>
      <c r="D11" t="n">
        <v>250000</v>
      </c>
      <c r="E11" t="n">
        <v>2398.625</v>
      </c>
      <c r="F11" t="n">
        <v>0.03218115104761622</v>
      </c>
    </row>
    <row r="12">
      <c r="A12" t="inlineStr">
        <is>
          <t>INE00FF01025</t>
        </is>
      </c>
      <c r="B12" t="inlineStr">
        <is>
          <t>Acutaas Chemicals Limited</t>
        </is>
      </c>
      <c r="C12" t="inlineStr">
        <is>
          <t>Pharmaceuticals &amp; Biotechnology</t>
        </is>
      </c>
      <c r="D12" t="n">
        <v>125000</v>
      </c>
      <c r="E12" t="n">
        <v>2296.875</v>
      </c>
      <c r="F12" t="n">
        <v>0.03081602222627276</v>
      </c>
    </row>
    <row r="13">
      <c r="A13" t="inlineStr">
        <is>
          <t>INE953L01027</t>
        </is>
      </c>
      <c r="B13" t="inlineStr">
        <is>
          <t>Jana Small Finance Bank Ltd</t>
        </is>
      </c>
      <c r="C13" t="inlineStr">
        <is>
          <t>Banks</t>
        </is>
      </c>
      <c r="D13" t="n">
        <v>463495</v>
      </c>
      <c r="E13" t="n">
        <v>2102.876815</v>
      </c>
      <c r="F13" t="n">
        <v>0.02821324567952269</v>
      </c>
    </row>
    <row r="14">
      <c r="A14" t="inlineStr">
        <is>
          <t>INE745G01035</t>
        </is>
      </c>
      <c r="B14" t="inlineStr">
        <is>
          <t>Multi Commodity Exchange of India Ltd.</t>
        </is>
      </c>
      <c r="C14" t="inlineStr">
        <is>
          <t>Capital Markets</t>
        </is>
      </c>
      <c r="D14" t="n">
        <v>19500</v>
      </c>
      <c r="E14" t="n">
        <v>1964.3325</v>
      </c>
      <c r="F14" t="n">
        <v>0.02635446595038474</v>
      </c>
    </row>
    <row r="15">
      <c r="A15" t="inlineStr">
        <is>
          <t>INE151G01028</t>
        </is>
      </c>
      <c r="B15" t="inlineStr">
        <is>
          <t>Shaily Engineering Plastics Limited</t>
        </is>
      </c>
      <c r="C15" t="inlineStr">
        <is>
          <t>Industrial Products</t>
        </is>
      </c>
      <c r="D15" t="n">
        <v>73706</v>
      </c>
      <c r="E15" t="n">
        <v>1917.83012</v>
      </c>
      <c r="F15" t="n">
        <v>0.02573056679363717</v>
      </c>
    </row>
    <row r="16">
      <c r="A16" t="inlineStr">
        <is>
          <t>INE419M01027</t>
        </is>
      </c>
      <c r="B16" t="inlineStr">
        <is>
          <t>TD Power Systems Limited</t>
        </is>
      </c>
      <c r="C16" t="inlineStr">
        <is>
          <t>Electrical Equipment</t>
        </is>
      </c>
      <c r="D16" t="n">
        <v>219483</v>
      </c>
      <c r="E16" t="n">
        <v>1705.2731685</v>
      </c>
      <c r="F16" t="n">
        <v>0.02287879656592657</v>
      </c>
    </row>
    <row r="17">
      <c r="A17" t="inlineStr">
        <is>
          <t>INE684F01012</t>
        </is>
      </c>
      <c r="B17" t="inlineStr">
        <is>
          <t>FIRSTSOURCE SOLUTIONS LTD</t>
        </is>
      </c>
      <c r="C17" t="inlineStr">
        <is>
          <t>Commercial Services &amp; Supplies</t>
        </is>
      </c>
      <c r="D17" t="n">
        <v>439299</v>
      </c>
      <c r="E17" t="n">
        <v>1519.095942</v>
      </c>
      <c r="F17" t="n">
        <v>0.02038094990476746</v>
      </c>
    </row>
    <row r="18">
      <c r="A18" t="inlineStr">
        <is>
          <t>INE013P01021</t>
        </is>
      </c>
      <c r="B18" t="inlineStr">
        <is>
          <t>One Source Specialty Pharma Ltd</t>
        </is>
      </c>
      <c r="C18" t="inlineStr">
        <is>
          <t>Pharmaceuticals &amp; Biotechnology</t>
        </is>
      </c>
      <c r="D18" t="n">
        <v>98174</v>
      </c>
      <c r="E18" t="n">
        <v>1504.222028</v>
      </c>
      <c r="F18" t="n">
        <v>0.02018139404543003</v>
      </c>
    </row>
    <row r="19">
      <c r="A19" t="inlineStr">
        <is>
          <t>INE07T201019</t>
        </is>
      </c>
      <c r="B19" t="inlineStr">
        <is>
          <t>Restaurant Brands Asia Limited</t>
        </is>
      </c>
      <c r="C19" t="inlineStr">
        <is>
          <t>Leisure Services</t>
        </is>
      </c>
      <c r="D19" t="n">
        <v>2404480</v>
      </c>
      <c r="E19" t="n">
        <v>1497.750592</v>
      </c>
      <c r="F19" t="n">
        <v>0.02009457002774865</v>
      </c>
    </row>
    <row r="20">
      <c r="A20" t="inlineStr">
        <is>
          <t>INE794A01010</t>
        </is>
      </c>
      <c r="B20" t="inlineStr">
        <is>
          <t>Neuland Laboratories Ltd</t>
        </is>
      </c>
      <c r="C20" t="inlineStr">
        <is>
          <t>Pharmaceuticals &amp; Biotechnology</t>
        </is>
      </c>
      <c r="D20" t="n">
        <v>8299</v>
      </c>
      <c r="E20" t="n">
        <v>1434.73112</v>
      </c>
      <c r="F20" t="n">
        <v>0.01924906931489315</v>
      </c>
    </row>
    <row r="21">
      <c r="A21" t="inlineStr">
        <is>
          <t>INE552Z01027</t>
        </is>
      </c>
      <c r="B21" t="inlineStr">
        <is>
          <t>Allied Blenders and Distillers Limited</t>
        </is>
      </c>
      <c r="C21" t="inlineStr">
        <is>
          <t>Beverages</t>
        </is>
      </c>
      <c r="D21" t="n">
        <v>200000</v>
      </c>
      <c r="E21" t="n">
        <v>1307.6</v>
      </c>
      <c r="F21" t="n">
        <v>0.0175434147104541</v>
      </c>
    </row>
    <row r="22">
      <c r="A22" t="inlineStr">
        <is>
          <t>INE967H01025</t>
        </is>
      </c>
      <c r="B22" t="inlineStr">
        <is>
          <t>Krishna Institute of Medical Science Ltd</t>
        </is>
      </c>
      <c r="C22" t="inlineStr">
        <is>
          <t>Healthcare Services</t>
        </is>
      </c>
      <c r="D22" t="n">
        <v>190839</v>
      </c>
      <c r="E22" t="n">
        <v>1307.437989</v>
      </c>
      <c r="F22" t="n">
        <v>0.01754124108995804</v>
      </c>
    </row>
    <row r="23">
      <c r="A23" t="inlineStr">
        <is>
          <t>INE725G01011</t>
        </is>
      </c>
      <c r="B23" t="inlineStr">
        <is>
          <t>ICRA LIMITED</t>
        </is>
      </c>
      <c r="C23" t="inlineStr">
        <is>
          <t>Capital Markets</t>
        </is>
      </c>
      <c r="D23" t="n">
        <v>20851</v>
      </c>
      <c r="E23" t="n">
        <v>1292.34498</v>
      </c>
      <c r="F23" t="n">
        <v>0.01733874574266864</v>
      </c>
    </row>
    <row r="24">
      <c r="A24" t="inlineStr">
        <is>
          <t>INE850M01015</t>
        </is>
      </c>
      <c r="B24" t="inlineStr">
        <is>
          <t>Northern Arc Capital Ltd</t>
        </is>
      </c>
      <c r="C24" t="inlineStr">
        <is>
          <t>Finance</t>
        </is>
      </c>
      <c r="D24" t="n">
        <v>449709</v>
      </c>
      <c r="E24" t="n">
        <v>1211.7409005</v>
      </c>
      <c r="F24" t="n">
        <v>0.01625732115256241</v>
      </c>
    </row>
    <row r="25">
      <c r="A25" t="inlineStr">
        <is>
          <t>INE0LCL01028</t>
        </is>
      </c>
      <c r="B25" t="inlineStr">
        <is>
          <t>AVALON TECHNOLOGIES LIMITED</t>
        </is>
      </c>
      <c r="C25" t="inlineStr">
        <is>
          <t>Electrical Equipment</t>
        </is>
      </c>
      <c r="D25" t="n">
        <v>121892</v>
      </c>
      <c r="E25" t="n">
        <v>1180.767804</v>
      </c>
      <c r="F25" t="n">
        <v>0.01584177061970342</v>
      </c>
    </row>
    <row r="26">
      <c r="A26" t="inlineStr">
        <is>
          <t>INE572E01012</t>
        </is>
      </c>
      <c r="B26" t="inlineStr">
        <is>
          <t>PNB Housing Finance Limited</t>
        </is>
      </c>
      <c r="C26" t="inlineStr">
        <is>
          <t>Finance</t>
        </is>
      </c>
      <c r="D26" t="n">
        <v>130000</v>
      </c>
      <c r="E26" t="n">
        <v>1176.89</v>
      </c>
      <c r="F26" t="n">
        <v>0.01578974406438232</v>
      </c>
    </row>
    <row r="27">
      <c r="A27" t="inlineStr">
        <is>
          <t>INE0JA001018</t>
        </is>
      </c>
      <c r="B27" t="inlineStr">
        <is>
          <t>VENUS PIPES &amp; TUBES LTD</t>
        </is>
      </c>
      <c r="C27" t="inlineStr">
        <is>
          <t>Industrial Products</t>
        </is>
      </c>
      <c r="D27" t="n">
        <v>90432</v>
      </c>
      <c r="E27" t="n">
        <v>1150.475904</v>
      </c>
      <c r="F27" t="n">
        <v>0.01543535935932746</v>
      </c>
    </row>
    <row r="28">
      <c r="A28" t="inlineStr">
        <is>
          <t>INE015C01016</t>
        </is>
      </c>
      <c r="B28" t="inlineStr">
        <is>
          <t>Tinna Rubber and Infrastructure Limited</t>
        </is>
      </c>
      <c r="C28" t="inlineStr">
        <is>
          <t>Industrial Products</t>
        </is>
      </c>
      <c r="D28" t="n">
        <v>135150</v>
      </c>
      <c r="E28" t="n">
        <v>1138.5036</v>
      </c>
      <c r="F28" t="n">
        <v>0.0152747329490249</v>
      </c>
    </row>
    <row r="29">
      <c r="A29" t="inlineStr">
        <is>
          <t>INE128S01021</t>
        </is>
      </c>
      <c r="B29" t="inlineStr">
        <is>
          <t>FIVE-STAR BUSINESS FINANCE LIMITED</t>
        </is>
      </c>
      <c r="C29" t="inlineStr">
        <is>
          <t>Finance</t>
        </is>
      </c>
      <c r="D29" t="n">
        <v>187250</v>
      </c>
      <c r="E29" t="n">
        <v>1106.46025</v>
      </c>
      <c r="F29" t="n">
        <v>0.01484482336064754</v>
      </c>
    </row>
    <row r="30">
      <c r="A30" t="inlineStr">
        <is>
          <t>INE220B01022</t>
        </is>
      </c>
      <c r="B30" t="inlineStr">
        <is>
          <t>Kalpataru Projects International Limited</t>
        </is>
      </c>
      <c r="C30" t="inlineStr">
        <is>
          <t>Construction</t>
        </is>
      </c>
      <c r="D30" t="n">
        <v>90809</v>
      </c>
      <c r="E30" t="n">
        <v>1089.435573</v>
      </c>
      <c r="F30" t="n">
        <v>0.01461641179065478</v>
      </c>
    </row>
    <row r="31">
      <c r="A31" t="inlineStr">
        <is>
          <t>INE048G01026</t>
        </is>
      </c>
      <c r="B31" t="inlineStr">
        <is>
          <t>Navin Fluorine International Limited</t>
        </is>
      </c>
      <c r="C31" t="inlineStr">
        <is>
          <t>Chemicals &amp; Petrochemicals</t>
        </is>
      </c>
      <c r="D31" t="n">
        <v>18816</v>
      </c>
      <c r="E31" t="n">
        <v>1079.19168</v>
      </c>
      <c r="F31" t="n">
        <v>0.01447897460562227</v>
      </c>
    </row>
    <row r="32">
      <c r="A32" t="inlineStr">
        <is>
          <t>INE615H01020</t>
        </is>
      </c>
      <c r="B32" t="inlineStr">
        <is>
          <t>TITAGARH RAIL SYSTEMS LIMITED</t>
        </is>
      </c>
      <c r="C32" t="inlineStr">
        <is>
          <t>Industrial Manufacturing</t>
        </is>
      </c>
      <c r="D32" t="n">
        <v>130000</v>
      </c>
      <c r="E32" t="n">
        <v>1074.71</v>
      </c>
      <c r="F32" t="n">
        <v>0.01441884614826562</v>
      </c>
    </row>
    <row r="33">
      <c r="A33" t="inlineStr">
        <is>
          <t>INE217A01012</t>
        </is>
      </c>
      <c r="B33" t="inlineStr">
        <is>
          <t>ZUARI INDUSTRIES LIMITED</t>
        </is>
      </c>
      <c r="C33" t="inlineStr">
        <is>
          <t>Agricultural Food &amp; other Products</t>
        </is>
      </c>
      <c r="D33" t="n">
        <v>333404</v>
      </c>
      <c r="E33" t="n">
        <v>1069.726734</v>
      </c>
      <c r="F33" t="n">
        <v>0.01435198816260448</v>
      </c>
    </row>
    <row r="34">
      <c r="A34" t="inlineStr">
        <is>
          <t>INE085J01014</t>
        </is>
      </c>
      <c r="B34" t="inlineStr">
        <is>
          <t>Thangamayil Jewellery Limited</t>
        </is>
      </c>
      <c r="C34" t="inlineStr">
        <is>
          <t>Consumer Durables</t>
        </is>
      </c>
      <c r="D34" t="n">
        <v>32837</v>
      </c>
      <c r="E34" t="n">
        <v>1068.51598</v>
      </c>
      <c r="F34" t="n">
        <v>0.01433574408220196</v>
      </c>
    </row>
    <row r="35">
      <c r="A35" t="inlineStr">
        <is>
          <t>INE619B01017</t>
        </is>
      </c>
      <c r="B35" t="inlineStr">
        <is>
          <t>Newgen Software Technologies Limited</t>
        </is>
      </c>
      <c r="C35" t="inlineStr">
        <is>
          <t>IT - Software</t>
        </is>
      </c>
      <c r="D35" t="n">
        <v>115046</v>
      </c>
      <c r="E35" t="n">
        <v>1013.727829</v>
      </c>
      <c r="F35" t="n">
        <v>0.01360067888320228</v>
      </c>
    </row>
    <row r="36">
      <c r="A36" t="inlineStr">
        <is>
          <t>INE168A01041</t>
        </is>
      </c>
      <c r="B36" t="inlineStr">
        <is>
          <t>The Jammu &amp; Kashmir Bank Limited</t>
        </is>
      </c>
      <c r="C36" t="inlineStr">
        <is>
          <t>Banks</t>
        </is>
      </c>
      <c r="D36" t="n">
        <v>929692</v>
      </c>
      <c r="E36" t="n">
        <v>994.5845016</v>
      </c>
      <c r="F36" t="n">
        <v>0.01334384244123516</v>
      </c>
    </row>
    <row r="37">
      <c r="A37" t="inlineStr">
        <is>
          <t>INE0JR601024</t>
        </is>
      </c>
      <c r="B37" t="inlineStr">
        <is>
          <t>Yatra Online Ltd.</t>
        </is>
      </c>
      <c r="C37" t="inlineStr">
        <is>
          <t>Leisure Services</t>
        </is>
      </c>
      <c r="D37" t="n">
        <v>558000</v>
      </c>
      <c r="E37" t="n">
        <v>969.0786000000001</v>
      </c>
      <c r="F37" t="n">
        <v>0.01300164252586897</v>
      </c>
    </row>
    <row r="38">
      <c r="A38" t="inlineStr">
        <is>
          <t>INE491A01021</t>
        </is>
      </c>
      <c r="B38" t="inlineStr">
        <is>
          <t>City Union Bank Limited</t>
        </is>
      </c>
      <c r="C38" t="inlineStr">
        <is>
          <t>Banks</t>
        </is>
      </c>
      <c r="D38" t="n">
        <v>340000</v>
      </c>
      <c r="E38" t="n">
        <v>921.672</v>
      </c>
      <c r="F38" t="n">
        <v>0.01236561190196823</v>
      </c>
    </row>
    <row r="39">
      <c r="A39" t="inlineStr">
        <is>
          <t>INE0V7W01012</t>
        </is>
      </c>
      <c r="B39" t="inlineStr">
        <is>
          <t>Carraro India Ltd</t>
        </is>
      </c>
      <c r="C39" t="inlineStr">
        <is>
          <t>Auto Components</t>
        </is>
      </c>
      <c r="D39" t="n">
        <v>160839</v>
      </c>
      <c r="E39" t="n">
        <v>892.8977085</v>
      </c>
      <c r="F39" t="n">
        <v>0.01197956163523223</v>
      </c>
    </row>
    <row r="40">
      <c r="A40" t="inlineStr">
        <is>
          <t>INE0DD101019</t>
        </is>
      </c>
      <c r="B40" t="inlineStr">
        <is>
          <t>RAILTEL CORPORATION OF INDIA LIMITED</t>
        </is>
      </c>
      <c r="C40" t="inlineStr">
        <is>
          <t>Telecom - Services</t>
        </is>
      </c>
      <c r="D40" t="n">
        <v>260000</v>
      </c>
      <c r="E40" t="n">
        <v>881.14</v>
      </c>
      <c r="F40" t="n">
        <v>0.01182181434534225</v>
      </c>
    </row>
    <row r="41">
      <c r="A41" t="inlineStr">
        <is>
          <t>INE464A01036</t>
        </is>
      </c>
      <c r="B41" t="inlineStr">
        <is>
          <t>Bharat Bijlee Ltd.</t>
        </is>
      </c>
      <c r="C41" t="inlineStr">
        <is>
          <t>Electrical Equipment</t>
        </is>
      </c>
      <c r="D41" t="n">
        <v>29976</v>
      </c>
      <c r="E41" t="n">
        <v>865.557</v>
      </c>
      <c r="F41" t="n">
        <v>0.01161274503405974</v>
      </c>
    </row>
    <row r="42">
      <c r="A42" t="inlineStr">
        <is>
          <t>INE457L01029</t>
        </is>
      </c>
      <c r="B42" t="inlineStr">
        <is>
          <t>PG Electroplast Limited</t>
        </is>
      </c>
      <c r="C42" t="inlineStr">
        <is>
          <t>Consumer Durables</t>
        </is>
      </c>
      <c r="D42" t="n">
        <v>142032</v>
      </c>
      <c r="E42" t="n">
        <v>839.2670879999999</v>
      </c>
      <c r="F42" t="n">
        <v>0.01126002644357539</v>
      </c>
    </row>
    <row r="43">
      <c r="A43" t="inlineStr">
        <is>
          <t>INE877V01027</t>
        </is>
      </c>
      <c r="B43" t="inlineStr">
        <is>
          <t>Suraksha Diagnostic Limited</t>
        </is>
      </c>
      <c r="C43" t="inlineStr">
        <is>
          <t>Healthcare Services</t>
        </is>
      </c>
      <c r="D43" t="n">
        <v>286705</v>
      </c>
      <c r="E43" t="n">
        <v>839.185535</v>
      </c>
      <c r="F43" t="n">
        <v>0.01125893228779389</v>
      </c>
    </row>
    <row r="44">
      <c r="A44" t="inlineStr">
        <is>
          <t>INE052I01032</t>
        </is>
      </c>
      <c r="B44" t="inlineStr">
        <is>
          <t>Camlin Fine Sciences Limited</t>
        </is>
      </c>
      <c r="C44" t="inlineStr">
        <is>
          <t>Chemicals &amp; Petrochemicals</t>
        </is>
      </c>
      <c r="D44" t="n">
        <v>504008</v>
      </c>
      <c r="E44" t="n">
        <v>831.2099936</v>
      </c>
      <c r="F44" t="n">
        <v>0.01115192844080659</v>
      </c>
    </row>
    <row r="45">
      <c r="A45" t="inlineStr">
        <is>
          <t>INE939A01011</t>
        </is>
      </c>
      <c r="B45" t="inlineStr">
        <is>
          <t>Strides Pharma Science Ltd</t>
        </is>
      </c>
      <c r="C45" t="inlineStr">
        <is>
          <t>Pharmaceuticals &amp; Biotechnology</t>
        </is>
      </c>
      <c r="D45" t="n">
        <v>93521</v>
      </c>
      <c r="E45" t="n">
        <v>821.488464</v>
      </c>
      <c r="F45" t="n">
        <v>0.01102149954405472</v>
      </c>
    </row>
    <row r="46">
      <c r="A46" t="inlineStr">
        <is>
          <t>INE781S01027</t>
        </is>
      </c>
      <c r="B46" t="inlineStr">
        <is>
          <t>Ventive Hospitality Limited</t>
        </is>
      </c>
      <c r="C46" t="inlineStr">
        <is>
          <t>Leisure Services</t>
        </is>
      </c>
      <c r="D46" t="n">
        <v>111878</v>
      </c>
      <c r="E46" t="n">
        <v>814.6396570000001</v>
      </c>
      <c r="F46" t="n">
        <v>0.01092961252855084</v>
      </c>
    </row>
    <row r="47">
      <c r="A47" t="inlineStr">
        <is>
          <t>INE290S01011</t>
        </is>
      </c>
      <c r="B47" t="inlineStr">
        <is>
          <t>CarTrade Tech Limited</t>
        </is>
      </c>
      <c r="C47" t="inlineStr">
        <is>
          <t>Retailing</t>
        </is>
      </c>
      <c r="D47" t="n">
        <v>24500</v>
      </c>
      <c r="E47" t="n">
        <v>756.4865</v>
      </c>
      <c r="F47" t="n">
        <v>0.01014940072832666</v>
      </c>
    </row>
    <row r="48">
      <c r="A48" t="inlineStr">
        <is>
          <t>INE483B01026</t>
        </is>
      </c>
      <c r="B48" t="inlineStr">
        <is>
          <t>INDO COUNT INDUSTRIES LIMITED</t>
        </is>
      </c>
      <c r="C48" t="inlineStr">
        <is>
          <t>Textiles &amp; Apparels</t>
        </is>
      </c>
      <c r="D48" t="n">
        <v>229788</v>
      </c>
      <c r="E48" t="n">
        <v>745.317378</v>
      </c>
      <c r="F48" t="n">
        <v>0.009999550208903548</v>
      </c>
    </row>
    <row r="49">
      <c r="A49" t="inlineStr">
        <is>
          <t>INE0DYJ01015</t>
        </is>
      </c>
      <c r="B49" t="inlineStr">
        <is>
          <t>SYRMA SGS TECHNOLOGY LIMITED</t>
        </is>
      </c>
      <c r="C49" t="inlineStr">
        <is>
          <t>Industrial Manufacturing</t>
        </is>
      </c>
      <c r="D49" t="n">
        <v>90001</v>
      </c>
      <c r="E49" t="n">
        <v>738.2332024999999</v>
      </c>
      <c r="F49" t="n">
        <v>0.009904505372043548</v>
      </c>
    </row>
    <row r="50">
      <c r="A50" t="inlineStr">
        <is>
          <t>INE520A01027</t>
        </is>
      </c>
      <c r="B50" t="inlineStr">
        <is>
          <t>Zensar Technologies Limited</t>
        </is>
      </c>
      <c r="C50" t="inlineStr">
        <is>
          <t>IT - Software</t>
        </is>
      </c>
      <c r="D50" t="n">
        <v>98058</v>
      </c>
      <c r="E50" t="n">
        <v>735.091797</v>
      </c>
      <c r="F50" t="n">
        <v>0.009862358706809377</v>
      </c>
    </row>
    <row r="51">
      <c r="A51" t="inlineStr">
        <is>
          <t>INE106T01025</t>
        </is>
      </c>
      <c r="B51" t="inlineStr">
        <is>
          <t>Hi-Tech Pipes Limited</t>
        </is>
      </c>
      <c r="C51" t="inlineStr">
        <is>
          <t>Industrial Products</t>
        </is>
      </c>
      <c r="D51" t="n">
        <v>725008</v>
      </c>
      <c r="E51" t="n">
        <v>731.6055728</v>
      </c>
      <c r="F51" t="n">
        <v>0.009815585781668492</v>
      </c>
    </row>
    <row r="52">
      <c r="A52" t="inlineStr">
        <is>
          <t>INE211R01019</t>
        </is>
      </c>
      <c r="B52" t="inlineStr">
        <is>
          <t>POWER MECH PROJECTS LIMITED</t>
        </is>
      </c>
      <c r="C52" t="inlineStr">
        <is>
          <t>Construction</t>
        </is>
      </c>
      <c r="D52" t="n">
        <v>30658</v>
      </c>
      <c r="E52" t="n">
        <v>729.077898</v>
      </c>
      <c r="F52" t="n">
        <v>0.009781673234047229</v>
      </c>
    </row>
    <row r="53">
      <c r="A53" t="inlineStr">
        <is>
          <t>INE331A01037</t>
        </is>
      </c>
      <c r="B53" t="inlineStr">
        <is>
          <t>The Ramco Cements Limited</t>
        </is>
      </c>
      <c r="C53" t="inlineStr">
        <is>
          <t>Cement &amp; Cement Products</t>
        </is>
      </c>
      <c r="D53" t="n">
        <v>66798</v>
      </c>
      <c r="E53" t="n">
        <v>693.02925</v>
      </c>
      <c r="F53" t="n">
        <v>0.009298026567165016</v>
      </c>
    </row>
    <row r="54">
      <c r="A54" t="inlineStr">
        <is>
          <t>INE872H01027</t>
        </is>
      </c>
      <c r="B54" t="inlineStr">
        <is>
          <t>Lumax Auto Technologies Limited</t>
        </is>
      </c>
      <c r="C54" t="inlineStr">
        <is>
          <t>Auto Components</t>
        </is>
      </c>
      <c r="D54" t="n">
        <v>42720</v>
      </c>
      <c r="E54" t="n">
        <v>656.30736</v>
      </c>
      <c r="F54" t="n">
        <v>0.008805347349344827</v>
      </c>
    </row>
    <row r="55">
      <c r="A55" t="inlineStr">
        <is>
          <t>INE244B01030</t>
        </is>
      </c>
      <c r="B55" t="inlineStr">
        <is>
          <t>Patel Engineering Limited</t>
        </is>
      </c>
      <c r="C55" t="inlineStr">
        <is>
          <t>Construction</t>
        </is>
      </c>
      <c r="D55" t="n">
        <v>1800000</v>
      </c>
      <c r="E55" t="n">
        <v>653.76</v>
      </c>
      <c r="F55" t="n">
        <v>0.008771170695248146</v>
      </c>
    </row>
    <row r="56">
      <c r="A56" t="inlineStr">
        <is>
          <t>INE980O01024</t>
        </is>
      </c>
      <c r="B56" t="inlineStr">
        <is>
          <t>Jyoti Cnc Automation Ltd</t>
        </is>
      </c>
      <c r="C56" t="inlineStr">
        <is>
          <t>Industrial Manufacturing</t>
        </is>
      </c>
      <c r="D56" t="n">
        <v>64397</v>
      </c>
      <c r="E56" t="n">
        <v>650.5706925</v>
      </c>
      <c r="F56" t="n">
        <v>0.008728381352856234</v>
      </c>
    </row>
    <row r="57">
      <c r="A57" t="inlineStr">
        <is>
          <t>INE063P01018</t>
        </is>
      </c>
      <c r="B57" t="inlineStr">
        <is>
          <t>EQUITAS SMALL FINANCE BANK LIMITED</t>
        </is>
      </c>
      <c r="C57" t="inlineStr">
        <is>
          <t>Banks</t>
        </is>
      </c>
      <c r="D57" t="n">
        <v>1000000</v>
      </c>
      <c r="E57" t="n">
        <v>641.6</v>
      </c>
      <c r="F57" t="n">
        <v>0.008608026061660563</v>
      </c>
    </row>
    <row r="58">
      <c r="A58" t="inlineStr">
        <is>
          <t>INE112L01020</t>
        </is>
      </c>
      <c r="B58" t="inlineStr">
        <is>
          <t>Metropolis Healthcare Limited</t>
        </is>
      </c>
      <c r="C58" t="inlineStr">
        <is>
          <t>Healthcare Services</t>
        </is>
      </c>
      <c r="D58" t="n">
        <v>31769</v>
      </c>
      <c r="E58" t="n">
        <v>613.45939</v>
      </c>
      <c r="F58" t="n">
        <v>0.008230477582435149</v>
      </c>
    </row>
    <row r="59">
      <c r="A59" t="inlineStr">
        <is>
          <t>INE810G01011</t>
        </is>
      </c>
      <c r="B59" t="inlineStr">
        <is>
          <t>Shyam Metalics and Energy Ltd.</t>
        </is>
      </c>
      <c r="C59" t="inlineStr">
        <is>
          <t>Industrial Products</t>
        </is>
      </c>
      <c r="D59" t="n">
        <v>75000</v>
      </c>
      <c r="E59" t="n">
        <v>610.425</v>
      </c>
      <c r="F59" t="n">
        <v>0.008189766690600295</v>
      </c>
    </row>
    <row r="60">
      <c r="A60" t="inlineStr">
        <is>
          <t>INE0W2G01015</t>
        </is>
      </c>
      <c r="B60" t="inlineStr">
        <is>
          <t>SAGILITY INDIA LIMITED</t>
        </is>
      </c>
      <c r="C60" t="inlineStr">
        <is>
          <t>IT - Services</t>
        </is>
      </c>
      <c r="D60" t="n">
        <v>1200000</v>
      </c>
      <c r="E60" t="n">
        <v>600.96</v>
      </c>
      <c r="F60" t="n">
        <v>0.00806277952309154</v>
      </c>
    </row>
    <row r="61">
      <c r="A61" t="inlineStr">
        <is>
          <t>INE287B01021</t>
        </is>
      </c>
      <c r="B61" t="inlineStr">
        <is>
          <t>SUBROS LIMITED</t>
        </is>
      </c>
      <c r="C61" t="inlineStr">
        <is>
          <t>Industrial Products</t>
        </is>
      </c>
      <c r="D61" t="n">
        <v>69963</v>
      </c>
      <c r="E61" t="n">
        <v>598.533465</v>
      </c>
      <c r="F61" t="n">
        <v>0.008030223917543641</v>
      </c>
    </row>
    <row r="62">
      <c r="A62" t="inlineStr">
        <is>
          <t>INE350C01017</t>
        </is>
      </c>
      <c r="B62" t="inlineStr">
        <is>
          <t>OPTIEMUS INFRACOM LIMITED</t>
        </is>
      </c>
      <c r="C62" t="inlineStr">
        <is>
          <t>Telecom - Equipment &amp; Accessories</t>
        </is>
      </c>
      <c r="D62" t="n">
        <v>99500</v>
      </c>
      <c r="E62" t="n">
        <v>561.03075</v>
      </c>
      <c r="F62" t="n">
        <v>0.007527068761522712</v>
      </c>
    </row>
    <row r="63">
      <c r="A63" t="inlineStr">
        <is>
          <t>INE342J01019</t>
        </is>
      </c>
      <c r="B63" t="inlineStr">
        <is>
          <t>ZF Comm. Vehicle Control Systems Ind Ltd</t>
        </is>
      </c>
      <c r="C63" t="inlineStr">
        <is>
          <t>Auto Components</t>
        </is>
      </c>
      <c r="D63" t="n">
        <v>3924</v>
      </c>
      <c r="E63" t="n">
        <v>518.12496</v>
      </c>
      <c r="F63" t="n">
        <v>0.006951423252613524</v>
      </c>
    </row>
    <row r="64">
      <c r="A64" t="inlineStr">
        <is>
          <t>INE08N601015</t>
        </is>
      </c>
      <c r="B64" t="inlineStr">
        <is>
          <t>M&amp;B Engineering Limited</t>
        </is>
      </c>
      <c r="C64" t="inlineStr">
        <is>
          <t>Construction</t>
        </is>
      </c>
      <c r="D64" t="n">
        <v>129884</v>
      </c>
      <c r="E64" t="n">
        <v>506.677484</v>
      </c>
      <c r="F64" t="n">
        <v>0.006797838196896201</v>
      </c>
    </row>
    <row r="65">
      <c r="A65" t="inlineStr">
        <is>
          <t>INE881D01027</t>
        </is>
      </c>
      <c r="B65" t="inlineStr">
        <is>
          <t>Oracle Financial Services Software</t>
        </is>
      </c>
      <c r="C65" t="inlineStr">
        <is>
          <t>IT - Software</t>
        </is>
      </c>
      <c r="D65" t="n">
        <v>6000</v>
      </c>
      <c r="E65" t="n">
        <v>486.42</v>
      </c>
      <c r="F65" t="n">
        <v>0.006526053673492723</v>
      </c>
    </row>
    <row r="66">
      <c r="A66" t="inlineStr">
        <is>
          <t>INE596I01012</t>
        </is>
      </c>
      <c r="B66" t="inlineStr">
        <is>
          <t>Computer Age Management Services Limited</t>
        </is>
      </c>
      <c r="C66" t="inlineStr">
        <is>
          <t>Capital Markets</t>
        </is>
      </c>
      <c r="D66" t="n">
        <v>12000</v>
      </c>
      <c r="E66" t="n">
        <v>464.436</v>
      </c>
      <c r="F66" t="n">
        <v>0.0062311053490857</v>
      </c>
    </row>
    <row r="67">
      <c r="A67" t="inlineStr">
        <is>
          <t>INE085001019</t>
        </is>
      </c>
      <c r="B67" t="inlineStr">
        <is>
          <t>WeWork India Management Limited</t>
        </is>
      </c>
      <c r="C67" t="inlineStr">
        <is>
          <t>Commercial Services &amp; Supplies</t>
        </is>
      </c>
      <c r="D67" t="n">
        <v>77142</v>
      </c>
      <c r="E67" t="n">
        <v>461.579157</v>
      </c>
      <c r="F67" t="n">
        <v>0.006192776516482719</v>
      </c>
    </row>
    <row r="68">
      <c r="A68" t="inlineStr">
        <is>
          <t>INE750C01026</t>
        </is>
      </c>
      <c r="B68" t="inlineStr">
        <is>
          <t>Marksans Pharma Limited</t>
        </is>
      </c>
      <c r="C68" t="inlineStr">
        <is>
          <t>Pharmaceuticals &amp; Biotechnology</t>
        </is>
      </c>
      <c r="D68" t="n">
        <v>243530</v>
      </c>
      <c r="E68" t="n">
        <v>457.714635</v>
      </c>
      <c r="F68" t="n">
        <v>0.006140928159107625</v>
      </c>
    </row>
    <row r="69">
      <c r="A69" t="inlineStr">
        <is>
          <t>INE732A01036</t>
        </is>
      </c>
      <c r="B69" t="inlineStr">
        <is>
          <t>KIRLOSKAR BROTHERS LIMITED</t>
        </is>
      </c>
      <c r="C69" t="inlineStr">
        <is>
          <t>Industrial Products</t>
        </is>
      </c>
      <c r="D69" t="n">
        <v>25000</v>
      </c>
      <c r="E69" t="n">
        <v>422.575</v>
      </c>
      <c r="F69" t="n">
        <v>0.005669477264660556</v>
      </c>
    </row>
    <row r="70">
      <c r="A70" t="inlineStr">
        <is>
          <t>INE0AQ201015</t>
        </is>
      </c>
      <c r="B70" t="inlineStr">
        <is>
          <t>Schloss Bangalore Limited</t>
        </is>
      </c>
      <c r="C70" t="inlineStr">
        <is>
          <t>Leisure Services</t>
        </is>
      </c>
      <c r="D70" t="n">
        <v>18737</v>
      </c>
      <c r="E70" t="n">
        <v>77.1495975</v>
      </c>
      <c r="F70" t="n">
        <v>0.001035077534174911</v>
      </c>
    </row>
    <row r="71">
      <c r="B71" t="inlineStr">
        <is>
          <t>Sub Total</t>
        </is>
      </c>
      <c r="E71" t="n">
        <v>72180.12613900003</v>
      </c>
      <c r="F71" t="n">
        <v>0.9684046242806404</v>
      </c>
    </row>
    <row r="72">
      <c r="B72" t="inlineStr">
        <is>
          <t>(b) Unlisted</t>
        </is>
      </c>
      <c r="E72" t="inlineStr">
        <is>
          <t>NIL</t>
        </is>
      </c>
      <c r="F72" t="inlineStr">
        <is>
          <t>NIL</t>
        </is>
      </c>
    </row>
    <row r="73">
      <c r="B73" t="inlineStr">
        <is>
          <t>Sub Total</t>
        </is>
      </c>
      <c r="E73" t="inlineStr">
        <is>
          <t>NIL</t>
        </is>
      </c>
      <c r="F73" t="inlineStr">
        <is>
          <t>NIL</t>
        </is>
      </c>
    </row>
    <row r="74">
      <c r="B74" t="inlineStr">
        <is>
          <t>Total</t>
        </is>
      </c>
      <c r="E74" t="n">
        <v>72180.12613900003</v>
      </c>
      <c r="F74" t="n">
        <v>0.9684046242806404</v>
      </c>
    </row>
    <row r="75"/>
    <row r="76">
      <c r="B76" t="inlineStr">
        <is>
          <t>DEBT INSTRUMENTS</t>
        </is>
      </c>
    </row>
    <row r="77">
      <c r="B77" t="inlineStr">
        <is>
          <t>(a) Listed / awaiting listing on Stock Exchanges</t>
        </is>
      </c>
      <c r="E77" t="inlineStr">
        <is>
          <t>NIL</t>
        </is>
      </c>
      <c r="F77" t="inlineStr">
        <is>
          <t>NIL</t>
        </is>
      </c>
    </row>
    <row r="78">
      <c r="B78" t="inlineStr">
        <is>
          <t>Sub Total</t>
        </is>
      </c>
      <c r="E78" t="inlineStr">
        <is>
          <t>NIL</t>
        </is>
      </c>
      <c r="F78" t="inlineStr">
        <is>
          <t>NIL</t>
        </is>
      </c>
    </row>
    <row r="79">
      <c r="B79" t="inlineStr">
        <is>
          <t>(b) Privately placed / Unlisted</t>
        </is>
      </c>
      <c r="E79" t="inlineStr">
        <is>
          <t>NIL</t>
        </is>
      </c>
      <c r="F79" t="inlineStr">
        <is>
          <t>NIL</t>
        </is>
      </c>
    </row>
    <row r="80">
      <c r="B80" t="inlineStr">
        <is>
          <t>Sub Total</t>
        </is>
      </c>
      <c r="E80" t="inlineStr">
        <is>
          <t>NIL</t>
        </is>
      </c>
      <c r="F80" t="inlineStr">
        <is>
          <t>NIL</t>
        </is>
      </c>
    </row>
    <row r="81">
      <c r="B81" t="inlineStr">
        <is>
          <t>(c) Securitized Debt Instruments</t>
        </is>
      </c>
      <c r="E81" t="inlineStr">
        <is>
          <t>NIL</t>
        </is>
      </c>
      <c r="F81" t="inlineStr">
        <is>
          <t>NIL</t>
        </is>
      </c>
    </row>
    <row r="82">
      <c r="B82" t="inlineStr">
        <is>
          <t>Sub Total</t>
        </is>
      </c>
      <c r="E82" t="inlineStr">
        <is>
          <t>NIL</t>
        </is>
      </c>
      <c r="F82" t="inlineStr">
        <is>
          <t>NIL</t>
        </is>
      </c>
    </row>
    <row r="83">
      <c r="B83" t="inlineStr">
        <is>
          <t>(d) Government Securities / SDL</t>
        </is>
      </c>
      <c r="E83" t="inlineStr">
        <is>
          <t>NIL</t>
        </is>
      </c>
      <c r="F83" t="inlineStr">
        <is>
          <t>NIL</t>
        </is>
      </c>
    </row>
    <row r="84">
      <c r="B84" t="inlineStr">
        <is>
          <t>Sub Total</t>
        </is>
      </c>
      <c r="E84" t="inlineStr">
        <is>
          <t>NIL</t>
        </is>
      </c>
      <c r="F84" t="inlineStr">
        <is>
          <t>NIL</t>
        </is>
      </c>
    </row>
    <row r="85">
      <c r="B85" t="inlineStr">
        <is>
          <t>Total</t>
        </is>
      </c>
      <c r="E85" t="inlineStr">
        <is>
          <t>NIL</t>
        </is>
      </c>
      <c r="F85" t="inlineStr">
        <is>
          <t>NIL</t>
        </is>
      </c>
    </row>
    <row r="86"/>
    <row r="87">
      <c r="B87" t="inlineStr">
        <is>
          <t>MONEY MARKET INSTRUMENTS</t>
        </is>
      </c>
    </row>
    <row r="88">
      <c r="B88" t="inlineStr">
        <is>
          <t>Total</t>
        </is>
      </c>
      <c r="E88" t="inlineStr">
        <is>
          <t>NIL</t>
        </is>
      </c>
      <c r="F88" t="inlineStr">
        <is>
          <t>NIL</t>
        </is>
      </c>
    </row>
    <row r="89"/>
    <row r="90">
      <c r="B90" t="inlineStr">
        <is>
          <t>TREPS / Reverse Repo Investments / Corporate Debt Repo</t>
        </is>
      </c>
    </row>
    <row r="91">
      <c r="B91" t="inlineStr">
        <is>
          <t>CCIL</t>
        </is>
      </c>
      <c r="D91" t="n">
        <v>13039.9084</v>
      </c>
      <c r="E91" t="n">
        <v>1303.99084</v>
      </c>
      <c r="F91" t="n">
        <v>0.01749499241721734</v>
      </c>
      <c r="G91" t="inlineStr">
        <is>
          <t>01-DEC-2025</t>
        </is>
      </c>
      <c r="I91" t="n">
        <v>0.0543101</v>
      </c>
    </row>
    <row r="92">
      <c r="B92" t="inlineStr">
        <is>
          <t>Total</t>
        </is>
      </c>
      <c r="E92" t="n">
        <v>1303.99084</v>
      </c>
      <c r="F92" t="n">
        <v>0.01749499241721734</v>
      </c>
    </row>
    <row r="93"/>
    <row r="94">
      <c r="B94" t="inlineStr">
        <is>
          <t>Cash &amp; Cash Equivalents</t>
        </is>
      </c>
    </row>
    <row r="95">
      <c r="B95" t="inlineStr">
        <is>
          <t>Net Receivable/Payable</t>
        </is>
      </c>
      <c r="E95" t="n">
        <v>1050.973343</v>
      </c>
      <c r="F95" t="n">
        <v>0.01410038330214234</v>
      </c>
    </row>
    <row r="96">
      <c r="B96" t="inlineStr">
        <is>
          <t>Total</t>
        </is>
      </c>
      <c r="E96" t="n">
        <v>1050.973343</v>
      </c>
      <c r="F96" t="n">
        <v>0.01410038330214234</v>
      </c>
    </row>
    <row r="97">
      <c r="B97" t="inlineStr">
        <is>
          <t>Grand Total</t>
        </is>
      </c>
      <c r="E97" t="n">
        <v>74535.09032200003</v>
      </c>
      <c r="F97" t="n">
        <v>1</v>
      </c>
    </row>
    <row r="98"/>
    <row r="99"/>
    <row r="100">
      <c r="A100" t="inlineStr">
        <is>
          <t>Number of Instances of Deviation In valuation Of Securities as per Sebi circular ref no SEBI/HO/IMD/DF4/CIR/P/2019/102 dated September 24, 2019- Nil</t>
        </is>
      </c>
    </row>
    <row r="101">
      <c r="A101" t="inlineStr">
        <is>
          <t>^ YTC i.e. Yield to Call is disclosed at security level only for Additional Tier 1 Bonds and Tier 2 Bonds issued by Banks as per AMFI Best Practices Notification 135/BP/91/2020-21 read with SEBI circular SEBI/HO/IMD/DF4/CIR/P/2021/034</t>
        </is>
      </c>
    </row>
    <row r="102">
      <c r="A102" t="inlineStr">
        <is>
          <t>Where the scheme has invested in floating rate instruments and / or interest rate derivatives, the following disclaimer may be read in regard to such investment;</t>
        </is>
      </c>
    </row>
    <row r="103">
      <c r="A103"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04"/>
    <row r="105">
      <c r="A105" t="inlineStr">
        <is>
          <t>This Product is suitable for investors who are seeking*</t>
        </is>
      </c>
    </row>
    <row r="106">
      <c r="A106" t="inlineStr">
        <is>
          <t>•Long term wealth creation</t>
        </is>
      </c>
    </row>
    <row r="107">
      <c r="A107" t="inlineStr">
        <is>
          <t>•An open ended equity scheme that aims for capital appreciation by investing predominantly in equity &amp; equity related securities of small cap stocks.</t>
        </is>
      </c>
    </row>
    <row r="108">
      <c r="A108" t="inlineStr">
        <is>
          <t>*Investors should consult their financial advisers if in doubt about whether the product is suitable for them.</t>
        </is>
      </c>
    </row>
    <row r="109"/>
    <row r="110">
      <c r="A110" t="inlineStr">
        <is>
          <t xml:space="preserve">         Riskometer of the scheme </t>
        </is>
      </c>
      <c r="C110" t="inlineStr">
        <is>
          <t xml:space="preserve">                                                                                              Benchmark of the Scheme - Nifty Smallcap 250 TRI</t>
        </is>
      </c>
    </row>
    <row r="111"/>
    <row r="112"/>
    <row r="113"/>
    <row r="114"/>
    <row r="115"/>
    <row r="116"/>
    <row r="117"/>
    <row r="118"/>
    <row r="119"/>
    <row r="120"/>
    <row r="121">
      <c r="A121" t="inlineStr">
        <is>
          <t>The risk of the scheme is Very High</t>
        </is>
      </c>
      <c r="C121" t="inlineStr">
        <is>
          <t xml:space="preserve"> The risk of the benchmark is Very High </t>
        </is>
      </c>
    </row>
    <row r="122"/>
    <row r="123">
      <c r="A123" t="inlineStr">
        <is>
          <t>Scheme performance</t>
        </is>
      </c>
    </row>
    <row r="124"/>
    <row r="125">
      <c r="A125" t="inlineStr">
        <is>
          <t>Regular Plan</t>
        </is>
      </c>
    </row>
    <row r="126">
      <c r="A126" t="inlineStr">
        <is>
          <t>https://www.jmfinancialmf.com/products/Equity/JM-Small-Cap-Fund/J649/Regular-Plan-Growth-Option</t>
        </is>
      </c>
    </row>
    <row r="127"/>
    <row r="128">
      <c r="A128" t="inlineStr">
        <is>
          <t>Direct Plan</t>
        </is>
      </c>
    </row>
    <row r="129">
      <c r="A129" t="inlineStr">
        <is>
          <t>https://www.jmfinancialmf.com/products/Equity/JM-Small-Cap-Fund/J647/Direct-Plan-Growth-Option</t>
        </is>
      </c>
    </row>
    <row r="130"/>
    <row r="13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FD129"/>
  <sheetViews>
    <sheetView workbookViewId="0">
      <selection activeCell="A1" sqref="A1"/>
    </sheetView>
  </sheetViews>
  <sheetFormatPr baseColWidth="8" defaultRowHeight="15"/>
  <sheetData>
    <row r="1">
      <c r="B1" t="inlineStr">
        <is>
          <t>JM Financial Mutual Fund</t>
        </is>
      </c>
    </row>
    <row r="2">
      <c r="B2" t="inlineStr">
        <is>
          <t>JM Flexicap Fund (An open ended dynamic equity scheme investing across large cap, mid cap, small cap stocks.)</t>
        </is>
      </c>
    </row>
    <row r="3">
      <c r="B3" t="inlineStr">
        <is>
          <t>Monthly Portfolio Statement for the period ended 30.11.2025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INE002A01018</t>
        </is>
      </c>
      <c r="B7" t="inlineStr">
        <is>
          <t>Reliance Industries Limited</t>
        </is>
      </c>
      <c r="C7" t="inlineStr">
        <is>
          <t>Petroleum Products</t>
        </is>
      </c>
      <c r="D7" t="n">
        <v>1967880</v>
      </c>
      <c r="E7" t="n">
        <v>30846.519</v>
      </c>
      <c r="F7" t="n">
        <v>0.05127995849435183</v>
      </c>
    </row>
    <row r="8">
      <c r="A8" t="inlineStr">
        <is>
          <t>INE018A01030</t>
        </is>
      </c>
      <c r="B8" t="inlineStr">
        <is>
          <t>Larsen &amp; Toubro Limited</t>
        </is>
      </c>
      <c r="C8" t="inlineStr">
        <is>
          <t>Construction</t>
        </is>
      </c>
      <c r="D8" t="n">
        <v>732359</v>
      </c>
      <c r="E8" t="n">
        <v>29804.081864</v>
      </c>
      <c r="F8" t="n">
        <v>0.04954698716403573</v>
      </c>
    </row>
    <row r="9">
      <c r="A9" t="inlineStr">
        <is>
          <t>INE062A01020</t>
        </is>
      </c>
      <c r="B9" t="inlineStr">
        <is>
          <t>State Bank of India</t>
        </is>
      </c>
      <c r="C9" t="inlineStr">
        <is>
          <t>Banks</t>
        </is>
      </c>
      <c r="D9" t="n">
        <v>3005000</v>
      </c>
      <c r="E9" t="n">
        <v>29418.95</v>
      </c>
      <c r="F9" t="n">
        <v>0.04890673514724342</v>
      </c>
    </row>
    <row r="10">
      <c r="A10" t="inlineStr">
        <is>
          <t>INE397D01024</t>
        </is>
      </c>
      <c r="B10" t="inlineStr">
        <is>
          <t>Bharti Airtel Limited</t>
        </is>
      </c>
      <c r="C10" t="inlineStr">
        <is>
          <t>Telecom - Services</t>
        </is>
      </c>
      <c r="D10" t="n">
        <v>1332200</v>
      </c>
      <c r="E10" t="n">
        <v>27997.5152</v>
      </c>
      <c r="F10" t="n">
        <v>0.0465437094344741</v>
      </c>
    </row>
    <row r="11">
      <c r="A11" t="inlineStr">
        <is>
          <t>INE669C01036</t>
        </is>
      </c>
      <c r="B11" t="inlineStr">
        <is>
          <t>Tech Mahindra Limited</t>
        </is>
      </c>
      <c r="C11" t="inlineStr">
        <is>
          <t>IT - Software</t>
        </is>
      </c>
      <c r="D11" t="n">
        <v>1840908</v>
      </c>
      <c r="E11" t="n">
        <v>27932.097084</v>
      </c>
      <c r="F11" t="n">
        <v>0.04643495686264391</v>
      </c>
    </row>
    <row r="12">
      <c r="A12" t="inlineStr">
        <is>
          <t>INE090A01021</t>
        </is>
      </c>
      <c r="B12" t="inlineStr">
        <is>
          <t>ICICI Bank Limited</t>
        </is>
      </c>
      <c r="C12" t="inlineStr">
        <is>
          <t>Banks</t>
        </is>
      </c>
      <c r="D12" t="n">
        <v>2000000</v>
      </c>
      <c r="E12" t="n">
        <v>27776</v>
      </c>
      <c r="F12" t="n">
        <v>0.04617545750102683</v>
      </c>
    </row>
    <row r="13">
      <c r="A13" t="inlineStr">
        <is>
          <t>INE260B01028</t>
        </is>
      </c>
      <c r="B13" t="inlineStr">
        <is>
          <t>Godfrey Phillips India Limited</t>
        </is>
      </c>
      <c r="C13" t="inlineStr">
        <is>
          <t>Cigarettes &amp; Tobacco Products</t>
        </is>
      </c>
      <c r="D13" t="n">
        <v>794101</v>
      </c>
      <c r="E13" t="n">
        <v>22814.52173</v>
      </c>
      <c r="F13" t="n">
        <v>0.03792738258028039</v>
      </c>
    </row>
    <row r="14">
      <c r="A14" t="inlineStr">
        <is>
          <t>INE040A01034</t>
        </is>
      </c>
      <c r="B14" t="inlineStr">
        <is>
          <t>HDFC Bank Limited</t>
        </is>
      </c>
      <c r="C14" t="inlineStr">
        <is>
          <t>Banks</t>
        </is>
      </c>
      <c r="D14" t="n">
        <v>2000000</v>
      </c>
      <c r="E14" t="n">
        <v>20152</v>
      </c>
      <c r="F14" t="n">
        <v>0.03350114557750189</v>
      </c>
    </row>
    <row r="15">
      <c r="A15" t="inlineStr">
        <is>
          <t>INE982J01020</t>
        </is>
      </c>
      <c r="B15" t="inlineStr">
        <is>
          <t>One 97 Communications Limited</t>
        </is>
      </c>
      <c r="C15" t="inlineStr">
        <is>
          <t>Financial Technology (Fintech)</t>
        </is>
      </c>
      <c r="D15" t="n">
        <v>1251745</v>
      </c>
      <c r="E15" t="n">
        <v>16530.54447</v>
      </c>
      <c r="F15" t="n">
        <v>0.02748075509948585</v>
      </c>
    </row>
    <row r="16">
      <c r="A16" t="inlineStr">
        <is>
          <t>INE009A01021</t>
        </is>
      </c>
      <c r="B16" t="inlineStr">
        <is>
          <t>Infosys Limited</t>
        </is>
      </c>
      <c r="C16" t="inlineStr">
        <is>
          <t>IT - Software</t>
        </is>
      </c>
      <c r="D16" t="n">
        <v>1037257</v>
      </c>
      <c r="E16" t="n">
        <v>16182.246457</v>
      </c>
      <c r="F16" t="n">
        <v>0.02690173651880564</v>
      </c>
    </row>
    <row r="17">
      <c r="A17" t="inlineStr">
        <is>
          <t>INE437A01024</t>
        </is>
      </c>
      <c r="B17" t="inlineStr">
        <is>
          <t>Apollo Hospitals Enterprise Limited</t>
        </is>
      </c>
      <c r="C17" t="inlineStr">
        <is>
          <t>Healthcare Services</t>
        </is>
      </c>
      <c r="D17" t="n">
        <v>200000</v>
      </c>
      <c r="E17" t="n">
        <v>14671</v>
      </c>
      <c r="F17" t="n">
        <v>0.02438940585388697</v>
      </c>
    </row>
    <row r="18">
      <c r="A18" t="inlineStr">
        <is>
          <t>INE338I01027</t>
        </is>
      </c>
      <c r="B18" t="inlineStr">
        <is>
          <t>Motilal Oswal Financial Services</t>
        </is>
      </c>
      <c r="C18" t="inlineStr">
        <is>
          <t>Capital Markets</t>
        </is>
      </c>
      <c r="D18" t="n">
        <v>1304618</v>
      </c>
      <c r="E18" t="n">
        <v>12517.157401</v>
      </c>
      <c r="F18" t="n">
        <v>0.02080880866948225</v>
      </c>
    </row>
    <row r="19">
      <c r="A19" t="inlineStr">
        <is>
          <t>INE551W01018</t>
        </is>
      </c>
      <c r="B19" t="inlineStr">
        <is>
          <t>Ujjivan Small Finance Bank Limited</t>
        </is>
      </c>
      <c r="C19" t="inlineStr">
        <is>
          <t>Banks</t>
        </is>
      </c>
      <c r="D19" t="n">
        <v>22564178</v>
      </c>
      <c r="E19" t="n">
        <v>12281.6820854</v>
      </c>
      <c r="F19" t="n">
        <v>0.02041734912066209</v>
      </c>
    </row>
    <row r="20">
      <c r="A20" t="inlineStr">
        <is>
          <t>INE758T01015</t>
        </is>
      </c>
      <c r="B20" t="inlineStr">
        <is>
          <t>Eternal Limited</t>
        </is>
      </c>
      <c r="C20" t="inlineStr">
        <is>
          <t>Retailing</t>
        </is>
      </c>
      <c r="D20" t="n">
        <v>4069640</v>
      </c>
      <c r="E20" t="n">
        <v>12212.98964</v>
      </c>
      <c r="F20" t="n">
        <v>0.02030315322876947</v>
      </c>
    </row>
    <row r="21">
      <c r="A21" t="inlineStr">
        <is>
          <t>INE089A01031</t>
        </is>
      </c>
      <c r="B21" t="inlineStr">
        <is>
          <t>Dr. Reddy's Laboratories Limited</t>
        </is>
      </c>
      <c r="C21" t="inlineStr">
        <is>
          <t>Pharmaceuticals &amp; Biotechnology</t>
        </is>
      </c>
      <c r="D21" t="n">
        <v>966532</v>
      </c>
      <c r="E21" t="n">
        <v>12166.704816</v>
      </c>
      <c r="F21" t="n">
        <v>0.02022620827904473</v>
      </c>
    </row>
    <row r="22">
      <c r="A22" t="inlineStr">
        <is>
          <t>INE371P01015</t>
        </is>
      </c>
      <c r="B22" t="inlineStr">
        <is>
          <t>Amber Enterprises India Limited</t>
        </is>
      </c>
      <c r="C22" t="inlineStr">
        <is>
          <t>Consumer Durables</t>
        </is>
      </c>
      <c r="D22" t="n">
        <v>168512</v>
      </c>
      <c r="E22" t="n">
        <v>12100.84672</v>
      </c>
      <c r="F22" t="n">
        <v>0.02011672427440236</v>
      </c>
    </row>
    <row r="23">
      <c r="A23" t="inlineStr">
        <is>
          <t>INE745G01035</t>
        </is>
      </c>
      <c r="B23" t="inlineStr">
        <is>
          <t>Multi Commodity Exchange of India Ltd.</t>
        </is>
      </c>
      <c r="C23" t="inlineStr">
        <is>
          <t>Capital Markets</t>
        </is>
      </c>
      <c r="D23" t="n">
        <v>118376</v>
      </c>
      <c r="E23" t="n">
        <v>11924.60636</v>
      </c>
      <c r="F23" t="n">
        <v>0.01982373827018484</v>
      </c>
    </row>
    <row r="24">
      <c r="A24" t="inlineStr">
        <is>
          <t>INE585B01010</t>
        </is>
      </c>
      <c r="B24" t="inlineStr">
        <is>
          <t>Maruti Suzuki India Limited</t>
        </is>
      </c>
      <c r="C24" t="inlineStr">
        <is>
          <t>Automobiles</t>
        </is>
      </c>
      <c r="D24" t="n">
        <v>70000</v>
      </c>
      <c r="E24" t="n">
        <v>11130</v>
      </c>
      <c r="F24" t="n">
        <v>0.0185027664885667</v>
      </c>
    </row>
    <row r="25">
      <c r="A25" t="inlineStr">
        <is>
          <t>INE797F01020</t>
        </is>
      </c>
      <c r="B25" t="inlineStr">
        <is>
          <t>Jubilant Foodworks Limited</t>
        </is>
      </c>
      <c r="C25" t="inlineStr">
        <is>
          <t>Leisure Services</t>
        </is>
      </c>
      <c r="D25" t="n">
        <v>1650000</v>
      </c>
      <c r="E25" t="n">
        <v>9924.75</v>
      </c>
      <c r="F25" t="n">
        <v>0.01649913133040452</v>
      </c>
    </row>
    <row r="26">
      <c r="A26" t="inlineStr">
        <is>
          <t>INE466L01038</t>
        </is>
      </c>
      <c r="B26" t="inlineStr">
        <is>
          <t>360 ONE WAM LIMITED</t>
        </is>
      </c>
      <c r="C26" t="inlineStr">
        <is>
          <t>Capital Markets</t>
        </is>
      </c>
      <c r="D26" t="n">
        <v>827078</v>
      </c>
      <c r="E26" t="n">
        <v>9785.986896</v>
      </c>
      <c r="F26" t="n">
        <v>0.01626844837348262</v>
      </c>
    </row>
    <row r="27">
      <c r="A27" t="inlineStr">
        <is>
          <t>INE158A01026</t>
        </is>
      </c>
      <c r="B27" t="inlineStr">
        <is>
          <t>Hero MotoCorp Limited</t>
        </is>
      </c>
      <c r="C27" t="inlineStr">
        <is>
          <t>Automobiles</t>
        </is>
      </c>
      <c r="D27" t="n">
        <v>150000</v>
      </c>
      <c r="E27" t="n">
        <v>9261.75</v>
      </c>
      <c r="F27" t="n">
        <v>0.015396944970843</v>
      </c>
    </row>
    <row r="28">
      <c r="A28" t="inlineStr">
        <is>
          <t>INE066F01020</t>
        </is>
      </c>
      <c r="B28" t="inlineStr">
        <is>
          <t>Hindustan Aeronautics Limited</t>
        </is>
      </c>
      <c r="C28" t="inlineStr">
        <is>
          <t>Aerospace &amp; Defense</t>
        </is>
      </c>
      <c r="D28" t="n">
        <v>200000</v>
      </c>
      <c r="E28" t="n">
        <v>9084.799999999999</v>
      </c>
      <c r="F28" t="n">
        <v>0.0151027792448635</v>
      </c>
    </row>
    <row r="29">
      <c r="A29" t="inlineStr">
        <is>
          <t>INE034A01011</t>
        </is>
      </c>
      <c r="B29" t="inlineStr">
        <is>
          <t>Arvind Limited</t>
        </is>
      </c>
      <c r="C29" t="inlineStr">
        <is>
          <t>Textiles &amp; Apparels</t>
        </is>
      </c>
      <c r="D29" t="n">
        <v>2560470</v>
      </c>
      <c r="E29" t="n">
        <v>9025.65675</v>
      </c>
      <c r="F29" t="n">
        <v>0.01500445815374715</v>
      </c>
    </row>
    <row r="30">
      <c r="A30" t="inlineStr">
        <is>
          <t>INE881D01027</t>
        </is>
      </c>
      <c r="B30" t="inlineStr">
        <is>
          <t>Oracle Financial Services Software</t>
        </is>
      </c>
      <c r="C30" t="inlineStr">
        <is>
          <t>IT - Software</t>
        </is>
      </c>
      <c r="D30" t="n">
        <v>107675</v>
      </c>
      <c r="E30" t="n">
        <v>8729.21225</v>
      </c>
      <c r="F30" t="n">
        <v>0.01451164203871392</v>
      </c>
    </row>
    <row r="31">
      <c r="A31" t="inlineStr">
        <is>
          <t>INE742F01042</t>
        </is>
      </c>
      <c r="B31" t="inlineStr">
        <is>
          <t>Adani Port &amp; Special Economic Zone Ltd</t>
        </is>
      </c>
      <c r="C31" t="inlineStr">
        <is>
          <t>Transport Infrastructure</t>
        </is>
      </c>
      <c r="D31" t="n">
        <v>560001</v>
      </c>
      <c r="E31" t="n">
        <v>8494.655169</v>
      </c>
      <c r="F31" t="n">
        <v>0.01412170898408833</v>
      </c>
    </row>
    <row r="32">
      <c r="A32" t="inlineStr">
        <is>
          <t>INE257A01026</t>
        </is>
      </c>
      <c r="B32" t="inlineStr">
        <is>
          <t>Bharat Heavy Electricals Limited</t>
        </is>
      </c>
      <c r="C32" t="inlineStr">
        <is>
          <t>Electrical Equipment</t>
        </is>
      </c>
      <c r="D32" t="n">
        <v>2850000</v>
      </c>
      <c r="E32" t="n">
        <v>8289.225</v>
      </c>
      <c r="F32" t="n">
        <v>0.0137801971739613</v>
      </c>
    </row>
    <row r="33">
      <c r="A33" t="inlineStr">
        <is>
          <t>INE291A01017</t>
        </is>
      </c>
      <c r="B33" t="inlineStr">
        <is>
          <t>Garware Hi-Tech Films Ltd</t>
        </is>
      </c>
      <c r="C33" t="inlineStr">
        <is>
          <t>Industrial Products</t>
        </is>
      </c>
      <c r="D33" t="n">
        <v>207812</v>
      </c>
      <c r="E33" t="n">
        <v>8165.97254</v>
      </c>
      <c r="F33" t="n">
        <v>0.01357529946627744</v>
      </c>
    </row>
    <row r="34">
      <c r="A34" t="inlineStr">
        <is>
          <t>INE619B01017</t>
        </is>
      </c>
      <c r="B34" t="inlineStr">
        <is>
          <t>Newgen Software Technologies Limited</t>
        </is>
      </c>
      <c r="C34" t="inlineStr">
        <is>
          <t>IT - Software</t>
        </is>
      </c>
      <c r="D34" t="n">
        <v>899886</v>
      </c>
      <c r="E34" t="n">
        <v>7929.345489</v>
      </c>
      <c r="F34" t="n">
        <v>0.01318192524619377</v>
      </c>
    </row>
    <row r="35">
      <c r="A35" t="inlineStr">
        <is>
          <t>INE756I01012</t>
        </is>
      </c>
      <c r="B35" t="inlineStr">
        <is>
          <t>HDB Financial Services Limited</t>
        </is>
      </c>
      <c r="C35" t="inlineStr">
        <is>
          <t>Finance</t>
        </is>
      </c>
      <c r="D35" t="n">
        <v>1030860</v>
      </c>
      <c r="E35" t="n">
        <v>7908.75792</v>
      </c>
      <c r="F35" t="n">
        <v>0.01314770000075134</v>
      </c>
    </row>
    <row r="36">
      <c r="A36" t="inlineStr">
        <is>
          <t>INE063P01018</t>
        </is>
      </c>
      <c r="B36" t="inlineStr">
        <is>
          <t>EQUITAS SMALL FINANCE BANK LIMITED</t>
        </is>
      </c>
      <c r="C36" t="inlineStr">
        <is>
          <t>Banks</t>
        </is>
      </c>
      <c r="D36" t="n">
        <v>12052956</v>
      </c>
      <c r="E36" t="n">
        <v>7733.1765696</v>
      </c>
      <c r="F36" t="n">
        <v>0.01285580954916119</v>
      </c>
    </row>
    <row r="37">
      <c r="A37" t="inlineStr">
        <is>
          <t>INE725G01011</t>
        </is>
      </c>
      <c r="B37" t="inlineStr">
        <is>
          <t>ICRA LIMITED</t>
        </is>
      </c>
      <c r="C37" t="inlineStr">
        <is>
          <t>Capital Markets</t>
        </is>
      </c>
      <c r="D37" t="n">
        <v>119873</v>
      </c>
      <c r="E37" t="n">
        <v>7429.72854</v>
      </c>
      <c r="F37" t="n">
        <v>0.01235135060638451</v>
      </c>
    </row>
    <row r="38">
      <c r="A38" t="inlineStr">
        <is>
          <t>INE646L01027</t>
        </is>
      </c>
      <c r="B38" t="inlineStr">
        <is>
          <t>InterGlobe Aviation Limited</t>
        </is>
      </c>
      <c r="C38" t="inlineStr">
        <is>
          <t>Transport Services</t>
        </is>
      </c>
      <c r="D38" t="n">
        <v>120000</v>
      </c>
      <c r="E38" t="n">
        <v>7081.8</v>
      </c>
      <c r="F38" t="n">
        <v>0.01177294624606753</v>
      </c>
    </row>
    <row r="39">
      <c r="A39" t="inlineStr">
        <is>
          <t>INE07T201019</t>
        </is>
      </c>
      <c r="B39" t="inlineStr">
        <is>
          <t>Restaurant Brands Asia Limited</t>
        </is>
      </c>
      <c r="C39" t="inlineStr">
        <is>
          <t>Leisure Services</t>
        </is>
      </c>
      <c r="D39" t="n">
        <v>11195067</v>
      </c>
      <c r="E39" t="n">
        <v>6973.4072343</v>
      </c>
      <c r="F39" t="n">
        <v>0.01159275163395639</v>
      </c>
    </row>
    <row r="40">
      <c r="A40" t="inlineStr">
        <is>
          <t>INE481G01011</t>
        </is>
      </c>
      <c r="B40" t="inlineStr">
        <is>
          <t>UltraTech Cement Limited</t>
        </is>
      </c>
      <c r="C40" t="inlineStr">
        <is>
          <t>Cement &amp; Cement Products</t>
        </is>
      </c>
      <c r="D40" t="n">
        <v>60000</v>
      </c>
      <c r="E40" t="n">
        <v>6960</v>
      </c>
      <c r="F40" t="n">
        <v>0.01157046314109831</v>
      </c>
    </row>
    <row r="41">
      <c r="A41" t="inlineStr">
        <is>
          <t>INE361B01024</t>
        </is>
      </c>
      <c r="B41" t="inlineStr">
        <is>
          <t>Divi's Laboratories Limited</t>
        </is>
      </c>
      <c r="C41" t="inlineStr">
        <is>
          <t>Pharmaceuticals &amp; Biotechnology</t>
        </is>
      </c>
      <c r="D41" t="n">
        <v>100000</v>
      </c>
      <c r="E41" t="n">
        <v>6477</v>
      </c>
      <c r="F41" t="n">
        <v>0.01076751289725485</v>
      </c>
    </row>
    <row r="42">
      <c r="A42" t="inlineStr">
        <is>
          <t>INE013P01021</t>
        </is>
      </c>
      <c r="B42" t="inlineStr">
        <is>
          <t>One Source Specialty Pharma Ltd</t>
        </is>
      </c>
      <c r="C42" t="inlineStr">
        <is>
          <t>Pharmaceuticals &amp; Biotechnology</t>
        </is>
      </c>
      <c r="D42" t="n">
        <v>422180</v>
      </c>
      <c r="E42" t="n">
        <v>6468.64196</v>
      </c>
      <c r="F42" t="n">
        <v>0.01075361830045143</v>
      </c>
    </row>
    <row r="43">
      <c r="A43" t="inlineStr">
        <is>
          <t>INE324D01010</t>
        </is>
      </c>
      <c r="B43" t="inlineStr">
        <is>
          <t>LG Electronics India Limited</t>
        </is>
      </c>
      <c r="C43" t="inlineStr">
        <is>
          <t>Consumer Durables</t>
        </is>
      </c>
      <c r="D43" t="n">
        <v>379754</v>
      </c>
      <c r="E43" t="n">
        <v>6301.258122</v>
      </c>
      <c r="F43" t="n">
        <v>0.01047535558091198</v>
      </c>
    </row>
    <row r="44">
      <c r="A44" t="inlineStr">
        <is>
          <t>INE160A01022</t>
        </is>
      </c>
      <c r="B44" t="inlineStr">
        <is>
          <t>Punjab National Bank</t>
        </is>
      </c>
      <c r="C44" t="inlineStr">
        <is>
          <t>Banks</t>
        </is>
      </c>
      <c r="D44" t="n">
        <v>5000000</v>
      </c>
      <c r="E44" t="n">
        <v>6225</v>
      </c>
      <c r="F44" t="n">
        <v>0.01034858233524957</v>
      </c>
    </row>
    <row r="45">
      <c r="A45" t="inlineStr">
        <is>
          <t>INE092T01019</t>
        </is>
      </c>
      <c r="B45" t="inlineStr">
        <is>
          <t>IDFC First Bank Limited</t>
        </is>
      </c>
      <c r="C45" t="inlineStr">
        <is>
          <t>Banks</t>
        </is>
      </c>
      <c r="D45" t="n">
        <v>7500000</v>
      </c>
      <c r="E45" t="n">
        <v>6009.75</v>
      </c>
      <c r="F45" t="n">
        <v>0.009990745813536721</v>
      </c>
    </row>
    <row r="46">
      <c r="A46" t="inlineStr">
        <is>
          <t>INE741K01010</t>
        </is>
      </c>
      <c r="B46" t="inlineStr">
        <is>
          <t>Creditaccess Grameen Limited</t>
        </is>
      </c>
      <c r="C46" t="inlineStr">
        <is>
          <t>Finance</t>
        </is>
      </c>
      <c r="D46" t="n">
        <v>447623</v>
      </c>
      <c r="E46" t="n">
        <v>5985.167133</v>
      </c>
      <c r="F46" t="n">
        <v>0.0099498786933462</v>
      </c>
    </row>
    <row r="47">
      <c r="A47" t="inlineStr">
        <is>
          <t>INE03QK01018</t>
        </is>
      </c>
      <c r="B47" t="inlineStr">
        <is>
          <t>Cohance Lifesciences Limited</t>
        </is>
      </c>
      <c r="C47" t="inlineStr">
        <is>
          <t>Pharmaceuticals &amp; Biotechnology</t>
        </is>
      </c>
      <c r="D47" t="n">
        <v>1027676</v>
      </c>
      <c r="E47" t="n">
        <v>5800.203344</v>
      </c>
      <c r="F47" t="n">
        <v>0.009642390661297007</v>
      </c>
    </row>
    <row r="48">
      <c r="A48" t="inlineStr">
        <is>
          <t>INE465A01025</t>
        </is>
      </c>
      <c r="B48" t="inlineStr">
        <is>
          <t>Bharat Forge Limited</t>
        </is>
      </c>
      <c r="C48" t="inlineStr">
        <is>
          <t>Auto Components</t>
        </is>
      </c>
      <c r="D48" t="n">
        <v>400000</v>
      </c>
      <c r="E48" t="n">
        <v>5735.2</v>
      </c>
      <c r="F48" t="n">
        <v>0.009534327615923426</v>
      </c>
    </row>
    <row r="49">
      <c r="A49" t="inlineStr">
        <is>
          <t>INE377N01017</t>
        </is>
      </c>
      <c r="B49" t="inlineStr">
        <is>
          <t>WAAREE ENERGIES LIMITED</t>
        </is>
      </c>
      <c r="C49" t="inlineStr">
        <is>
          <t>Electrical Equipment</t>
        </is>
      </c>
      <c r="D49" t="n">
        <v>180775</v>
      </c>
      <c r="E49" t="n">
        <v>5735.086875</v>
      </c>
      <c r="F49" t="n">
        <v>0.00953413955433681</v>
      </c>
    </row>
    <row r="50">
      <c r="A50" t="inlineStr">
        <is>
          <t>INE067A01029</t>
        </is>
      </c>
      <c r="B50" t="inlineStr">
        <is>
          <t>CG Power And Industrial Solutions Ltd</t>
        </is>
      </c>
      <c r="C50" t="inlineStr">
        <is>
          <t>Electrical Equipment</t>
        </is>
      </c>
      <c r="D50" t="n">
        <v>744790</v>
      </c>
      <c r="E50" t="n">
        <v>5011.69191</v>
      </c>
      <c r="F50" t="n">
        <v>0.008331551224022356</v>
      </c>
    </row>
    <row r="51">
      <c r="A51" t="inlineStr">
        <is>
          <t>INE200M01039</t>
        </is>
      </c>
      <c r="B51" t="inlineStr">
        <is>
          <t>Varun Beverages Limited</t>
        </is>
      </c>
      <c r="C51" t="inlineStr">
        <is>
          <t>Beverages</t>
        </is>
      </c>
      <c r="D51" t="n">
        <v>1000000</v>
      </c>
      <c r="E51" t="n">
        <v>4815.5</v>
      </c>
      <c r="F51" t="n">
        <v>0.008005397306890649</v>
      </c>
    </row>
    <row r="52">
      <c r="A52" t="inlineStr">
        <is>
          <t>INE872J01023</t>
        </is>
      </c>
      <c r="B52" t="inlineStr">
        <is>
          <t>Devyani International Limited</t>
        </is>
      </c>
      <c r="C52" t="inlineStr">
        <is>
          <t>Leisure Services</t>
        </is>
      </c>
      <c r="D52" t="n">
        <v>3236989</v>
      </c>
      <c r="E52" t="n">
        <v>4390.6518796</v>
      </c>
      <c r="F52" t="n">
        <v>0.00729912007734279</v>
      </c>
    </row>
    <row r="53">
      <c r="A53" t="inlineStr">
        <is>
          <t>INE103V01028</t>
        </is>
      </c>
      <c r="B53" t="inlineStr">
        <is>
          <t>Travel Food Services Limited</t>
        </is>
      </c>
      <c r="C53" t="inlineStr">
        <is>
          <t>Leisure Services</t>
        </is>
      </c>
      <c r="D53" t="n">
        <v>323205</v>
      </c>
      <c r="E53" t="n">
        <v>4350.016095</v>
      </c>
      <c r="F53" t="n">
        <v>0.007231566219882459</v>
      </c>
    </row>
    <row r="54">
      <c r="A54" t="inlineStr">
        <is>
          <t>INE094A01015</t>
        </is>
      </c>
      <c r="B54" t="inlineStr">
        <is>
          <t>Hindustan Petroleum Corporation Limited</t>
        </is>
      </c>
      <c r="C54" t="inlineStr">
        <is>
          <t>Petroleum Products</t>
        </is>
      </c>
      <c r="D54" t="n">
        <v>937999</v>
      </c>
      <c r="E54" t="n">
        <v>4291.345425</v>
      </c>
      <c r="F54" t="n">
        <v>0.007134030756563703</v>
      </c>
    </row>
    <row r="55">
      <c r="A55" t="inlineStr">
        <is>
          <t>INE850M01015</t>
        </is>
      </c>
      <c r="B55" t="inlineStr">
        <is>
          <t>Northern Arc Capital Ltd</t>
        </is>
      </c>
      <c r="C55" t="inlineStr">
        <is>
          <t>Finance</t>
        </is>
      </c>
      <c r="D55" t="n">
        <v>1520711</v>
      </c>
      <c r="E55" t="n">
        <v>4097.5557895</v>
      </c>
      <c r="F55" t="n">
        <v>0.006811870435489044</v>
      </c>
    </row>
    <row r="56">
      <c r="A56" t="inlineStr">
        <is>
          <t>INE121A01024</t>
        </is>
      </c>
      <c r="B56" t="inlineStr">
        <is>
          <t>Cholamandalam Invest &amp; Finance Co Ltd</t>
        </is>
      </c>
      <c r="C56" t="inlineStr">
        <is>
          <t>Finance</t>
        </is>
      </c>
      <c r="D56" t="n">
        <v>209676</v>
      </c>
      <c r="E56" t="n">
        <v>3639.97536</v>
      </c>
      <c r="F56" t="n">
        <v>0.006051178266865813</v>
      </c>
    </row>
    <row r="57">
      <c r="A57" t="inlineStr">
        <is>
          <t>INE774D01024</t>
        </is>
      </c>
      <c r="B57" t="inlineStr">
        <is>
          <t>Mahindra &amp; Mahindra Financial Serv Ltd.</t>
        </is>
      </c>
      <c r="C57" t="inlineStr">
        <is>
          <t>Finance</t>
        </is>
      </c>
      <c r="D57" t="n">
        <v>959761</v>
      </c>
      <c r="E57" t="n">
        <v>3568.8712785</v>
      </c>
      <c r="F57" t="n">
        <v>0.005932973215978255</v>
      </c>
    </row>
    <row r="58">
      <c r="A58" t="inlineStr">
        <is>
          <t>INE227W01023</t>
        </is>
      </c>
      <c r="B58" t="inlineStr">
        <is>
          <t>Clean Science and Technology Limited</t>
        </is>
      </c>
      <c r="C58" t="inlineStr">
        <is>
          <t>Chemicals &amp; Petrochemicals</t>
        </is>
      </c>
      <c r="D58" t="n">
        <v>385000</v>
      </c>
      <c r="E58" t="n">
        <v>3516.975</v>
      </c>
      <c r="F58" t="n">
        <v>0.00584669965598624</v>
      </c>
    </row>
    <row r="59">
      <c r="A59" t="inlineStr">
        <is>
          <t>INE575P01011</t>
        </is>
      </c>
      <c r="B59" t="inlineStr">
        <is>
          <t>Star Health and Allied Insurance Co Ltd</t>
        </is>
      </c>
      <c r="C59" t="inlineStr">
        <is>
          <t>Insurance</t>
        </is>
      </c>
      <c r="D59" t="n">
        <v>647154</v>
      </c>
      <c r="E59" t="n">
        <v>3157.787943</v>
      </c>
      <c r="F59" t="n">
        <v>0.005249578879581344</v>
      </c>
    </row>
    <row r="60">
      <c r="A60" t="inlineStr">
        <is>
          <t>INE350C01017</t>
        </is>
      </c>
      <c r="B60" t="inlineStr">
        <is>
          <t>OPTIEMUS INFRACOM LIMITED</t>
        </is>
      </c>
      <c r="C60" t="inlineStr">
        <is>
          <t>Telecom - Equipment &amp; Accessories</t>
        </is>
      </c>
      <c r="D60" t="n">
        <v>520500</v>
      </c>
      <c r="E60" t="n">
        <v>2934.83925</v>
      </c>
      <c r="F60" t="n">
        <v>0.00487894387459391</v>
      </c>
    </row>
    <row r="61">
      <c r="A61" t="inlineStr">
        <is>
          <t>INE782A01015</t>
        </is>
      </c>
      <c r="B61" t="inlineStr">
        <is>
          <t>JOHNSON CONTROLS HITACHI AIR CON IND LTD</t>
        </is>
      </c>
      <c r="C61" t="inlineStr">
        <is>
          <t>Consumer Durables</t>
        </is>
      </c>
      <c r="D61" t="n">
        <v>178980</v>
      </c>
      <c r="E61" t="n">
        <v>2889.27414</v>
      </c>
      <c r="F61" t="n">
        <v>0.004803195393879098</v>
      </c>
    </row>
    <row r="62">
      <c r="A62" t="inlineStr">
        <is>
          <t>INE038A01020</t>
        </is>
      </c>
      <c r="B62" t="inlineStr">
        <is>
          <t>Hindalco Industries Limited</t>
        </is>
      </c>
      <c r="C62" t="inlineStr">
        <is>
          <t>Non - Ferrous Metals</t>
        </is>
      </c>
      <c r="D62" t="n">
        <v>308894</v>
      </c>
      <c r="E62" t="n">
        <v>2497.099096</v>
      </c>
      <c r="F62" t="n">
        <v>0.004151234633611769</v>
      </c>
    </row>
    <row r="63">
      <c r="A63" t="inlineStr">
        <is>
          <t>INE0KBH01020</t>
        </is>
      </c>
      <c r="B63" t="inlineStr">
        <is>
          <t>Blue Jet Healthcare Ltd</t>
        </is>
      </c>
      <c r="C63" t="inlineStr">
        <is>
          <t>Pharmaceuticals &amp; Biotechnology</t>
        </is>
      </c>
      <c r="D63" t="n">
        <v>419500</v>
      </c>
      <c r="E63" t="n">
        <v>2426.59775</v>
      </c>
      <c r="F63" t="n">
        <v>0.00403403158400102</v>
      </c>
    </row>
    <row r="64">
      <c r="A64" t="inlineStr">
        <is>
          <t>INE287B01021</t>
        </is>
      </c>
      <c r="B64" t="inlineStr">
        <is>
          <t>SUBROS LIMITED</t>
        </is>
      </c>
      <c r="C64" t="inlineStr">
        <is>
          <t>Industrial Products</t>
        </is>
      </c>
      <c r="D64" t="n">
        <v>269931</v>
      </c>
      <c r="E64" t="n">
        <v>2309.259705</v>
      </c>
      <c r="F64" t="n">
        <v>0.003838966135046848</v>
      </c>
    </row>
    <row r="65">
      <c r="A65" t="inlineStr">
        <is>
          <t>INE069I01010</t>
        </is>
      </c>
      <c r="B65" t="inlineStr">
        <is>
          <t>Embassy Developments Limited</t>
        </is>
      </c>
      <c r="C65" t="inlineStr">
        <is>
          <t>Realty</t>
        </is>
      </c>
      <c r="D65" t="n">
        <v>1571263</v>
      </c>
      <c r="E65" t="n">
        <v>1214.1149201</v>
      </c>
      <c r="F65" t="n">
        <v>0.002018372404033703</v>
      </c>
    </row>
    <row r="66">
      <c r="A66" t="inlineStr">
        <is>
          <t>INE085001019</t>
        </is>
      </c>
      <c r="B66" t="inlineStr">
        <is>
          <t>WeWork India Management Limited</t>
        </is>
      </c>
      <c r="C66" t="inlineStr">
        <is>
          <t>Commercial Services &amp; Supplies</t>
        </is>
      </c>
      <c r="D66" t="n">
        <v>133955</v>
      </c>
      <c r="E66" t="n">
        <v>801.5197425</v>
      </c>
      <c r="F66" t="n">
        <v>0.001332464746761331</v>
      </c>
    </row>
    <row r="67">
      <c r="B67" t="inlineStr">
        <is>
          <t>Sub Total</t>
        </is>
      </c>
      <c r="E67" t="n">
        <v>591888.0699034997</v>
      </c>
      <c r="F67" t="n">
        <v>0.9839682609876822</v>
      </c>
    </row>
    <row r="68">
      <c r="B68" t="inlineStr">
        <is>
          <t>(b) Unlisted</t>
        </is>
      </c>
      <c r="E68" t="inlineStr">
        <is>
          <t>NIL</t>
        </is>
      </c>
      <c r="F68" t="inlineStr">
        <is>
          <t>NIL</t>
        </is>
      </c>
    </row>
    <row r="69">
      <c r="B69" t="inlineStr">
        <is>
          <t>Sub Total</t>
        </is>
      </c>
      <c r="E69" t="inlineStr">
        <is>
          <t>NIL</t>
        </is>
      </c>
      <c r="F69" t="inlineStr">
        <is>
          <t>NIL</t>
        </is>
      </c>
    </row>
    <row r="70">
      <c r="B70" t="inlineStr">
        <is>
          <t>Total</t>
        </is>
      </c>
      <c r="E70">
        <f>+E67</f>
        <v/>
      </c>
      <c r="F70">
        <f>F67</f>
        <v/>
      </c>
    </row>
    <row r="71"/>
    <row r="72">
      <c r="B72" t="inlineStr">
        <is>
          <t>DEBT INSTRUMENTS</t>
        </is>
      </c>
    </row>
    <row r="73">
      <c r="B73" t="inlineStr">
        <is>
          <t>(a) Listed / awaiting listing on Stock Exchanges</t>
        </is>
      </c>
      <c r="E73" t="inlineStr">
        <is>
          <t>NIL</t>
        </is>
      </c>
      <c r="F73" t="inlineStr">
        <is>
          <t>NIL</t>
        </is>
      </c>
    </row>
    <row r="74">
      <c r="B74" t="inlineStr">
        <is>
          <t>Sub Total</t>
        </is>
      </c>
      <c r="E74" t="inlineStr">
        <is>
          <t>NIL</t>
        </is>
      </c>
      <c r="F74" t="inlineStr">
        <is>
          <t>NIL</t>
        </is>
      </c>
    </row>
    <row r="75">
      <c r="B75" t="inlineStr">
        <is>
          <t>(b) Privately placed / Unlisted</t>
        </is>
      </c>
      <c r="E75" t="inlineStr">
        <is>
          <t>NIL</t>
        </is>
      </c>
      <c r="F75" t="inlineStr">
        <is>
          <t>NIL</t>
        </is>
      </c>
    </row>
    <row r="76">
      <c r="B76" t="inlineStr">
        <is>
          <t>Sub Total</t>
        </is>
      </c>
      <c r="E76" t="inlineStr">
        <is>
          <t>NIL</t>
        </is>
      </c>
      <c r="F76" t="inlineStr">
        <is>
          <t>NIL</t>
        </is>
      </c>
    </row>
    <row r="77">
      <c r="B77" t="inlineStr">
        <is>
          <t>(c) Securitized Debt Instruments</t>
        </is>
      </c>
      <c r="E77" t="inlineStr">
        <is>
          <t>NIL</t>
        </is>
      </c>
      <c r="F77" t="inlineStr">
        <is>
          <t>NIL</t>
        </is>
      </c>
    </row>
    <row r="78">
      <c r="B78" t="inlineStr">
        <is>
          <t>Sub Total</t>
        </is>
      </c>
      <c r="E78" t="inlineStr">
        <is>
          <t>NIL</t>
        </is>
      </c>
      <c r="F78" t="inlineStr">
        <is>
          <t>NIL</t>
        </is>
      </c>
    </row>
    <row r="79">
      <c r="B79" t="inlineStr">
        <is>
          <t>(d) Government Securities / SDL</t>
        </is>
      </c>
      <c r="E79" t="inlineStr">
        <is>
          <t>NIL</t>
        </is>
      </c>
      <c r="F79" t="inlineStr">
        <is>
          <t>NIL</t>
        </is>
      </c>
    </row>
    <row r="80">
      <c r="B80" t="inlineStr">
        <is>
          <t>Sub Total</t>
        </is>
      </c>
      <c r="E80" t="inlineStr">
        <is>
          <t>NIL</t>
        </is>
      </c>
      <c r="F80" t="inlineStr">
        <is>
          <t>NIL</t>
        </is>
      </c>
    </row>
    <row r="81">
      <c r="B81" t="inlineStr">
        <is>
          <t>Total</t>
        </is>
      </c>
      <c r="E81" t="inlineStr">
        <is>
          <t>NIL</t>
        </is>
      </c>
      <c r="F81" t="inlineStr">
        <is>
          <t>NIL</t>
        </is>
      </c>
    </row>
    <row r="82"/>
    <row r="83">
      <c r="B83" t="inlineStr">
        <is>
          <t>MONEY MARKET INSTRUMENTS</t>
        </is>
      </c>
    </row>
    <row r="84">
      <c r="B84" t="inlineStr">
        <is>
          <t>Total</t>
        </is>
      </c>
      <c r="E84" t="inlineStr">
        <is>
          <t>NIL</t>
        </is>
      </c>
      <c r="F84" t="inlineStr">
        <is>
          <t>NIL</t>
        </is>
      </c>
    </row>
    <row r="85">
      <c r="A85" t="inlineStr">
        <is>
          <t>INE494B04019</t>
        </is>
      </c>
      <c r="B85" t="inlineStr">
        <is>
          <t xml:space="preserve">6% TVS Motor Co Ltd. Cumulative Non Convertible
Redeemable Preference Shares  #
</t>
        </is>
      </c>
      <c r="C85" t="inlineStr">
        <is>
          <t>CARE A1+</t>
        </is>
      </c>
      <c r="D85" t="n">
        <v>736656</v>
      </c>
      <c r="E85" t="n">
        <v>74.7013383</v>
      </c>
      <c r="F85" t="n">
        <v>0.0001</v>
      </c>
      <c r="G85" s="1" t="n">
        <v>46266</v>
      </c>
      <c r="I85" t="n">
        <v>0.06035</v>
      </c>
    </row>
    <row r="86">
      <c r="B86" t="inlineStr">
        <is>
          <t>Total</t>
        </is>
      </c>
      <c r="E86">
        <f>+E85</f>
        <v/>
      </c>
      <c r="F86">
        <f>+F85</f>
        <v/>
      </c>
    </row>
    <row r="87"/>
    <row r="88">
      <c r="B88" t="inlineStr">
        <is>
          <t>TREPS / Reverse Repo Investments / Corporate Debt Repo</t>
        </is>
      </c>
    </row>
    <row r="89">
      <c r="B89" t="inlineStr">
        <is>
          <t>CCIL</t>
        </is>
      </c>
      <c r="D89" t="n">
        <v>18516.1033</v>
      </c>
      <c r="E89" t="n">
        <v>1851.61033</v>
      </c>
      <c r="F89" t="n">
        <v>0.003078159349847971</v>
      </c>
      <c r="G89" t="inlineStr">
        <is>
          <t>01-DEC-2025</t>
        </is>
      </c>
      <c r="I89" t="n">
        <v>0.0543101</v>
      </c>
    </row>
    <row r="90">
      <c r="B90" t="inlineStr">
        <is>
          <t>Total</t>
        </is>
      </c>
      <c r="E90" t="n">
        <v>1851.61033</v>
      </c>
      <c r="F90" t="n">
        <v>0.003078159349847971</v>
      </c>
    </row>
    <row r="91"/>
    <row r="92">
      <c r="B92" t="inlineStr">
        <is>
          <t>Cash &amp; Cash Equivalents</t>
        </is>
      </c>
    </row>
    <row r="93">
      <c r="B93" t="inlineStr">
        <is>
          <t>Net Receivable/Payable</t>
        </is>
      </c>
      <c r="E93" t="n">
        <v>7717.2870507</v>
      </c>
      <c r="F93" t="n">
        <v>0.01282939444962639</v>
      </c>
    </row>
    <row r="94">
      <c r="B94" t="inlineStr">
        <is>
          <t>Total</t>
        </is>
      </c>
      <c r="E94" t="n">
        <v>7717.2870507</v>
      </c>
      <c r="F94" t="n">
        <v>0.01282939444962639</v>
      </c>
    </row>
    <row r="95">
      <c r="B95" t="inlineStr">
        <is>
          <t>Grand Total</t>
        </is>
      </c>
      <c r="E95" t="n">
        <v>601531.6686224998</v>
      </c>
      <c r="F95" t="n">
        <v>1</v>
      </c>
    </row>
    <row r="96"/>
    <row r="97">
      <c r="A97" t="inlineStr">
        <is>
          <t># awaiting listing on Stock Exchanges</t>
        </is>
      </c>
    </row>
    <row r="98"/>
    <row r="99">
      <c r="A99" t="inlineStr">
        <is>
          <t>Number of Instances of Deviation In valuation Of Securities as per Sebi circular ref no SEBI/HO/IMD/DF4/CIR/P/2019/102 dated September 24, 2019- Nil</t>
        </is>
      </c>
    </row>
    <row r="100">
      <c r="A100" t="inlineStr">
        <is>
          <t>^ YTC i.e. Yield to Call is disclosed at security level only for Additional Tier 1 Bonds and Tier 2 Bonds issued by Banks as per AMFI Best Practices Notification 135/BP/91/2020-21 read with SEBI circular SEBI/HO/IMD/DF4/CIR/P/2021/034</t>
        </is>
      </c>
    </row>
    <row r="101">
      <c r="A101" t="inlineStr">
        <is>
          <t>Where the scheme has invested in floating rate instruments and / or interest rate derivatives, the following disclaimer may be read in regard to such investment;</t>
        </is>
      </c>
    </row>
    <row r="102">
      <c r="A102"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103"/>
    <row r="104">
      <c r="A104" t="inlineStr">
        <is>
          <t>This Product is suitable for investors who are seeking*</t>
        </is>
      </c>
    </row>
    <row r="105">
      <c r="A105" t="inlineStr">
        <is>
          <t>• Capital appreciation over Long Term.</t>
        </is>
      </c>
    </row>
    <row r="106">
      <c r="A106" t="inlineStr">
        <is>
          <t>• Investment predominantly in Equity &amp; Equity related securities investing across market capitalization.</t>
        </is>
      </c>
    </row>
    <row r="107">
      <c r="A107" t="inlineStr">
        <is>
          <t>*Investors should consult their financial advisers if in doubt about whether the product is suitable for them.</t>
        </is>
      </c>
    </row>
    <row r="108"/>
    <row r="109">
      <c r="A109" t="inlineStr">
        <is>
          <t xml:space="preserve">                               Riskometer of the scheme </t>
        </is>
      </c>
      <c r="C109" t="inlineStr">
        <is>
          <t xml:space="preserve">                                 Benchmark of the scheme - BSE 500 TRI</t>
        </is>
      </c>
    </row>
    <row r="110"/>
    <row r="111"/>
    <row r="112"/>
    <row r="113"/>
    <row r="114"/>
    <row r="115"/>
    <row r="116"/>
    <row r="117"/>
    <row r="118"/>
    <row r="119"/>
    <row r="120">
      <c r="A120" t="inlineStr">
        <is>
          <t xml:space="preserve">               The risk of the scheme is Very High</t>
        </is>
      </c>
      <c r="C120" t="inlineStr">
        <is>
          <t xml:space="preserve">                                  The risk of the benchmark is Very High </t>
        </is>
      </c>
    </row>
    <row r="121"/>
    <row r="122">
      <c r="A122" t="inlineStr">
        <is>
          <t>Scheme performance</t>
        </is>
      </c>
    </row>
    <row r="123">
      <c r="A123" t="inlineStr">
        <is>
          <t>Regular Plan</t>
        </is>
      </c>
    </row>
    <row r="124">
      <c r="A124" t="inlineStr">
        <is>
          <t>https://www.jmfinancialmf.com/products/Equity/JM-Flexicap-Fund/J358/Regular-Plan-Growth-Option</t>
        </is>
      </c>
    </row>
    <row r="125"/>
    <row r="126">
      <c r="A126" t="inlineStr">
        <is>
          <t>Direct Plan</t>
        </is>
      </c>
    </row>
    <row r="127">
      <c r="A127" t="inlineStr">
        <is>
          <t>https://www.jmfinancialmf.com/products/Equity/JM-Flexicap-Fund/J444/Direct-Plan-Growth-Option</t>
        </is>
      </c>
    </row>
    <row r="128"/>
    <row r="129"/>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B1" t="inlineStr">
        <is>
          <t>JM Financial Mutual Fund</t>
        </is>
      </c>
    </row>
    <row r="2">
      <c r="B2" t="inlineStr">
        <is>
          <t>JM Focused Fund  (An open-ended equity scheme investing in maximum of 30 stocks of large cap, mid cap and small cap companies.)</t>
        </is>
      </c>
    </row>
    <row r="3">
      <c r="B3" t="inlineStr">
        <is>
          <t>Monthly Portfolio Statement for the period ended 30.11.2025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INE280A01028</t>
        </is>
      </c>
      <c r="B7" t="inlineStr">
        <is>
          <t>Titan Company Limited</t>
        </is>
      </c>
      <c r="C7" t="inlineStr">
        <is>
          <t>Consumer Durables</t>
        </is>
      </c>
      <c r="D7" t="n">
        <v>47560</v>
      </c>
      <c r="E7" t="n">
        <v>1858.50212</v>
      </c>
      <c r="F7" t="n">
        <v>0.06009012558450805</v>
      </c>
    </row>
    <row r="8">
      <c r="A8" t="inlineStr">
        <is>
          <t>INE018A01030</t>
        </is>
      </c>
      <c r="B8" t="inlineStr">
        <is>
          <t>Larsen &amp; Toubro Limited</t>
        </is>
      </c>
      <c r="C8" t="inlineStr">
        <is>
          <t>Construction</t>
        </is>
      </c>
      <c r="D8" t="n">
        <v>38507</v>
      </c>
      <c r="E8" t="n">
        <v>1567.080872</v>
      </c>
      <c r="F8" t="n">
        <v>0.05066773149527555</v>
      </c>
    </row>
    <row r="9">
      <c r="A9" t="inlineStr">
        <is>
          <t>INE591G01025</t>
        </is>
      </c>
      <c r="B9" t="inlineStr">
        <is>
          <t>Coforge Limited</t>
        </is>
      </c>
      <c r="C9" t="inlineStr">
        <is>
          <t>IT - Software</t>
        </is>
      </c>
      <c r="D9" t="n">
        <v>79119</v>
      </c>
      <c r="E9" t="n">
        <v>1510.144353</v>
      </c>
      <c r="F9" t="n">
        <v>0.04882682825376904</v>
      </c>
    </row>
    <row r="10">
      <c r="A10" t="inlineStr">
        <is>
          <t>INE066A01021</t>
        </is>
      </c>
      <c r="B10" t="inlineStr">
        <is>
          <t>Eicher Motors Limited</t>
        </is>
      </c>
      <c r="C10" t="inlineStr">
        <is>
          <t>Automobiles</t>
        </is>
      </c>
      <c r="D10" t="n">
        <v>21000</v>
      </c>
      <c r="E10" t="n">
        <v>1481.235</v>
      </c>
      <c r="F10" t="n">
        <v>0.04789211495231912</v>
      </c>
    </row>
    <row r="11">
      <c r="A11" t="inlineStr">
        <is>
          <t>INE551W01018</t>
        </is>
      </c>
      <c r="B11" t="inlineStr">
        <is>
          <t>Ujjivan Small Finance Bank Limited</t>
        </is>
      </c>
      <c r="C11" t="inlineStr">
        <is>
          <t>Banks</t>
        </is>
      </c>
      <c r="D11" t="n">
        <v>2626723</v>
      </c>
      <c r="E11" t="n">
        <v>1429.7253289</v>
      </c>
      <c r="F11" t="n">
        <v>0.04622667557944624</v>
      </c>
    </row>
    <row r="12">
      <c r="A12" t="inlineStr">
        <is>
          <t>INE371P01015</t>
        </is>
      </c>
      <c r="B12" t="inlineStr">
        <is>
          <t>Amber Enterprises India Limited</t>
        </is>
      </c>
      <c r="C12" t="inlineStr">
        <is>
          <t>Consumer Durables</t>
        </is>
      </c>
      <c r="D12" t="n">
        <v>19050</v>
      </c>
      <c r="E12" t="n">
        <v>1367.9805</v>
      </c>
      <c r="F12" t="n">
        <v>0.04423030738439949</v>
      </c>
    </row>
    <row r="13">
      <c r="A13" t="inlineStr">
        <is>
          <t>INE040A01034</t>
        </is>
      </c>
      <c r="B13" t="inlineStr">
        <is>
          <t>HDFC Bank Limited</t>
        </is>
      </c>
      <c r="C13" t="inlineStr">
        <is>
          <t>Banks</t>
        </is>
      </c>
      <c r="D13" t="n">
        <v>134000</v>
      </c>
      <c r="E13" t="n">
        <v>1350.184</v>
      </c>
      <c r="F13" t="n">
        <v>0.0436549010351376</v>
      </c>
    </row>
    <row r="14">
      <c r="A14" t="inlineStr">
        <is>
          <t>INE092T01019</t>
        </is>
      </c>
      <c r="B14" t="inlineStr">
        <is>
          <t>IDFC First Bank Limited</t>
        </is>
      </c>
      <c r="C14" t="inlineStr">
        <is>
          <t>Banks</t>
        </is>
      </c>
      <c r="D14" t="n">
        <v>1650000</v>
      </c>
      <c r="E14" t="n">
        <v>1322.145</v>
      </c>
      <c r="F14" t="n">
        <v>0.04274832847160238</v>
      </c>
    </row>
    <row r="15">
      <c r="A15" t="inlineStr">
        <is>
          <t>INE982J01020</t>
        </is>
      </c>
      <c r="B15" t="inlineStr">
        <is>
          <t>One 97 Communications Limited</t>
        </is>
      </c>
      <c r="C15" t="inlineStr">
        <is>
          <t>Financial Technology (Fintech)</t>
        </is>
      </c>
      <c r="D15" t="n">
        <v>100000</v>
      </c>
      <c r="E15" t="n">
        <v>1320.6</v>
      </c>
      <c r="F15" t="n">
        <v>0.04269837467115794</v>
      </c>
    </row>
    <row r="16">
      <c r="A16" t="inlineStr">
        <is>
          <t>INE397D01024</t>
        </is>
      </c>
      <c r="B16" t="inlineStr">
        <is>
          <t>Bharti Airtel Limited</t>
        </is>
      </c>
      <c r="C16" t="inlineStr">
        <is>
          <t>Telecom - Services</t>
        </is>
      </c>
      <c r="D16" t="n">
        <v>61000</v>
      </c>
      <c r="E16" t="n">
        <v>1281.976</v>
      </c>
      <c r="F16" t="n">
        <v>0.04144956199260364</v>
      </c>
    </row>
    <row r="17">
      <c r="A17" t="inlineStr">
        <is>
          <t>INE585B01010</t>
        </is>
      </c>
      <c r="B17" t="inlineStr">
        <is>
          <t>Maruti Suzuki India Limited</t>
        </is>
      </c>
      <c r="C17" t="inlineStr">
        <is>
          <t>Automobiles</t>
        </is>
      </c>
      <c r="D17" t="n">
        <v>8000</v>
      </c>
      <c r="E17" t="n">
        <v>1272</v>
      </c>
      <c r="F17" t="n">
        <v>0.04112701240475004</v>
      </c>
    </row>
    <row r="18">
      <c r="A18" t="inlineStr">
        <is>
          <t>INE296A01032</t>
        </is>
      </c>
      <c r="B18" t="inlineStr">
        <is>
          <t>Bajaj Finance Limited</t>
        </is>
      </c>
      <c r="C18" t="inlineStr">
        <is>
          <t>Finance</t>
        </is>
      </c>
      <c r="D18" t="n">
        <v>118500</v>
      </c>
      <c r="E18" t="n">
        <v>1229.4375</v>
      </c>
      <c r="F18" t="n">
        <v>0.03975085795075855</v>
      </c>
    </row>
    <row r="19">
      <c r="A19" t="inlineStr">
        <is>
          <t>INE377N01017</t>
        </is>
      </c>
      <c r="B19" t="inlineStr">
        <is>
          <t>WAAREE ENERGIES LIMITED</t>
        </is>
      </c>
      <c r="C19" t="inlineStr">
        <is>
          <t>Electrical Equipment</t>
        </is>
      </c>
      <c r="D19" t="n">
        <v>34000</v>
      </c>
      <c r="E19" t="n">
        <v>1078.65</v>
      </c>
      <c r="F19" t="n">
        <v>0.0348755125238865</v>
      </c>
    </row>
    <row r="20">
      <c r="A20" t="inlineStr">
        <is>
          <t>INE758T01015</t>
        </is>
      </c>
      <c r="B20" t="inlineStr">
        <is>
          <t>Eternal Limited</t>
        </is>
      </c>
      <c r="C20" t="inlineStr">
        <is>
          <t>Retailing</t>
        </is>
      </c>
      <c r="D20" t="n">
        <v>350000</v>
      </c>
      <c r="E20" t="n">
        <v>1050.35</v>
      </c>
      <c r="F20" t="n">
        <v>0.03396050116299466</v>
      </c>
    </row>
    <row r="21">
      <c r="A21" t="inlineStr">
        <is>
          <t>INE742F01042</t>
        </is>
      </c>
      <c r="B21" t="inlineStr">
        <is>
          <t>Adani Port &amp; Special Economic Zone Ltd</t>
        </is>
      </c>
      <c r="C21" t="inlineStr">
        <is>
          <t>Transport Infrastructure</t>
        </is>
      </c>
      <c r="D21" t="n">
        <v>66000</v>
      </c>
      <c r="E21" t="n">
        <v>1001.154</v>
      </c>
      <c r="F21" t="n">
        <v>0.03236986869266126</v>
      </c>
    </row>
    <row r="22">
      <c r="A22" t="inlineStr">
        <is>
          <t>INE027H01010</t>
        </is>
      </c>
      <c r="B22" t="inlineStr">
        <is>
          <t>Max Healthcare Institute Limited</t>
        </is>
      </c>
      <c r="C22" t="inlineStr">
        <is>
          <t>Healthcare Services</t>
        </is>
      </c>
      <c r="D22" t="n">
        <v>83550</v>
      </c>
      <c r="E22" t="n">
        <v>971.5194</v>
      </c>
      <c r="F22" t="n">
        <v>0.03141170630130134</v>
      </c>
    </row>
    <row r="23">
      <c r="A23" t="inlineStr">
        <is>
          <t>INE121A01024</t>
        </is>
      </c>
      <c r="B23" t="inlineStr">
        <is>
          <t>Cholamandalam Invest &amp; Finance Co Ltd</t>
        </is>
      </c>
      <c r="C23" t="inlineStr">
        <is>
          <t>Finance</t>
        </is>
      </c>
      <c r="D23" t="n">
        <v>53004</v>
      </c>
      <c r="E23" t="n">
        <v>920.14944</v>
      </c>
      <c r="F23" t="n">
        <v>0.02975078414552185</v>
      </c>
    </row>
    <row r="24">
      <c r="A24" t="inlineStr">
        <is>
          <t>INE257A01026</t>
        </is>
      </c>
      <c r="B24" t="inlineStr">
        <is>
          <t>Bharat Heavy Electricals Limited</t>
        </is>
      </c>
      <c r="C24" t="inlineStr">
        <is>
          <t>Electrical Equipment</t>
        </is>
      </c>
      <c r="D24" t="n">
        <v>310000</v>
      </c>
      <c r="E24" t="n">
        <v>901.635</v>
      </c>
      <c r="F24" t="n">
        <v>0.0291521649603434</v>
      </c>
    </row>
    <row r="25">
      <c r="A25" t="inlineStr">
        <is>
          <t>INE849A01020</t>
        </is>
      </c>
      <c r="B25" t="inlineStr">
        <is>
          <t>Trent Limited</t>
        </is>
      </c>
      <c r="C25" t="inlineStr">
        <is>
          <t>Retailing</t>
        </is>
      </c>
      <c r="D25" t="n">
        <v>21109</v>
      </c>
      <c r="E25" t="n">
        <v>897.216936</v>
      </c>
      <c r="F25" t="n">
        <v>0.02900931765457847</v>
      </c>
    </row>
    <row r="26">
      <c r="A26" t="inlineStr">
        <is>
          <t>INE090A01021</t>
        </is>
      </c>
      <c r="B26" t="inlineStr">
        <is>
          <t>ICICI Bank Limited</t>
        </is>
      </c>
      <c r="C26" t="inlineStr">
        <is>
          <t>Banks</t>
        </is>
      </c>
      <c r="D26" t="n">
        <v>63000</v>
      </c>
      <c r="E26" t="n">
        <v>874.944</v>
      </c>
      <c r="F26" t="n">
        <v>0.02828917668353901</v>
      </c>
    </row>
    <row r="27">
      <c r="A27" t="inlineStr">
        <is>
          <t>INE298J01013</t>
        </is>
      </c>
      <c r="B27" t="inlineStr">
        <is>
          <t>Nippon Life India Asset Management Ltd</t>
        </is>
      </c>
      <c r="C27" t="inlineStr">
        <is>
          <t>Capital Markets</t>
        </is>
      </c>
      <c r="D27" t="n">
        <v>98497</v>
      </c>
      <c r="E27" t="n">
        <v>862.439732</v>
      </c>
      <c r="F27" t="n">
        <v>0.02788488172666139</v>
      </c>
    </row>
    <row r="28">
      <c r="A28" t="inlineStr">
        <is>
          <t>INE211B01039</t>
        </is>
      </c>
      <c r="B28" t="inlineStr">
        <is>
          <t>The Phoenix Mills Limited</t>
        </is>
      </c>
      <c r="C28" t="inlineStr">
        <is>
          <t>Realty</t>
        </is>
      </c>
      <c r="D28" t="n">
        <v>47000</v>
      </c>
      <c r="E28" t="n">
        <v>816.296</v>
      </c>
      <c r="F28" t="n">
        <v>0.02639293688517912</v>
      </c>
    </row>
    <row r="29">
      <c r="A29" t="inlineStr">
        <is>
          <t>INE013P01021</t>
        </is>
      </c>
      <c r="B29" t="inlineStr">
        <is>
          <t>One Source Specialty Pharma Ltd</t>
        </is>
      </c>
      <c r="C29" t="inlineStr">
        <is>
          <t>Pharmaceuticals &amp; Biotechnology</t>
        </is>
      </c>
      <c r="D29" t="n">
        <v>52432</v>
      </c>
      <c r="E29" t="n">
        <v>803.363104</v>
      </c>
      <c r="F29" t="n">
        <v>0.02597478328909315</v>
      </c>
    </row>
    <row r="30">
      <c r="A30" t="inlineStr">
        <is>
          <t>INE797F01020</t>
        </is>
      </c>
      <c r="B30" t="inlineStr">
        <is>
          <t>Jubilant Foodworks Limited</t>
        </is>
      </c>
      <c r="C30" t="inlineStr">
        <is>
          <t>Leisure Services</t>
        </is>
      </c>
      <c r="D30" t="n">
        <v>121440</v>
      </c>
      <c r="E30" t="n">
        <v>730.4616</v>
      </c>
      <c r="F30" t="n">
        <v>0.02361769126131569</v>
      </c>
    </row>
    <row r="31">
      <c r="A31" t="inlineStr">
        <is>
          <t>INE066F01020</t>
        </is>
      </c>
      <c r="B31" t="inlineStr">
        <is>
          <t>Hindustan Aeronautics Limited</t>
        </is>
      </c>
      <c r="C31" t="inlineStr">
        <is>
          <t>Aerospace &amp; Defense</t>
        </is>
      </c>
      <c r="D31" t="n">
        <v>15200</v>
      </c>
      <c r="E31" t="n">
        <v>690.4448</v>
      </c>
      <c r="F31" t="n">
        <v>0.02232384579748047</v>
      </c>
    </row>
    <row r="32">
      <c r="A32" t="inlineStr">
        <is>
          <t>INE473A01011</t>
        </is>
      </c>
      <c r="B32" t="inlineStr">
        <is>
          <t>Linde India Limited</t>
        </is>
      </c>
      <c r="C32" t="inlineStr">
        <is>
          <t>Chemicals &amp; Petrochemicals</t>
        </is>
      </c>
      <c r="D32" t="n">
        <v>10434</v>
      </c>
      <c r="E32" t="n">
        <v>622.49244</v>
      </c>
      <c r="F32" t="n">
        <v>0.02012677224979805</v>
      </c>
    </row>
    <row r="33">
      <c r="A33" t="inlineStr">
        <is>
          <t>INE881D01027</t>
        </is>
      </c>
      <c r="B33" t="inlineStr">
        <is>
          <t>Oracle Financial Services Software</t>
        </is>
      </c>
      <c r="C33" t="inlineStr">
        <is>
          <t>IT - Software</t>
        </is>
      </c>
      <c r="D33" t="n">
        <v>7600</v>
      </c>
      <c r="E33" t="n">
        <v>616.1319999999999</v>
      </c>
      <c r="F33" t="n">
        <v>0.01992112296144925</v>
      </c>
    </row>
    <row r="34">
      <c r="A34" t="inlineStr">
        <is>
          <t>INE081A01020</t>
        </is>
      </c>
      <c r="B34" t="inlineStr">
        <is>
          <t>Tata Steel Limited</t>
        </is>
      </c>
      <c r="C34" t="inlineStr">
        <is>
          <t>Ferrous Metals</t>
        </is>
      </c>
      <c r="D34" t="n">
        <v>250000</v>
      </c>
      <c r="E34" t="n">
        <v>419.9</v>
      </c>
      <c r="F34" t="n">
        <v>0.01357644065153659</v>
      </c>
    </row>
    <row r="35">
      <c r="B35" t="inlineStr">
        <is>
          <t>Sub Total</t>
        </is>
      </c>
      <c r="E35" t="n">
        <v>30248.1591259</v>
      </c>
      <c r="F35" t="n">
        <v>0.9780003267230678</v>
      </c>
    </row>
    <row r="36">
      <c r="B36" t="inlineStr">
        <is>
          <t>(b) Unlisted</t>
        </is>
      </c>
      <c r="E36" t="inlineStr">
        <is>
          <t>NIL</t>
        </is>
      </c>
      <c r="F36" t="inlineStr">
        <is>
          <t>NIL</t>
        </is>
      </c>
    </row>
    <row r="37">
      <c r="B37" t="inlineStr">
        <is>
          <t>Sub Total</t>
        </is>
      </c>
      <c r="E37" t="inlineStr">
        <is>
          <t>NIL</t>
        </is>
      </c>
      <c r="F37" t="inlineStr">
        <is>
          <t>NIL</t>
        </is>
      </c>
    </row>
    <row r="38">
      <c r="B38" t="inlineStr">
        <is>
          <t>Total</t>
        </is>
      </c>
      <c r="E38" t="n">
        <v>30248.1591259</v>
      </c>
      <c r="F38" t="n">
        <v>0.9780003267230678</v>
      </c>
    </row>
    <row r="39"/>
    <row r="40">
      <c r="B40" t="inlineStr">
        <is>
          <t>DEBT INSTRUMENTS</t>
        </is>
      </c>
    </row>
    <row r="41">
      <c r="B41" t="inlineStr">
        <is>
          <t>(a) Listed / awaiting listing on Stock Exchanges</t>
        </is>
      </c>
      <c r="E41" t="inlineStr">
        <is>
          <t>NIL</t>
        </is>
      </c>
      <c r="F41" t="inlineStr">
        <is>
          <t>NIL</t>
        </is>
      </c>
    </row>
    <row r="42">
      <c r="B42" t="inlineStr">
        <is>
          <t>Sub Total</t>
        </is>
      </c>
      <c r="E42" t="inlineStr">
        <is>
          <t>NIL</t>
        </is>
      </c>
      <c r="F42" t="inlineStr">
        <is>
          <t>NIL</t>
        </is>
      </c>
    </row>
    <row r="43">
      <c r="B43" t="inlineStr">
        <is>
          <t>(b) Privately placed / Unlisted</t>
        </is>
      </c>
      <c r="E43" t="inlineStr">
        <is>
          <t>NIL</t>
        </is>
      </c>
      <c r="F43" t="inlineStr">
        <is>
          <t>NIL</t>
        </is>
      </c>
    </row>
    <row r="44">
      <c r="B44" t="inlineStr">
        <is>
          <t>Sub Total</t>
        </is>
      </c>
      <c r="E44" t="inlineStr">
        <is>
          <t>NIL</t>
        </is>
      </c>
      <c r="F44" t="inlineStr">
        <is>
          <t>NIL</t>
        </is>
      </c>
    </row>
    <row r="45">
      <c r="B45" t="inlineStr">
        <is>
          <t>(c) Securitized Debt Instruments</t>
        </is>
      </c>
      <c r="E45" t="inlineStr">
        <is>
          <t>NIL</t>
        </is>
      </c>
      <c r="F45" t="inlineStr">
        <is>
          <t>NIL</t>
        </is>
      </c>
    </row>
    <row r="46">
      <c r="B46" t="inlineStr">
        <is>
          <t>Sub Total</t>
        </is>
      </c>
      <c r="E46" t="inlineStr">
        <is>
          <t>NIL</t>
        </is>
      </c>
      <c r="F46" t="inlineStr">
        <is>
          <t>NIL</t>
        </is>
      </c>
    </row>
    <row r="47">
      <c r="B47" t="inlineStr">
        <is>
          <t>(d) Government Securities / SDL</t>
        </is>
      </c>
      <c r="E47" t="inlineStr">
        <is>
          <t>NIL</t>
        </is>
      </c>
      <c r="F47" t="inlineStr">
        <is>
          <t>NIL</t>
        </is>
      </c>
    </row>
    <row r="48">
      <c r="B48" t="inlineStr">
        <is>
          <t>Sub Total</t>
        </is>
      </c>
      <c r="E48" t="inlineStr">
        <is>
          <t>NIL</t>
        </is>
      </c>
      <c r="F48" t="inlineStr">
        <is>
          <t>NIL</t>
        </is>
      </c>
    </row>
    <row r="49">
      <c r="B49" t="inlineStr">
        <is>
          <t>Total</t>
        </is>
      </c>
      <c r="E49" t="inlineStr">
        <is>
          <t>NIL</t>
        </is>
      </c>
      <c r="F49" t="inlineStr">
        <is>
          <t>NIL</t>
        </is>
      </c>
    </row>
    <row r="50"/>
    <row r="51">
      <c r="B51" t="inlineStr">
        <is>
          <t>MONEY MARKET INSTRUMENTS</t>
        </is>
      </c>
    </row>
    <row r="52">
      <c r="B52" t="inlineStr">
        <is>
          <t>Total</t>
        </is>
      </c>
      <c r="E52" t="inlineStr">
        <is>
          <t>NIL</t>
        </is>
      </c>
      <c r="F52" t="inlineStr">
        <is>
          <t>NIL</t>
        </is>
      </c>
    </row>
    <row r="53"/>
    <row r="54">
      <c r="B54" t="inlineStr">
        <is>
          <t>TREPS / Reverse Repo Investments / Corporate Debt Repo</t>
        </is>
      </c>
    </row>
    <row r="55">
      <c r="B55" t="inlineStr">
        <is>
          <t>CCIL</t>
        </is>
      </c>
      <c r="D55" t="n">
        <v>4549.798</v>
      </c>
      <c r="E55" t="n">
        <v>454.9798</v>
      </c>
      <c r="F55" t="n">
        <v>0.01471066028184803</v>
      </c>
      <c r="G55" t="inlineStr">
        <is>
          <t>01-DEC-2025</t>
        </is>
      </c>
      <c r="I55" t="n">
        <v>0.0543101</v>
      </c>
    </row>
    <row r="56">
      <c r="B56" t="inlineStr">
        <is>
          <t>Total</t>
        </is>
      </c>
      <c r="E56" t="n">
        <v>454.9798</v>
      </c>
      <c r="F56" t="n">
        <v>0.01471066028184803</v>
      </c>
    </row>
    <row r="57"/>
    <row r="58">
      <c r="B58" t="inlineStr">
        <is>
          <t>Cash &amp; Cash Equivalents</t>
        </is>
      </c>
    </row>
    <row r="59">
      <c r="B59" t="inlineStr">
        <is>
          <t>Net Receivable/Payable</t>
        </is>
      </c>
      <c r="E59" t="n">
        <v>225.438805</v>
      </c>
      <c r="F59" t="n">
        <v>0.007289012995084138</v>
      </c>
    </row>
    <row r="60">
      <c r="B60" t="inlineStr">
        <is>
          <t>Total</t>
        </is>
      </c>
      <c r="E60" t="n">
        <v>225.438805</v>
      </c>
      <c r="F60" t="n">
        <v>0.007289012995084138</v>
      </c>
    </row>
    <row r="61">
      <c r="B61" t="inlineStr">
        <is>
          <t>Grand Total</t>
        </is>
      </c>
      <c r="E61" t="n">
        <v>30928.5777309</v>
      </c>
      <c r="F61" t="n">
        <v>1</v>
      </c>
    </row>
    <row r="62"/>
    <row r="63">
      <c r="A63" t="inlineStr">
        <is>
          <t>Number of Instances of Deviation In valuation Of Securities as per Sebi circular ref no SEBI/HO/IMD/DF4/CIR/P/2019/102 dated September 24, 2019- Nil</t>
        </is>
      </c>
    </row>
    <row r="64">
      <c r="A64" t="inlineStr">
        <is>
          <t>^ YTC i.e. Yield to Call is disclosed at security level only for Additional Tier 1 Bonds and Tier 2 Bonds issued by Banks as per AMFI Best Practices Notification 135/BP/91/2020-21 read with SEBI circular SEBI/HO/IMD/DF4/CIR/P/2021/034</t>
        </is>
      </c>
    </row>
    <row r="65">
      <c r="A65" t="inlineStr">
        <is>
          <t>Where the scheme has invested in floating rate instruments and / or interest rate derivatives, the following disclaimer may be read in regard to such investment;</t>
        </is>
      </c>
    </row>
    <row r="66">
      <c r="A66"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67"/>
    <row r="68">
      <c r="A68" t="inlineStr">
        <is>
          <t>This Product is suitable for investors who are seeking*</t>
        </is>
      </c>
    </row>
    <row r="69">
      <c r="A69" t="inlineStr">
        <is>
          <t>• Capital Appreciation over Long Term</t>
        </is>
      </c>
    </row>
    <row r="70">
      <c r="A70" t="inlineStr">
        <is>
          <t>• Investment predominantly in a concentrated portfolio of Equity &amp; Equity related securities.</t>
        </is>
      </c>
    </row>
    <row r="71">
      <c r="A71" t="inlineStr">
        <is>
          <t>*Investors should consult their financial advisers if in doubt about whether the product is suitable for them.</t>
        </is>
      </c>
    </row>
    <row r="72"/>
    <row r="73">
      <c r="A73" t="inlineStr">
        <is>
          <t xml:space="preserve">                                 Riskometer of the scheme </t>
        </is>
      </c>
      <c r="C73" t="inlineStr">
        <is>
          <t xml:space="preserve">                                                    Benchmark of the scheme - BSE 500 TRI</t>
        </is>
      </c>
    </row>
    <row r="74"/>
    <row r="75"/>
    <row r="76"/>
    <row r="77"/>
    <row r="78"/>
    <row r="79"/>
    <row r="80"/>
    <row r="81"/>
    <row r="82"/>
    <row r="83"/>
    <row r="84">
      <c r="A84" t="inlineStr">
        <is>
          <t xml:space="preserve">                        The risk of the scheme is Very High</t>
        </is>
      </c>
      <c r="C84" t="inlineStr">
        <is>
          <t xml:space="preserve"> The risk of the benchmark is Very High </t>
        </is>
      </c>
    </row>
    <row r="85"/>
    <row r="86">
      <c r="A86" t="inlineStr">
        <is>
          <t>Scheme performance</t>
        </is>
      </c>
    </row>
    <row r="87">
      <c r="A87" t="inlineStr">
        <is>
          <t>Regular Plan</t>
        </is>
      </c>
    </row>
    <row r="88">
      <c r="A88" t="inlineStr">
        <is>
          <t>https://www.jmfinancialmf.com/products/Equity/JM-Focused-Fund/J292/Regular-Plan-Growth-Option</t>
        </is>
      </c>
    </row>
    <row r="89"/>
    <row r="90">
      <c r="A90" t="inlineStr">
        <is>
          <t>Direct Plan</t>
        </is>
      </c>
    </row>
    <row r="91">
      <c r="A91" t="inlineStr">
        <is>
          <t>https://www.jmfinancialmf.com/products/Equity/JM-Focused-Fund/J440/Direct-Plan-Growth-Option</t>
        </is>
      </c>
    </row>
    <row r="92"/>
    <row r="93"/>
    <row r="94"/>
    <row r="95"/>
    <row r="96"/>
    <row r="97"/>
    <row r="98"/>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B1" t="inlineStr">
        <is>
          <t>JM Financial Mutual Fund</t>
        </is>
      </c>
    </row>
    <row r="2">
      <c r="B2" t="inlineStr">
        <is>
          <t>JM Value Fund (An open ended equity scheme following a value investment strategy.)</t>
        </is>
      </c>
    </row>
    <row r="3">
      <c r="B3" t="inlineStr">
        <is>
          <t>Monthly Portfolio Statement for the period ended 30.11.2025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INE040A01034</t>
        </is>
      </c>
      <c r="B7" t="inlineStr">
        <is>
          <t>HDFC Bank Limited</t>
        </is>
      </c>
      <c r="C7" t="inlineStr">
        <is>
          <t>Banks</t>
        </is>
      </c>
      <c r="D7" t="n">
        <v>475000</v>
      </c>
      <c r="E7" t="n">
        <v>4786.1</v>
      </c>
      <c r="F7" t="n">
        <v>0.04846738267507754</v>
      </c>
    </row>
    <row r="8">
      <c r="A8" t="inlineStr">
        <is>
          <t>INE260B01028</t>
        </is>
      </c>
      <c r="B8" t="inlineStr">
        <is>
          <t>Godfrey Phillips India Limited</t>
        </is>
      </c>
      <c r="C8" t="inlineStr">
        <is>
          <t>Cigarettes &amp; Tobacco Products</t>
        </is>
      </c>
      <c r="D8" t="n">
        <v>146367</v>
      </c>
      <c r="E8" t="n">
        <v>4205.12391</v>
      </c>
      <c r="F8" t="n">
        <v>0.04258401407034711</v>
      </c>
    </row>
    <row r="9">
      <c r="A9" t="inlineStr">
        <is>
          <t>INE018A01030</t>
        </is>
      </c>
      <c r="B9" t="inlineStr">
        <is>
          <t>Larsen &amp; Toubro Limited</t>
        </is>
      </c>
      <c r="C9" t="inlineStr">
        <is>
          <t>Construction</t>
        </is>
      </c>
      <c r="D9" t="n">
        <v>101613</v>
      </c>
      <c r="E9" t="n">
        <v>4135.242648</v>
      </c>
      <c r="F9" t="n">
        <v>0.0418763477309118</v>
      </c>
    </row>
    <row r="10">
      <c r="A10" t="inlineStr">
        <is>
          <t>INE009A01021</t>
        </is>
      </c>
      <c r="B10" t="inlineStr">
        <is>
          <t>Infosys Limited</t>
        </is>
      </c>
      <c r="C10" t="inlineStr">
        <is>
          <t>IT - Software</t>
        </is>
      </c>
      <c r="D10" t="n">
        <v>254330</v>
      </c>
      <c r="E10" t="n">
        <v>3967.80233</v>
      </c>
      <c r="F10" t="n">
        <v>0.04018073042919586</v>
      </c>
    </row>
    <row r="11">
      <c r="A11" t="inlineStr">
        <is>
          <t>INE476A01022</t>
        </is>
      </c>
      <c r="B11" t="inlineStr">
        <is>
          <t>Canara Bank</t>
        </is>
      </c>
      <c r="C11" t="inlineStr">
        <is>
          <t>Banks</t>
        </is>
      </c>
      <c r="D11" t="n">
        <v>2450000</v>
      </c>
      <c r="E11" t="n">
        <v>3713.71</v>
      </c>
      <c r="F11" t="n">
        <v>0.03760761449076747</v>
      </c>
    </row>
    <row r="12">
      <c r="A12" t="inlineStr">
        <is>
          <t>INE397D01024</t>
        </is>
      </c>
      <c r="B12" t="inlineStr">
        <is>
          <t>Bharti Airtel Limited</t>
        </is>
      </c>
      <c r="C12" t="inlineStr">
        <is>
          <t>Telecom - Services</t>
        </is>
      </c>
      <c r="D12" t="n">
        <v>170000</v>
      </c>
      <c r="E12" t="n">
        <v>3572.72</v>
      </c>
      <c r="F12" t="n">
        <v>0.03617985153484111</v>
      </c>
    </row>
    <row r="13">
      <c r="A13" t="inlineStr">
        <is>
          <t>INE721A01047</t>
        </is>
      </c>
      <c r="B13" t="inlineStr">
        <is>
          <t>Shriram Finance Limited</t>
        </is>
      </c>
      <c r="C13" t="inlineStr">
        <is>
          <t>Finance</t>
        </is>
      </c>
      <c r="D13" t="n">
        <v>365000</v>
      </c>
      <c r="E13" t="n">
        <v>3108.5225</v>
      </c>
      <c r="F13" t="n">
        <v>0.03147906428231519</v>
      </c>
    </row>
    <row r="14">
      <c r="A14" t="inlineStr">
        <is>
          <t>INE158A01026</t>
        </is>
      </c>
      <c r="B14" t="inlineStr">
        <is>
          <t>Hero MotoCorp Limited</t>
        </is>
      </c>
      <c r="C14" t="inlineStr">
        <is>
          <t>Automobiles</t>
        </is>
      </c>
      <c r="D14" t="n">
        <v>50000</v>
      </c>
      <c r="E14" t="n">
        <v>3087.25</v>
      </c>
      <c r="F14" t="n">
        <v>0.03126364412854581</v>
      </c>
    </row>
    <row r="15">
      <c r="A15" t="inlineStr">
        <is>
          <t>INE741K01010</t>
        </is>
      </c>
      <c r="B15" t="inlineStr">
        <is>
          <t>Creditaccess Grameen Limited</t>
        </is>
      </c>
      <c r="C15" t="inlineStr">
        <is>
          <t>Finance</t>
        </is>
      </c>
      <c r="D15" t="n">
        <v>215630</v>
      </c>
      <c r="E15" t="n">
        <v>2883.18873</v>
      </c>
      <c r="F15" t="n">
        <v>0.02919717755612729</v>
      </c>
    </row>
    <row r="16">
      <c r="A16" t="inlineStr">
        <is>
          <t>INE338I01027</t>
        </is>
      </c>
      <c r="B16" t="inlineStr">
        <is>
          <t>Motilal Oswal Financial Services</t>
        </is>
      </c>
      <c r="C16" t="inlineStr">
        <is>
          <t>Capital Markets</t>
        </is>
      </c>
      <c r="D16" t="n">
        <v>298220</v>
      </c>
      <c r="E16" t="n">
        <v>2861.27179</v>
      </c>
      <c r="F16" t="n">
        <v>0.02897523135399054</v>
      </c>
    </row>
    <row r="17">
      <c r="A17" t="inlineStr">
        <is>
          <t>INE331A01037</t>
        </is>
      </c>
      <c r="B17" t="inlineStr">
        <is>
          <t>The Ramco Cements Limited</t>
        </is>
      </c>
      <c r="C17" t="inlineStr">
        <is>
          <t>Cement &amp; Cement Products</t>
        </is>
      </c>
      <c r="D17" t="n">
        <v>250000</v>
      </c>
      <c r="E17" t="n">
        <v>2593.75</v>
      </c>
      <c r="F17" t="n">
        <v>0.02626611934842197</v>
      </c>
    </row>
    <row r="18">
      <c r="A18" t="inlineStr">
        <is>
          <t>INE669C01036</t>
        </is>
      </c>
      <c r="B18" t="inlineStr">
        <is>
          <t>Tech Mahindra Limited</t>
        </is>
      </c>
      <c r="C18" t="inlineStr">
        <is>
          <t>IT - Software</t>
        </is>
      </c>
      <c r="D18" t="n">
        <v>170000</v>
      </c>
      <c r="E18" t="n">
        <v>2579.41</v>
      </c>
      <c r="F18" t="n">
        <v>0.02612090251894481</v>
      </c>
    </row>
    <row r="19">
      <c r="A19" t="inlineStr">
        <is>
          <t>INE953L01027</t>
        </is>
      </c>
      <c r="B19" t="inlineStr">
        <is>
          <t>Jana Small Finance Bank Ltd</t>
        </is>
      </c>
      <c r="C19" t="inlineStr">
        <is>
          <t>Banks</t>
        </is>
      </c>
      <c r="D19" t="n">
        <v>554284</v>
      </c>
      <c r="E19" t="n">
        <v>2514.786508</v>
      </c>
      <c r="F19" t="n">
        <v>0.02546648002117757</v>
      </c>
    </row>
    <row r="20">
      <c r="A20" t="inlineStr">
        <is>
          <t>INE07T201019</t>
        </is>
      </c>
      <c r="B20" t="inlineStr">
        <is>
          <t>Restaurant Brands Asia Limited</t>
        </is>
      </c>
      <c r="C20" t="inlineStr">
        <is>
          <t>Leisure Services</t>
        </is>
      </c>
      <c r="D20" t="n">
        <v>3894908</v>
      </c>
      <c r="E20" t="n">
        <v>2426.1381932</v>
      </c>
      <c r="F20" t="n">
        <v>0.02456876543165534</v>
      </c>
    </row>
    <row r="21">
      <c r="A21" t="inlineStr">
        <is>
          <t>INE031A01017</t>
        </is>
      </c>
      <c r="B21" t="inlineStr">
        <is>
          <t>Housing and Urban Development Corp. Ltd.</t>
        </is>
      </c>
      <c r="C21" t="inlineStr">
        <is>
          <t>Finance</t>
        </is>
      </c>
      <c r="D21" t="n">
        <v>984000</v>
      </c>
      <c r="E21" t="n">
        <v>2354.5152</v>
      </c>
      <c r="F21" t="n">
        <v>0.02384346110877055</v>
      </c>
    </row>
    <row r="22">
      <c r="A22" t="inlineStr">
        <is>
          <t>INE467B01029</t>
        </is>
      </c>
      <c r="B22" t="inlineStr">
        <is>
          <t>Tata Consultancy Services Limited</t>
        </is>
      </c>
      <c r="C22" t="inlineStr">
        <is>
          <t>IT - Software</t>
        </is>
      </c>
      <c r="D22" t="n">
        <v>75000</v>
      </c>
      <c r="E22" t="n">
        <v>2353.125</v>
      </c>
      <c r="F22" t="n">
        <v>0.02382938297513463</v>
      </c>
    </row>
    <row r="23">
      <c r="A23" t="inlineStr">
        <is>
          <t>INE573A01042</t>
        </is>
      </c>
      <c r="B23" t="inlineStr">
        <is>
          <t>JK TYRE &amp; INDUSTRIES LTD</t>
        </is>
      </c>
      <c r="C23" t="inlineStr">
        <is>
          <t>Auto Components</t>
        </is>
      </c>
      <c r="D23" t="n">
        <v>500000</v>
      </c>
      <c r="E23" t="n">
        <v>2235</v>
      </c>
      <c r="F23" t="n">
        <v>0.02263316693733902</v>
      </c>
    </row>
    <row r="24">
      <c r="A24" t="inlineStr">
        <is>
          <t>INE205A01025</t>
        </is>
      </c>
      <c r="B24" t="inlineStr">
        <is>
          <t>Vedanta Limited</t>
        </is>
      </c>
      <c r="C24" t="inlineStr">
        <is>
          <t>Diversified Metals</t>
        </is>
      </c>
      <c r="D24" t="n">
        <v>410000</v>
      </c>
      <c r="E24" t="n">
        <v>2156.6</v>
      </c>
      <c r="F24" t="n">
        <v>0.02183923392262431</v>
      </c>
    </row>
    <row r="25">
      <c r="A25" t="inlineStr">
        <is>
          <t>INE089A01031</t>
        </is>
      </c>
      <c r="B25" t="inlineStr">
        <is>
          <t>Dr. Reddy's Laboratories Limited</t>
        </is>
      </c>
      <c r="C25" t="inlineStr">
        <is>
          <t>Pharmaceuticals &amp; Biotechnology</t>
        </is>
      </c>
      <c r="D25" t="n">
        <v>168959</v>
      </c>
      <c r="E25" t="n">
        <v>2126.855892</v>
      </c>
      <c r="F25" t="n">
        <v>0.02153802436478707</v>
      </c>
    </row>
    <row r="26">
      <c r="A26" t="inlineStr">
        <is>
          <t>INE296A01032</t>
        </is>
      </c>
      <c r="B26" t="inlineStr">
        <is>
          <t>Bajaj Finance Limited</t>
        </is>
      </c>
      <c r="C26" t="inlineStr">
        <is>
          <t>Finance</t>
        </is>
      </c>
      <c r="D26" t="n">
        <v>200000</v>
      </c>
      <c r="E26" t="n">
        <v>2075</v>
      </c>
      <c r="F26" t="n">
        <v>0.02101289547873757</v>
      </c>
    </row>
    <row r="27">
      <c r="A27" t="inlineStr">
        <is>
          <t>INE371P01015</t>
        </is>
      </c>
      <c r="B27" t="inlineStr">
        <is>
          <t>Amber Enterprises India Limited</t>
        </is>
      </c>
      <c r="C27" t="inlineStr">
        <is>
          <t>Consumer Durables</t>
        </is>
      </c>
      <c r="D27" t="n">
        <v>27800</v>
      </c>
      <c r="E27" t="n">
        <v>1996.318</v>
      </c>
      <c r="F27" t="n">
        <v>0.02021610673557708</v>
      </c>
    </row>
    <row r="28">
      <c r="A28" t="inlineStr">
        <is>
          <t>INE372A01015</t>
        </is>
      </c>
      <c r="B28" t="inlineStr">
        <is>
          <t>APAR INDUSTRIES LTD</t>
        </is>
      </c>
      <c r="C28" t="inlineStr">
        <is>
          <t>Electrical Equipment</t>
        </is>
      </c>
      <c r="D28" t="n">
        <v>21018</v>
      </c>
      <c r="E28" t="n">
        <v>1925.14371</v>
      </c>
      <c r="F28" t="n">
        <v>0.01949534629386943</v>
      </c>
    </row>
    <row r="29">
      <c r="A29" t="inlineStr">
        <is>
          <t>INE585B01010</t>
        </is>
      </c>
      <c r="B29" t="inlineStr">
        <is>
          <t>Maruti Suzuki India Limited</t>
        </is>
      </c>
      <c r="C29" t="inlineStr">
        <is>
          <t>Automobiles</t>
        </is>
      </c>
      <c r="D29" t="n">
        <v>12000</v>
      </c>
      <c r="E29" t="n">
        <v>1908</v>
      </c>
      <c r="F29" t="n">
        <v>0.01932173714382231</v>
      </c>
    </row>
    <row r="30">
      <c r="A30" t="inlineStr">
        <is>
          <t>INE980O01024</t>
        </is>
      </c>
      <c r="B30" t="inlineStr">
        <is>
          <t>Jyoti Cnc Automation Ltd</t>
        </is>
      </c>
      <c r="C30" t="inlineStr">
        <is>
          <t>Industrial Manufacturing</t>
        </is>
      </c>
      <c r="D30" t="n">
        <v>174823</v>
      </c>
      <c r="E30" t="n">
        <v>1766.1493575</v>
      </c>
      <c r="F30" t="n">
        <v>0.01788525872240338</v>
      </c>
    </row>
    <row r="31">
      <c r="A31" t="inlineStr">
        <is>
          <t>INE887G01027</t>
        </is>
      </c>
      <c r="B31" t="inlineStr">
        <is>
          <t>Gokaldas Exports Limited</t>
        </is>
      </c>
      <c r="C31" t="inlineStr">
        <is>
          <t>Textiles &amp; Apparels</t>
        </is>
      </c>
      <c r="D31" t="n">
        <v>190079</v>
      </c>
      <c r="E31" t="n">
        <v>1762.982725</v>
      </c>
      <c r="F31" t="n">
        <v>0.01785319119578069</v>
      </c>
    </row>
    <row r="32">
      <c r="A32" t="inlineStr">
        <is>
          <t>INE00H001014</t>
        </is>
      </c>
      <c r="B32" t="inlineStr">
        <is>
          <t>SWIGGY LIMITED</t>
        </is>
      </c>
      <c r="C32" t="inlineStr">
        <is>
          <t>Retailing</t>
        </is>
      </c>
      <c r="D32" t="n">
        <v>457000</v>
      </c>
      <c r="E32" t="n">
        <v>1728.831</v>
      </c>
      <c r="F32" t="n">
        <v>0.01750734703778379</v>
      </c>
    </row>
    <row r="33">
      <c r="A33" t="inlineStr">
        <is>
          <t>INE220B01022</t>
        </is>
      </c>
      <c r="B33" t="inlineStr">
        <is>
          <t>Kalpataru Projects International Limited</t>
        </is>
      </c>
      <c r="C33" t="inlineStr">
        <is>
          <t>Construction</t>
        </is>
      </c>
      <c r="D33" t="n">
        <v>140540</v>
      </c>
      <c r="E33" t="n">
        <v>1686.05838</v>
      </c>
      <c r="F33" t="n">
        <v>0.01707420169156125</v>
      </c>
    </row>
    <row r="34">
      <c r="A34" t="inlineStr">
        <is>
          <t>INE191H01014</t>
        </is>
      </c>
      <c r="B34" t="inlineStr">
        <is>
          <t>PVR INOX LIMITED</t>
        </is>
      </c>
      <c r="C34" t="inlineStr">
        <is>
          <t>Entertainment</t>
        </is>
      </c>
      <c r="D34" t="n">
        <v>156780</v>
      </c>
      <c r="E34" t="n">
        <v>1674.25362</v>
      </c>
      <c r="F34" t="n">
        <v>0.0169546584684135</v>
      </c>
    </row>
    <row r="35">
      <c r="A35" t="inlineStr">
        <is>
          <t>INE615H01020</t>
        </is>
      </c>
      <c r="B35" t="inlineStr">
        <is>
          <t>TITAGARH RAIL SYSTEMS LIMITED</t>
        </is>
      </c>
      <c r="C35" t="inlineStr">
        <is>
          <t>Industrial Manufacturing</t>
        </is>
      </c>
      <c r="D35" t="n">
        <v>182578</v>
      </c>
      <c r="E35" t="n">
        <v>1509.372326</v>
      </c>
      <c r="F35" t="n">
        <v>0.01528495562637928</v>
      </c>
    </row>
    <row r="36">
      <c r="A36" t="inlineStr">
        <is>
          <t>INE0V7W01012</t>
        </is>
      </c>
      <c r="B36" t="inlineStr">
        <is>
          <t>Carraro India Ltd</t>
        </is>
      </c>
      <c r="C36" t="inlineStr">
        <is>
          <t>Auto Components</t>
        </is>
      </c>
      <c r="D36" t="n">
        <v>263200</v>
      </c>
      <c r="E36" t="n">
        <v>1461.1548</v>
      </c>
      <c r="F36" t="n">
        <v>0.0147966713689907</v>
      </c>
    </row>
    <row r="37">
      <c r="A37" t="inlineStr">
        <is>
          <t>INE852O01025</t>
        </is>
      </c>
      <c r="B37" t="inlineStr">
        <is>
          <t>Aptus Value Housing Finance India Ltd</t>
        </is>
      </c>
      <c r="C37" t="inlineStr">
        <is>
          <t>Finance</t>
        </is>
      </c>
      <c r="D37" t="n">
        <v>515458</v>
      </c>
      <c r="E37" t="n">
        <v>1438.643278</v>
      </c>
      <c r="F37" t="n">
        <v>0.01456870401532646</v>
      </c>
    </row>
    <row r="38">
      <c r="A38" t="inlineStr">
        <is>
          <t>INE752H01013</t>
        </is>
      </c>
      <c r="B38" t="inlineStr">
        <is>
          <t>CARE Ratings Limited</t>
        </is>
      </c>
      <c r="C38" t="inlineStr">
        <is>
          <t>Capital Markets</t>
        </is>
      </c>
      <c r="D38" t="n">
        <v>90000</v>
      </c>
      <c r="E38" t="n">
        <v>1369.8</v>
      </c>
      <c r="F38" t="n">
        <v>0.01387154902495167</v>
      </c>
    </row>
    <row r="39">
      <c r="A39" t="inlineStr">
        <is>
          <t>INE483B01026</t>
        </is>
      </c>
      <c r="B39" t="inlineStr">
        <is>
          <t>INDO COUNT INDUSTRIES LIMITED</t>
        </is>
      </c>
      <c r="C39" t="inlineStr">
        <is>
          <t>Textiles &amp; Apparels</t>
        </is>
      </c>
      <c r="D39" t="n">
        <v>404146</v>
      </c>
      <c r="E39" t="n">
        <v>1310.847551</v>
      </c>
      <c r="F39" t="n">
        <v>0.01327455545914319</v>
      </c>
    </row>
    <row r="40">
      <c r="A40" t="inlineStr">
        <is>
          <t>INE063P01018</t>
        </is>
      </c>
      <c r="B40" t="inlineStr">
        <is>
          <t>EQUITAS SMALL FINANCE BANK LIMITED</t>
        </is>
      </c>
      <c r="C40" t="inlineStr">
        <is>
          <t>Banks</t>
        </is>
      </c>
      <c r="D40" t="n">
        <v>2012327</v>
      </c>
      <c r="E40" t="n">
        <v>1291.1090032</v>
      </c>
      <c r="F40" t="n">
        <v>0.01307466917392706</v>
      </c>
    </row>
    <row r="41">
      <c r="A41" t="inlineStr">
        <is>
          <t>INE238A01034</t>
        </is>
      </c>
      <c r="B41" t="inlineStr">
        <is>
          <t>Axis Bank Limited</t>
        </is>
      </c>
      <c r="C41" t="inlineStr">
        <is>
          <t>Banks</t>
        </is>
      </c>
      <c r="D41" t="n">
        <v>100000</v>
      </c>
      <c r="E41" t="n">
        <v>1279.7</v>
      </c>
      <c r="F41" t="n">
        <v>0.01295913365982673</v>
      </c>
    </row>
    <row r="42">
      <c r="A42" t="inlineStr">
        <is>
          <t>INE03QK01018</t>
        </is>
      </c>
      <c r="B42" t="inlineStr">
        <is>
          <t>Cohance Lifesciences Limited</t>
        </is>
      </c>
      <c r="C42" t="inlineStr">
        <is>
          <t>Pharmaceuticals &amp; Biotechnology</t>
        </is>
      </c>
      <c r="D42" t="n">
        <v>225590</v>
      </c>
      <c r="E42" t="n">
        <v>1273.22996</v>
      </c>
      <c r="F42" t="n">
        <v>0.01289361352765167</v>
      </c>
    </row>
    <row r="43">
      <c r="A43" t="inlineStr">
        <is>
          <t>INE103V01028</t>
        </is>
      </c>
      <c r="B43" t="inlineStr">
        <is>
          <t>Travel Food Services Limited</t>
        </is>
      </c>
      <c r="C43" t="inlineStr">
        <is>
          <t>Leisure Services</t>
        </is>
      </c>
      <c r="D43" t="n">
        <v>90909</v>
      </c>
      <c r="E43" t="n">
        <v>1223.544231</v>
      </c>
      <c r="F43" t="n">
        <v>0.01239046122391101</v>
      </c>
    </row>
    <row r="44">
      <c r="A44" t="inlineStr">
        <is>
          <t>INE034A01011</t>
        </is>
      </c>
      <c r="B44" t="inlineStr">
        <is>
          <t>Arvind Limited</t>
        </is>
      </c>
      <c r="C44" t="inlineStr">
        <is>
          <t>Textiles &amp; Apparels</t>
        </is>
      </c>
      <c r="D44" t="n">
        <v>340549</v>
      </c>
      <c r="E44" t="n">
        <v>1200.435225</v>
      </c>
      <c r="F44" t="n">
        <v>0.0121564433310457</v>
      </c>
    </row>
    <row r="45">
      <c r="A45" t="inlineStr">
        <is>
          <t>INE464A01036</t>
        </is>
      </c>
      <c r="B45" t="inlineStr">
        <is>
          <t>Bharat Bijlee Ltd.</t>
        </is>
      </c>
      <c r="C45" t="inlineStr">
        <is>
          <t>Electrical Equipment</t>
        </is>
      </c>
      <c r="D45" t="n">
        <v>40148</v>
      </c>
      <c r="E45" t="n">
        <v>1159.2735</v>
      </c>
      <c r="F45" t="n">
        <v>0.01173961102976881</v>
      </c>
    </row>
    <row r="46">
      <c r="A46" t="inlineStr">
        <is>
          <t>INE716A01013</t>
        </is>
      </c>
      <c r="B46" t="inlineStr">
        <is>
          <t>Whirlpool of India Limited</t>
        </is>
      </c>
      <c r="C46" t="inlineStr">
        <is>
          <t>Consumer Durables</t>
        </is>
      </c>
      <c r="D46" t="n">
        <v>106432</v>
      </c>
      <c r="E46" t="n">
        <v>1141.057472</v>
      </c>
      <c r="F46" t="n">
        <v>0.01155514284065953</v>
      </c>
    </row>
    <row r="47">
      <c r="A47" t="inlineStr">
        <is>
          <t>INE1TAE01010</t>
        </is>
      </c>
      <c r="B47" t="inlineStr">
        <is>
          <t>Tata Motors Commercial Vehicles Limited</t>
        </is>
      </c>
      <c r="C47" t="inlineStr">
        <is>
          <t>Agricultural, Commercial &amp; Construction Vehicles</t>
        </is>
      </c>
      <c r="D47" t="n">
        <v>300000</v>
      </c>
      <c r="E47" t="n">
        <v>1056</v>
      </c>
      <c r="F47" t="n">
        <v>0.01069379162676958</v>
      </c>
    </row>
    <row r="48">
      <c r="A48" t="inlineStr">
        <is>
          <t>INE020B01018</t>
        </is>
      </c>
      <c r="B48" t="inlineStr">
        <is>
          <t>REC Limited</t>
        </is>
      </c>
      <c r="C48" t="inlineStr">
        <is>
          <t>Finance</t>
        </is>
      </c>
      <c r="D48" t="n">
        <v>275000</v>
      </c>
      <c r="E48" t="n">
        <v>992.475</v>
      </c>
      <c r="F48" t="n">
        <v>0.01005049322422172</v>
      </c>
    </row>
    <row r="49">
      <c r="A49" t="inlineStr">
        <is>
          <t>INE350C01017</t>
        </is>
      </c>
      <c r="B49" t="inlineStr">
        <is>
          <t>OPTIEMUS INFRACOM LIMITED</t>
        </is>
      </c>
      <c r="C49" t="inlineStr">
        <is>
          <t>Telecom - Equipment &amp; Accessories</t>
        </is>
      </c>
      <c r="D49" t="n">
        <v>163500</v>
      </c>
      <c r="E49" t="n">
        <v>921.89475</v>
      </c>
      <c r="F49" t="n">
        <v>0.009335748445372003</v>
      </c>
    </row>
    <row r="50">
      <c r="A50" t="inlineStr">
        <is>
          <t>INE382Z01011</t>
        </is>
      </c>
      <c r="B50" t="inlineStr">
        <is>
          <t>GARDEN REACH SHIPBUILDERS &amp; ENGINEER LTD</t>
        </is>
      </c>
      <c r="C50" t="inlineStr">
        <is>
          <t>Aerospace &amp; Defense</t>
        </is>
      </c>
      <c r="D50" t="n">
        <v>30000</v>
      </c>
      <c r="E50" t="n">
        <v>837.96</v>
      </c>
      <c r="F50" t="n">
        <v>0.00848576669656045</v>
      </c>
    </row>
    <row r="51">
      <c r="A51" t="inlineStr">
        <is>
          <t>INE155A01022</t>
        </is>
      </c>
      <c r="B51" t="inlineStr">
        <is>
          <t>Tata Motors Passenger Vehicles Limited</t>
        </is>
      </c>
      <c r="C51" t="inlineStr">
        <is>
          <t>Automobiles</t>
        </is>
      </c>
      <c r="D51" t="n">
        <v>220000</v>
      </c>
      <c r="E51" t="n">
        <v>784.96</v>
      </c>
      <c r="F51" t="n">
        <v>0.007949051775898721</v>
      </c>
    </row>
    <row r="52">
      <c r="A52" t="inlineStr">
        <is>
          <t>INE877V01027</t>
        </is>
      </c>
      <c r="B52" t="inlineStr">
        <is>
          <t>Suraksha Diagnostic Limited</t>
        </is>
      </c>
      <c r="C52" t="inlineStr">
        <is>
          <t>Healthcare Services</t>
        </is>
      </c>
      <c r="D52" t="n">
        <v>240314</v>
      </c>
      <c r="E52" t="n">
        <v>703.399078</v>
      </c>
      <c r="F52" t="n">
        <v>0.00712310906306235</v>
      </c>
    </row>
    <row r="53">
      <c r="A53" t="inlineStr">
        <is>
          <t>INE324A01032</t>
        </is>
      </c>
      <c r="B53" t="inlineStr">
        <is>
          <t>Jindal Saw Ltd</t>
        </is>
      </c>
      <c r="C53" t="inlineStr">
        <is>
          <t>Industrial Products</t>
        </is>
      </c>
      <c r="D53" t="n">
        <v>400000</v>
      </c>
      <c r="E53" t="n">
        <v>651.08</v>
      </c>
      <c r="F53" t="n">
        <v>0.006593289632913956</v>
      </c>
    </row>
    <row r="54">
      <c r="A54" t="inlineStr">
        <is>
          <t>INE777F01014</t>
        </is>
      </c>
      <c r="B54" t="inlineStr">
        <is>
          <t>Exicom Tele-Systems Limited</t>
        </is>
      </c>
      <c r="C54" t="inlineStr">
        <is>
          <t>Electrical Equipment</t>
        </is>
      </c>
      <c r="D54" t="n">
        <v>554000</v>
      </c>
      <c r="E54" t="n">
        <v>619.8152</v>
      </c>
      <c r="F54" t="n">
        <v>0.00627668048854594</v>
      </c>
    </row>
    <row r="55">
      <c r="A55" t="inlineStr">
        <is>
          <t>INE419M01027</t>
        </is>
      </c>
      <c r="B55" t="inlineStr">
        <is>
          <t>TD Power Systems Limited</t>
        </is>
      </c>
      <c r="C55" t="inlineStr">
        <is>
          <t>Electrical Equipment</t>
        </is>
      </c>
      <c r="D55" t="n">
        <v>67432</v>
      </c>
      <c r="E55" t="n">
        <v>523.912924</v>
      </c>
      <c r="F55" t="n">
        <v>0.005305507234685196</v>
      </c>
    </row>
    <row r="56">
      <c r="A56" t="inlineStr">
        <is>
          <t>INE08N601015</t>
        </is>
      </c>
      <c r="B56" t="inlineStr">
        <is>
          <t>M&amp;B Engineering Limited</t>
        </is>
      </c>
      <c r="C56" t="inlineStr">
        <is>
          <t>Construction</t>
        </is>
      </c>
      <c r="D56" t="n">
        <v>129942</v>
      </c>
      <c r="E56" t="n">
        <v>506.903742</v>
      </c>
      <c r="F56" t="n">
        <v>0.005133260408880461</v>
      </c>
    </row>
    <row r="57">
      <c r="A57" t="inlineStr">
        <is>
          <t>INE572J01011</t>
        </is>
      </c>
      <c r="B57" t="inlineStr">
        <is>
          <t>SPANDANA SPHOORTY FINANCIAL LIMITED</t>
        </is>
      </c>
      <c r="C57" t="inlineStr">
        <is>
          <t>Finance</t>
        </is>
      </c>
      <c r="D57" t="n">
        <v>188357</v>
      </c>
      <c r="E57" t="n">
        <v>499.14605</v>
      </c>
      <c r="F57" t="n">
        <v>0.005054700615554081</v>
      </c>
    </row>
    <row r="58">
      <c r="A58" t="inlineStr">
        <is>
          <t>INE510A01028</t>
        </is>
      </c>
      <c r="B58" t="inlineStr">
        <is>
          <t>Engineers India Ltd.</t>
        </is>
      </c>
      <c r="C58" t="inlineStr">
        <is>
          <t>Construction</t>
        </is>
      </c>
      <c r="D58" t="n">
        <v>181402</v>
      </c>
      <c r="E58" t="n">
        <v>357.0716968</v>
      </c>
      <c r="F58" t="n">
        <v>0.003615956743746445</v>
      </c>
    </row>
    <row r="59">
      <c r="A59" t="inlineStr">
        <is>
          <t>IN9572J01019</t>
        </is>
      </c>
      <c r="B59" t="inlineStr">
        <is>
          <t>Spandana Sphoorty Financial Limited-Partly Paid Up</t>
        </is>
      </c>
      <c r="C59" t="inlineStr">
        <is>
          <t>Finance</t>
        </is>
      </c>
      <c r="D59" t="n">
        <v>142810</v>
      </c>
      <c r="E59" t="n">
        <v>189.22325</v>
      </c>
      <c r="F59" t="n">
        <v>0.001916206445492544</v>
      </c>
    </row>
    <row r="60">
      <c r="B60" t="inlineStr">
        <is>
          <t>Sub Total</t>
        </is>
      </c>
      <c r="E60" t="n">
        <v>98485.85853070003</v>
      </c>
      <c r="F60" t="n">
        <v>0.9973364103322091</v>
      </c>
    </row>
    <row r="61">
      <c r="B61" t="inlineStr">
        <is>
          <t>(b) Unlisted</t>
        </is>
      </c>
      <c r="E61" t="inlineStr">
        <is>
          <t>NIL</t>
        </is>
      </c>
      <c r="F61" t="inlineStr">
        <is>
          <t>NIL</t>
        </is>
      </c>
    </row>
    <row r="62">
      <c r="B62" t="inlineStr">
        <is>
          <t>Sub Total</t>
        </is>
      </c>
      <c r="E62" t="inlineStr">
        <is>
          <t>NIL</t>
        </is>
      </c>
      <c r="F62" t="inlineStr">
        <is>
          <t>NIL</t>
        </is>
      </c>
    </row>
    <row r="63">
      <c r="B63" t="inlineStr">
        <is>
          <t>Total</t>
        </is>
      </c>
      <c r="E63" t="n">
        <v>98485.85853070003</v>
      </c>
      <c r="F63" t="n">
        <v>0.9973364103322091</v>
      </c>
    </row>
    <row r="64"/>
    <row r="65">
      <c r="B65" t="inlineStr">
        <is>
          <t>DEBT INSTRUMENTS</t>
        </is>
      </c>
    </row>
    <row r="66">
      <c r="B66" t="inlineStr">
        <is>
          <t>(a) Listed / awaiting listing on Stock Exchanges</t>
        </is>
      </c>
      <c r="E66" t="inlineStr">
        <is>
          <t>NIL</t>
        </is>
      </c>
      <c r="F66" t="inlineStr">
        <is>
          <t>NIL</t>
        </is>
      </c>
    </row>
    <row r="67">
      <c r="B67" t="inlineStr">
        <is>
          <t>Sub Total</t>
        </is>
      </c>
      <c r="E67" t="inlineStr">
        <is>
          <t>NIL</t>
        </is>
      </c>
      <c r="F67" t="inlineStr">
        <is>
          <t>NIL</t>
        </is>
      </c>
    </row>
    <row r="68">
      <c r="B68" t="inlineStr">
        <is>
          <t>(b) Privately placed / Unlisted</t>
        </is>
      </c>
      <c r="E68" t="inlineStr">
        <is>
          <t>NIL</t>
        </is>
      </c>
      <c r="F68" t="inlineStr">
        <is>
          <t>NIL</t>
        </is>
      </c>
    </row>
    <row r="69">
      <c r="B69" t="inlineStr">
        <is>
          <t>Sub Total</t>
        </is>
      </c>
      <c r="E69" t="inlineStr">
        <is>
          <t>NIL</t>
        </is>
      </c>
      <c r="F69" t="inlineStr">
        <is>
          <t>NIL</t>
        </is>
      </c>
    </row>
    <row r="70">
      <c r="B70" t="inlineStr">
        <is>
          <t>(c) Securitized Debt Instruments</t>
        </is>
      </c>
      <c r="E70" t="inlineStr">
        <is>
          <t>NIL</t>
        </is>
      </c>
      <c r="F70" t="inlineStr">
        <is>
          <t>NIL</t>
        </is>
      </c>
    </row>
    <row r="71">
      <c r="B71" t="inlineStr">
        <is>
          <t>Sub Total</t>
        </is>
      </c>
      <c r="E71" t="inlineStr">
        <is>
          <t>NIL</t>
        </is>
      </c>
      <c r="F71" t="inlineStr">
        <is>
          <t>NIL</t>
        </is>
      </c>
    </row>
    <row r="72">
      <c r="B72" t="inlineStr">
        <is>
          <t>(d) Government Securities / SDL</t>
        </is>
      </c>
      <c r="E72" t="inlineStr">
        <is>
          <t>NIL</t>
        </is>
      </c>
      <c r="F72" t="inlineStr">
        <is>
          <t>NIL</t>
        </is>
      </c>
    </row>
    <row r="73">
      <c r="B73" t="inlineStr">
        <is>
          <t>Sub Total</t>
        </is>
      </c>
      <c r="E73" t="inlineStr">
        <is>
          <t>NIL</t>
        </is>
      </c>
      <c r="F73" t="inlineStr">
        <is>
          <t>NIL</t>
        </is>
      </c>
    </row>
    <row r="74">
      <c r="B74" t="inlineStr">
        <is>
          <t>Total</t>
        </is>
      </c>
      <c r="E74" t="inlineStr">
        <is>
          <t>NIL</t>
        </is>
      </c>
      <c r="F74" t="inlineStr">
        <is>
          <t>NIL</t>
        </is>
      </c>
    </row>
    <row r="75"/>
    <row r="76">
      <c r="B76" t="inlineStr">
        <is>
          <t>MONEY MARKET INSTRUMENTS</t>
        </is>
      </c>
    </row>
    <row r="77">
      <c r="B77" t="inlineStr">
        <is>
          <t>Total</t>
        </is>
      </c>
      <c r="E77" t="inlineStr">
        <is>
          <t>NIL</t>
        </is>
      </c>
      <c r="F77" t="inlineStr">
        <is>
          <t>NIL</t>
        </is>
      </c>
    </row>
    <row r="78"/>
    <row r="79">
      <c r="B79" t="inlineStr">
        <is>
          <t>TREPS / Reverse Repo Investments / Corporate Debt Repo</t>
        </is>
      </c>
    </row>
    <row r="80">
      <c r="B80" t="inlineStr">
        <is>
          <t>CCIL</t>
        </is>
      </c>
      <c r="D80" t="n">
        <v>3947.52</v>
      </c>
      <c r="E80" t="n">
        <v>394.752</v>
      </c>
      <c r="F80" t="n">
        <v>0.003997533742661501</v>
      </c>
      <c r="G80" t="inlineStr">
        <is>
          <t>01-DEC-2025</t>
        </is>
      </c>
      <c r="I80" t="n">
        <v>0.0543101</v>
      </c>
    </row>
    <row r="81">
      <c r="B81" t="inlineStr">
        <is>
          <t>Total</t>
        </is>
      </c>
      <c r="E81" t="n">
        <v>394.752</v>
      </c>
      <c r="F81" t="n">
        <v>0.003997533742661501</v>
      </c>
    </row>
    <row r="82"/>
    <row r="83">
      <c r="B83" t="inlineStr">
        <is>
          <t>Cash &amp; Cash Equivalents</t>
        </is>
      </c>
    </row>
    <row r="84">
      <c r="B84" t="inlineStr">
        <is>
          <t>Net Receivable/Payable</t>
        </is>
      </c>
      <c r="E84" t="n">
        <v>-131.7254901</v>
      </c>
      <c r="F84" t="n">
        <v>-0.001333944074870738</v>
      </c>
    </row>
    <row r="85">
      <c r="B85" t="inlineStr">
        <is>
          <t>Total</t>
        </is>
      </c>
      <c r="E85" t="n">
        <v>-131.7254901</v>
      </c>
      <c r="F85" t="n">
        <v>-0.001333944074870738</v>
      </c>
    </row>
    <row r="86">
      <c r="B86" t="inlineStr">
        <is>
          <t>Grand Total</t>
        </is>
      </c>
      <c r="E86" t="n">
        <v>98748.88504060003</v>
      </c>
      <c r="F86" t="n">
        <v>1</v>
      </c>
    </row>
    <row r="87"/>
    <row r="88">
      <c r="A88" t="inlineStr">
        <is>
          <t># awaiting listing on Stock Exchanges</t>
        </is>
      </c>
    </row>
    <row r="89"/>
    <row r="90">
      <c r="A90" t="inlineStr">
        <is>
          <t>Number of Instances of Deviation In valuation Of Securities as per Sebi circular ref no SEBI/HO/IMD/DF4/CIR/P/2019/102 dated September 24, 2019- Nil</t>
        </is>
      </c>
    </row>
    <row r="91">
      <c r="A91" t="inlineStr">
        <is>
          <t>^ YTC i.e. Yield to Call is disclosed at security level only for Additional Tier 1 Bonds and Tier 2 Bonds issued by Banks as per AMFI Best Practices Notification 135/BP/91/2020-21 read with SEBI circular SEBI/HO/IMD/DF4/CIR/P/2021/034</t>
        </is>
      </c>
    </row>
    <row r="92">
      <c r="A92" t="inlineStr">
        <is>
          <t>Where the scheme has invested in floating rate instruments and / or interest rate derivatives, the following disclaimer may be read in regard to such investment;</t>
        </is>
      </c>
    </row>
    <row r="93">
      <c r="A93"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94"/>
    <row r="95">
      <c r="A95" t="inlineStr">
        <is>
          <t>This Product is suitable for investors who are seeking*</t>
        </is>
      </c>
    </row>
    <row r="96">
      <c r="A96" t="inlineStr">
        <is>
          <t>• Capital appreciation over Long Term.</t>
        </is>
      </c>
    </row>
    <row r="97">
      <c r="A97" t="inlineStr">
        <is>
          <t>• Investment predominantly in Equity and Equity related securities following a value investment strategy.</t>
        </is>
      </c>
    </row>
    <row r="98">
      <c r="A98" t="inlineStr">
        <is>
          <t>*Investors should consult their financial advisers if in doubt about whether the product is suitable for them.</t>
        </is>
      </c>
    </row>
    <row r="99"/>
    <row r="100">
      <c r="A100" t="inlineStr">
        <is>
          <t xml:space="preserve">                                         Riskometer of the scheme </t>
        </is>
      </c>
      <c r="C100" t="inlineStr">
        <is>
          <t xml:space="preserve">                                                            Benchmark of the scheme - BSE 500 TRI </t>
        </is>
      </c>
    </row>
    <row r="101"/>
    <row r="102"/>
    <row r="103"/>
    <row r="104"/>
    <row r="105"/>
    <row r="106"/>
    <row r="107"/>
    <row r="108"/>
    <row r="109"/>
    <row r="110"/>
    <row r="111"/>
    <row r="112">
      <c r="A112" t="inlineStr">
        <is>
          <t xml:space="preserve">                         The risk of the scheme is Very High</t>
        </is>
      </c>
      <c r="C112" t="inlineStr">
        <is>
          <t xml:space="preserve"> The risk of the benchmark is Very High </t>
        </is>
      </c>
    </row>
    <row r="113"/>
    <row r="114">
      <c r="A114" t="inlineStr">
        <is>
          <t>Scheme performance</t>
        </is>
      </c>
    </row>
    <row r="115">
      <c r="A115" t="inlineStr">
        <is>
          <t>Regular Plan</t>
        </is>
      </c>
    </row>
    <row r="116">
      <c r="A116" t="inlineStr">
        <is>
          <t>https://www.jmfinancialmf.com/products/Equity/JM-Value-Fund/J246/Regular-Plan-Growth-Option</t>
        </is>
      </c>
    </row>
    <row r="117"/>
    <row r="118">
      <c r="A118" t="inlineStr">
        <is>
          <t>Direct Plan</t>
        </is>
      </c>
    </row>
    <row r="119">
      <c r="A119" t="inlineStr">
        <is>
          <t>https://www.jmfinancialmf.com/products/Equity/JM-Value-Fund/J438/Direct-Plan-Growth-Option</t>
        </is>
      </c>
    </row>
    <row r="120"/>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16"/>
  <sheetViews>
    <sheetView workbookViewId="0">
      <selection activeCell="A1" sqref="A1"/>
    </sheetView>
  </sheetViews>
  <sheetFormatPr baseColWidth="8" defaultRowHeight="15"/>
  <sheetData>
    <row r="1">
      <c r="B1" t="inlineStr">
        <is>
          <t>JM Financial Mutual Fund</t>
        </is>
      </c>
    </row>
    <row r="2">
      <c r="B2" t="inlineStr">
        <is>
          <t>JM ELSS Tax Saver Fund (An open ended equity linked saving scheme with a statutory lock in of 3 years and tax benefit.)</t>
        </is>
      </c>
    </row>
    <row r="3">
      <c r="B3" t="inlineStr">
        <is>
          <t>Monthly Portfolio Statement for the period ended 30.11.2025</t>
        </is>
      </c>
    </row>
    <row r="4">
      <c r="A4" t="inlineStr">
        <is>
          <t>ISIN</t>
        </is>
      </c>
      <c r="B4" t="inlineStr">
        <is>
          <t>Name of Instrument</t>
        </is>
      </c>
      <c r="C4" t="inlineStr">
        <is>
          <t>Rating/Industry</t>
        </is>
      </c>
      <c r="D4" t="inlineStr">
        <is>
          <t>Quantity</t>
        </is>
      </c>
      <c r="E4" t="inlineStr">
        <is>
          <t>Market Value (In Rs. lakh)</t>
        </is>
      </c>
      <c r="F4" t="inlineStr">
        <is>
          <t>% To Net Assets</t>
        </is>
      </c>
      <c r="G4" t="inlineStr">
        <is>
          <t>Maturity Date</t>
        </is>
      </c>
      <c r="H4" t="inlineStr">
        <is>
          <t>Put/Call Option</t>
        </is>
      </c>
      <c r="I4" t="inlineStr">
        <is>
          <t>Yield</t>
        </is>
      </c>
      <c r="J4" t="inlineStr">
        <is>
          <t>^YTC (AT1/Tier 2 bonds)</t>
        </is>
      </c>
    </row>
    <row r="5">
      <c r="B5" t="inlineStr">
        <is>
          <t>EQUITY &amp; EQUITY RELATED</t>
        </is>
      </c>
    </row>
    <row r="6">
      <c r="B6" t="inlineStr">
        <is>
          <t>(a) Listed / awaiting listing on the stock exchanges</t>
        </is>
      </c>
    </row>
    <row r="7">
      <c r="A7" t="inlineStr">
        <is>
          <t>INE040A01034</t>
        </is>
      </c>
      <c r="B7" t="inlineStr">
        <is>
          <t>HDFC Bank Limited</t>
        </is>
      </c>
      <c r="C7" t="inlineStr">
        <is>
          <t>Banks</t>
        </is>
      </c>
      <c r="D7" t="n">
        <v>98262</v>
      </c>
      <c r="E7" t="n">
        <v>990.087912</v>
      </c>
      <c r="F7" t="n">
        <v>0.04338555146123201</v>
      </c>
    </row>
    <row r="8">
      <c r="A8" t="inlineStr">
        <is>
          <t>INE002A01018</t>
        </is>
      </c>
      <c r="B8" t="inlineStr">
        <is>
          <t>Reliance Industries Limited</t>
        </is>
      </c>
      <c r="C8" t="inlineStr">
        <is>
          <t>Petroleum Products</t>
        </is>
      </c>
      <c r="D8" t="n">
        <v>53400</v>
      </c>
      <c r="E8" t="n">
        <v>837.045</v>
      </c>
      <c r="F8" t="n">
        <v>0.03667922664514557</v>
      </c>
    </row>
    <row r="9">
      <c r="A9" t="inlineStr">
        <is>
          <t>INE018A01030</t>
        </is>
      </c>
      <c r="B9" t="inlineStr">
        <is>
          <t>Larsen &amp; Toubro Limited</t>
        </is>
      </c>
      <c r="C9" t="inlineStr">
        <is>
          <t>Construction</t>
        </is>
      </c>
      <c r="D9" t="n">
        <v>19647</v>
      </c>
      <c r="E9" t="n">
        <v>799.554312</v>
      </c>
      <c r="F9" t="n">
        <v>0.03503638851549372</v>
      </c>
    </row>
    <row r="10">
      <c r="A10" t="inlineStr">
        <is>
          <t>INE090A01021</t>
        </is>
      </c>
      <c r="B10" t="inlineStr">
        <is>
          <t>ICICI Bank Limited</t>
        </is>
      </c>
      <c r="C10" t="inlineStr">
        <is>
          <t>Banks</t>
        </is>
      </c>
      <c r="D10" t="n">
        <v>56000</v>
      </c>
      <c r="E10" t="n">
        <v>777.728</v>
      </c>
      <c r="F10" t="n">
        <v>0.03407996174671108</v>
      </c>
    </row>
    <row r="11">
      <c r="A11" t="inlineStr">
        <is>
          <t>INE585B01010</t>
        </is>
      </c>
      <c r="B11" t="inlineStr">
        <is>
          <t>Maruti Suzuki India Limited</t>
        </is>
      </c>
      <c r="C11" t="inlineStr">
        <is>
          <t>Automobiles</t>
        </is>
      </c>
      <c r="D11" t="n">
        <v>3956</v>
      </c>
      <c r="E11" t="n">
        <v>629.004</v>
      </c>
      <c r="F11" t="n">
        <v>0.02756289121457406</v>
      </c>
    </row>
    <row r="12">
      <c r="A12" t="inlineStr">
        <is>
          <t>INE982J01020</t>
        </is>
      </c>
      <c r="B12" t="inlineStr">
        <is>
          <t>One 97 Communications Limited</t>
        </is>
      </c>
      <c r="C12" t="inlineStr">
        <is>
          <t>Financial Technology (Fintech)</t>
        </is>
      </c>
      <c r="D12" t="n">
        <v>47500</v>
      </c>
      <c r="E12" t="n">
        <v>627.285</v>
      </c>
      <c r="F12" t="n">
        <v>0.02748756480965795</v>
      </c>
    </row>
    <row r="13">
      <c r="A13" t="inlineStr">
        <is>
          <t>INE180A01020</t>
        </is>
      </c>
      <c r="B13" t="inlineStr">
        <is>
          <t>Max Financial Services Limited</t>
        </is>
      </c>
      <c r="C13" t="inlineStr">
        <is>
          <t>Insurance</t>
        </is>
      </c>
      <c r="D13" t="n">
        <v>36400</v>
      </c>
      <c r="E13" t="n">
        <v>619.5644</v>
      </c>
      <c r="F13" t="n">
        <v>0.02714924890401786</v>
      </c>
    </row>
    <row r="14">
      <c r="A14" t="inlineStr">
        <is>
          <t>INE466L01038</t>
        </is>
      </c>
      <c r="B14" t="inlineStr">
        <is>
          <t>360 ONE WAM LIMITED</t>
        </is>
      </c>
      <c r="C14" t="inlineStr">
        <is>
          <t>Capital Markets</t>
        </is>
      </c>
      <c r="D14" t="n">
        <v>46500</v>
      </c>
      <c r="E14" t="n">
        <v>550.188</v>
      </c>
      <c r="F14" t="n">
        <v>0.02410918212215514</v>
      </c>
    </row>
    <row r="15">
      <c r="A15" t="inlineStr">
        <is>
          <t>INE036D01028</t>
        </is>
      </c>
      <c r="B15" t="inlineStr">
        <is>
          <t>Karur Vysya Bank Limited</t>
        </is>
      </c>
      <c r="C15" t="inlineStr">
        <is>
          <t>Banks</t>
        </is>
      </c>
      <c r="D15" t="n">
        <v>218000</v>
      </c>
      <c r="E15" t="n">
        <v>540.5746</v>
      </c>
      <c r="F15" t="n">
        <v>0.02368792391330085</v>
      </c>
    </row>
    <row r="16">
      <c r="A16" t="inlineStr">
        <is>
          <t>INE0DYJ01015</t>
        </is>
      </c>
      <c r="B16" t="inlineStr">
        <is>
          <t>SYRMA SGS TECHNOLOGY LIMITED</t>
        </is>
      </c>
      <c r="C16" t="inlineStr">
        <is>
          <t>Industrial Manufacturing</t>
        </is>
      </c>
      <c r="D16" t="n">
        <v>65457</v>
      </c>
      <c r="E16" t="n">
        <v>536.9110425</v>
      </c>
      <c r="F16" t="n">
        <v>0.02352738719679215</v>
      </c>
    </row>
    <row r="17">
      <c r="A17" t="inlineStr">
        <is>
          <t>INE290S01011</t>
        </is>
      </c>
      <c r="B17" t="inlineStr">
        <is>
          <t>CarTrade Tech Limited</t>
        </is>
      </c>
      <c r="C17" t="inlineStr">
        <is>
          <t>Retailing</t>
        </is>
      </c>
      <c r="D17" t="n">
        <v>17355</v>
      </c>
      <c r="E17" t="n">
        <v>535.870335</v>
      </c>
      <c r="F17" t="n">
        <v>0.02348178350014048</v>
      </c>
    </row>
    <row r="18">
      <c r="A18" t="inlineStr">
        <is>
          <t>INE397D01024</t>
        </is>
      </c>
      <c r="B18" t="inlineStr">
        <is>
          <t>Bharti Airtel Limited</t>
        </is>
      </c>
      <c r="C18" t="inlineStr">
        <is>
          <t>Telecom - Services</t>
        </is>
      </c>
      <c r="D18" t="n">
        <v>25450</v>
      </c>
      <c r="E18" t="n">
        <v>534.8572</v>
      </c>
      <c r="F18" t="n">
        <v>0.02343738802763048</v>
      </c>
    </row>
    <row r="19">
      <c r="A19" t="inlineStr">
        <is>
          <t>INE326A01037</t>
        </is>
      </c>
      <c r="B19" t="inlineStr">
        <is>
          <t>Lupin Limited</t>
        </is>
      </c>
      <c r="C19" t="inlineStr">
        <is>
          <t>Pharmaceuticals &amp; Biotechnology</t>
        </is>
      </c>
      <c r="D19" t="n">
        <v>25000</v>
      </c>
      <c r="E19" t="n">
        <v>520.55</v>
      </c>
      <c r="F19" t="n">
        <v>0.02281044798084993</v>
      </c>
    </row>
    <row r="20">
      <c r="A20" t="inlineStr">
        <is>
          <t>INE103V01028</t>
        </is>
      </c>
      <c r="B20" t="inlineStr">
        <is>
          <t>Travel Food Services Limited</t>
        </is>
      </c>
      <c r="C20" t="inlineStr">
        <is>
          <t>Leisure Services</t>
        </is>
      </c>
      <c r="D20" t="n">
        <v>38491</v>
      </c>
      <c r="E20" t="n">
        <v>518.050369</v>
      </c>
      <c r="F20" t="n">
        <v>0.02270091440502279</v>
      </c>
    </row>
    <row r="21">
      <c r="A21" t="inlineStr">
        <is>
          <t>INE009A01021</t>
        </is>
      </c>
      <c r="B21" t="inlineStr">
        <is>
          <t>Infosys Limited</t>
        </is>
      </c>
      <c r="C21" t="inlineStr">
        <is>
          <t>IT - Software</t>
        </is>
      </c>
      <c r="D21" t="n">
        <v>32172</v>
      </c>
      <c r="E21" t="n">
        <v>501.915372</v>
      </c>
      <c r="F21" t="n">
        <v>0.02199388047986733</v>
      </c>
    </row>
    <row r="22">
      <c r="A22" t="inlineStr">
        <is>
          <t>INE455K01017</t>
        </is>
      </c>
      <c r="B22" t="inlineStr">
        <is>
          <t>Polycab India Limited</t>
        </is>
      </c>
      <c r="C22" t="inlineStr">
        <is>
          <t>Industrial Products</t>
        </is>
      </c>
      <c r="D22" t="n">
        <v>6500</v>
      </c>
      <c r="E22" t="n">
        <v>485.55</v>
      </c>
      <c r="F22" t="n">
        <v>0.02127675154567608</v>
      </c>
    </row>
    <row r="23">
      <c r="A23" t="inlineStr">
        <is>
          <t>INE013P01021</t>
        </is>
      </c>
      <c r="B23" t="inlineStr">
        <is>
          <t>One Source Specialty Pharma Ltd</t>
        </is>
      </c>
      <c r="C23" t="inlineStr">
        <is>
          <t>Pharmaceuticals &amp; Biotechnology</t>
        </is>
      </c>
      <c r="D23" t="n">
        <v>31195</v>
      </c>
      <c r="E23" t="n">
        <v>477.96979</v>
      </c>
      <c r="F23" t="n">
        <v>0.02094458751553696</v>
      </c>
    </row>
    <row r="24">
      <c r="A24" t="inlineStr">
        <is>
          <t>INE591G01025</t>
        </is>
      </c>
      <c r="B24" t="inlineStr">
        <is>
          <t>Coforge Limited</t>
        </is>
      </c>
      <c r="C24" t="inlineStr">
        <is>
          <t>IT - Software</t>
        </is>
      </c>
      <c r="D24" t="n">
        <v>25000</v>
      </c>
      <c r="E24" t="n">
        <v>477.175</v>
      </c>
      <c r="F24" t="n">
        <v>0.02090975989868805</v>
      </c>
    </row>
    <row r="25">
      <c r="A25" t="inlineStr">
        <is>
          <t>INE797F01020</t>
        </is>
      </c>
      <c r="B25" t="inlineStr">
        <is>
          <t>Jubilant Foodworks Limited</t>
        </is>
      </c>
      <c r="C25" t="inlineStr">
        <is>
          <t>Leisure Services</t>
        </is>
      </c>
      <c r="D25" t="n">
        <v>77500</v>
      </c>
      <c r="E25" t="n">
        <v>466.1625</v>
      </c>
      <c r="F25" t="n">
        <v>0.02042719327033514</v>
      </c>
    </row>
    <row r="26">
      <c r="A26" t="inlineStr">
        <is>
          <t>INE151G01028</t>
        </is>
      </c>
      <c r="B26" t="inlineStr">
        <is>
          <t>Shaily Engineering Plastics Limited</t>
        </is>
      </c>
      <c r="C26" t="inlineStr">
        <is>
          <t>Industrial Products</t>
        </is>
      </c>
      <c r="D26" t="n">
        <v>17837</v>
      </c>
      <c r="E26" t="n">
        <v>464.11874</v>
      </c>
      <c r="F26" t="n">
        <v>0.02033763591529654</v>
      </c>
    </row>
    <row r="27">
      <c r="A27" t="inlineStr">
        <is>
          <t>INE389H01022</t>
        </is>
      </c>
      <c r="B27" t="inlineStr">
        <is>
          <t>KEC International Limited</t>
        </is>
      </c>
      <c r="C27" t="inlineStr">
        <is>
          <t>Construction</t>
        </is>
      </c>
      <c r="D27" t="n">
        <v>67485</v>
      </c>
      <c r="E27" t="n">
        <v>462.7783875</v>
      </c>
      <c r="F27" t="n">
        <v>0.02027890180526436</v>
      </c>
    </row>
    <row r="28">
      <c r="A28" t="inlineStr">
        <is>
          <t>INE572E01012</t>
        </is>
      </c>
      <c r="B28" t="inlineStr">
        <is>
          <t>PNB Housing Finance Limited</t>
        </is>
      </c>
      <c r="C28" t="inlineStr">
        <is>
          <t>Finance</t>
        </is>
      </c>
      <c r="D28" t="n">
        <v>50300</v>
      </c>
      <c r="E28" t="n">
        <v>455.3659</v>
      </c>
      <c r="F28" t="n">
        <v>0.01995408735799234</v>
      </c>
    </row>
    <row r="29">
      <c r="A29" t="inlineStr">
        <is>
          <t>INE085001019</t>
        </is>
      </c>
      <c r="B29" t="inlineStr">
        <is>
          <t>WeWork India Management Limited</t>
        </is>
      </c>
      <c r="C29" t="inlineStr">
        <is>
          <t>Commercial Services &amp; Supplies</t>
        </is>
      </c>
      <c r="D29" t="n">
        <v>75121</v>
      </c>
      <c r="E29" t="n">
        <v>449.4865035</v>
      </c>
      <c r="F29" t="n">
        <v>0.01969645280219166</v>
      </c>
    </row>
    <row r="30">
      <c r="A30" t="inlineStr">
        <is>
          <t>INE296A01032</t>
        </is>
      </c>
      <c r="B30" t="inlineStr">
        <is>
          <t>Bajaj Finance Limited</t>
        </is>
      </c>
      <c r="C30" t="inlineStr">
        <is>
          <t>Finance</t>
        </is>
      </c>
      <c r="D30" t="n">
        <v>42500</v>
      </c>
      <c r="E30" t="n">
        <v>440.9375</v>
      </c>
      <c r="F30" t="n">
        <v>0.01932183633955627</v>
      </c>
    </row>
    <row r="31">
      <c r="A31" t="inlineStr">
        <is>
          <t>INE854D01024</t>
        </is>
      </c>
      <c r="B31" t="inlineStr">
        <is>
          <t>United Spirits Limited</t>
        </is>
      </c>
      <c r="C31" t="inlineStr">
        <is>
          <t>Beverages</t>
        </is>
      </c>
      <c r="D31" t="n">
        <v>30100</v>
      </c>
      <c r="E31" t="n">
        <v>436.9316</v>
      </c>
      <c r="F31" t="n">
        <v>0.0191462982095659</v>
      </c>
    </row>
    <row r="32">
      <c r="A32" t="inlineStr">
        <is>
          <t>INE260B01028</t>
        </is>
      </c>
      <c r="B32" t="inlineStr">
        <is>
          <t>Godfrey Phillips India Limited</t>
        </is>
      </c>
      <c r="C32" t="inlineStr">
        <is>
          <t>Cigarettes &amp; Tobacco Products</t>
        </is>
      </c>
      <c r="D32" t="n">
        <v>14835</v>
      </c>
      <c r="E32" t="n">
        <v>426.20955</v>
      </c>
      <c r="F32" t="n">
        <v>0.01867645907063002</v>
      </c>
    </row>
    <row r="33">
      <c r="A33" t="inlineStr">
        <is>
          <t>INE774D01024</t>
        </is>
      </c>
      <c r="B33" t="inlineStr">
        <is>
          <t>Mahindra &amp; Mahindra Financial Serv Ltd.</t>
        </is>
      </c>
      <c r="C33" t="inlineStr">
        <is>
          <t>Finance</t>
        </is>
      </c>
      <c r="D33" t="n">
        <v>113000</v>
      </c>
      <c r="E33" t="n">
        <v>420.1905</v>
      </c>
      <c r="F33" t="n">
        <v>0.01841270491268336</v>
      </c>
    </row>
    <row r="34">
      <c r="A34" t="inlineStr">
        <is>
          <t>INE758T01015</t>
        </is>
      </c>
      <c r="B34" t="inlineStr">
        <is>
          <t>Eternal Limited</t>
        </is>
      </c>
      <c r="C34" t="inlineStr">
        <is>
          <t>Retailing</t>
        </is>
      </c>
      <c r="D34" t="n">
        <v>140000</v>
      </c>
      <c r="E34" t="n">
        <v>420.14</v>
      </c>
      <c r="F34" t="n">
        <v>0.01841049200782689</v>
      </c>
    </row>
    <row r="35">
      <c r="A35" t="inlineStr">
        <is>
          <t>INE237A01028</t>
        </is>
      </c>
      <c r="B35" t="inlineStr">
        <is>
          <t>Kotak Mahindra Bank Limited</t>
        </is>
      </c>
      <c r="C35" t="inlineStr">
        <is>
          <t>Banks</t>
        </is>
      </c>
      <c r="D35" t="n">
        <v>19400</v>
      </c>
      <c r="E35" t="n">
        <v>412.1336</v>
      </c>
      <c r="F35" t="n">
        <v>0.01805965237529615</v>
      </c>
    </row>
    <row r="36">
      <c r="A36" t="inlineStr">
        <is>
          <t>INE850M01015</t>
        </is>
      </c>
      <c r="B36" t="inlineStr">
        <is>
          <t>Northern Arc Capital Ltd</t>
        </is>
      </c>
      <c r="C36" t="inlineStr">
        <is>
          <t>Finance</t>
        </is>
      </c>
      <c r="D36" t="n">
        <v>150000</v>
      </c>
      <c r="E36" t="n">
        <v>404.175</v>
      </c>
      <c r="F36" t="n">
        <v>0.01771090733389688</v>
      </c>
    </row>
    <row r="37">
      <c r="A37" t="inlineStr">
        <is>
          <t>INE205A01025</t>
        </is>
      </c>
      <c r="B37" t="inlineStr">
        <is>
          <t>Vedanta Limited</t>
        </is>
      </c>
      <c r="C37" t="inlineStr">
        <is>
          <t>Diversified Metals</t>
        </is>
      </c>
      <c r="D37" t="n">
        <v>75500</v>
      </c>
      <c r="E37" t="n">
        <v>397.13</v>
      </c>
      <c r="F37" t="n">
        <v>0.01740219615144546</v>
      </c>
    </row>
    <row r="38">
      <c r="A38" t="inlineStr">
        <is>
          <t>INE794A01010</t>
        </is>
      </c>
      <c r="B38" t="inlineStr">
        <is>
          <t>Neuland Laboratories Ltd</t>
        </is>
      </c>
      <c r="C38" t="inlineStr">
        <is>
          <t>Pharmaceuticals &amp; Biotechnology</t>
        </is>
      </c>
      <c r="D38" t="n">
        <v>2233</v>
      </c>
      <c r="E38" t="n">
        <v>386.04104</v>
      </c>
      <c r="F38" t="n">
        <v>0.01691627905368016</v>
      </c>
    </row>
    <row r="39">
      <c r="A39" t="inlineStr">
        <is>
          <t>INE262H01021</t>
        </is>
      </c>
      <c r="B39" t="inlineStr">
        <is>
          <t>PERSISTENT SYSTEMS LTD</t>
        </is>
      </c>
      <c r="C39" t="inlineStr">
        <is>
          <t>IT - Software</t>
        </is>
      </c>
      <c r="D39" t="n">
        <v>6000</v>
      </c>
      <c r="E39" t="n">
        <v>381.18</v>
      </c>
      <c r="F39" t="n">
        <v>0.01670326877598766</v>
      </c>
    </row>
    <row r="40">
      <c r="A40" t="inlineStr">
        <is>
          <t>INE015C01016</t>
        </is>
      </c>
      <c r="B40" t="inlineStr">
        <is>
          <t>Tinna Rubber and Infrastructure Limited</t>
        </is>
      </c>
      <c r="C40" t="inlineStr">
        <is>
          <t>Industrial Products</t>
        </is>
      </c>
      <c r="D40" t="n">
        <v>45037</v>
      </c>
      <c r="E40" t="n">
        <v>379.391688</v>
      </c>
      <c r="F40" t="n">
        <v>0.01662490512629113</v>
      </c>
    </row>
    <row r="41">
      <c r="A41" t="inlineStr">
        <is>
          <t>INE0JPD01013</t>
        </is>
      </c>
      <c r="B41" t="inlineStr">
        <is>
          <t>Sanathan Textiles Ltd.</t>
        </is>
      </c>
      <c r="C41" t="inlineStr">
        <is>
          <t>Textiles &amp; Apparels</t>
        </is>
      </c>
      <c r="D41" t="n">
        <v>81175</v>
      </c>
      <c r="E41" t="n">
        <v>379.006075</v>
      </c>
      <c r="F41" t="n">
        <v>0.01660800760390665</v>
      </c>
    </row>
    <row r="42">
      <c r="A42" t="inlineStr">
        <is>
          <t>INE298A01020</t>
        </is>
      </c>
      <c r="B42" t="inlineStr">
        <is>
          <t>Cummins India Limited</t>
        </is>
      </c>
      <c r="C42" t="inlineStr">
        <is>
          <t>Industrial Products</t>
        </is>
      </c>
      <c r="D42" t="n">
        <v>8050</v>
      </c>
      <c r="E42" t="n">
        <v>360.58365</v>
      </c>
      <c r="F42" t="n">
        <v>0.01580073881677072</v>
      </c>
    </row>
    <row r="43">
      <c r="A43" t="inlineStr">
        <is>
          <t>INE669C01036</t>
        </is>
      </c>
      <c r="B43" t="inlineStr">
        <is>
          <t>Tech Mahindra Limited</t>
        </is>
      </c>
      <c r="C43" t="inlineStr">
        <is>
          <t>IT - Software</t>
        </is>
      </c>
      <c r="D43" t="n">
        <v>23750</v>
      </c>
      <c r="E43" t="n">
        <v>360.35875</v>
      </c>
      <c r="F43" t="n">
        <v>0.01579088372167727</v>
      </c>
    </row>
    <row r="44">
      <c r="A44" t="inlineStr">
        <is>
          <t>INE118H01025</t>
        </is>
      </c>
      <c r="B44" t="inlineStr">
        <is>
          <t>BSE Ltd</t>
        </is>
      </c>
      <c r="C44" t="inlineStr">
        <is>
          <t>Capital Markets</t>
        </is>
      </c>
      <c r="D44" t="n">
        <v>12350</v>
      </c>
      <c r="E44" t="n">
        <v>358.4464</v>
      </c>
      <c r="F44" t="n">
        <v>0.01570708473945428</v>
      </c>
    </row>
    <row r="45">
      <c r="A45" t="inlineStr">
        <is>
          <t>INE027H01010</t>
        </is>
      </c>
      <c r="B45" t="inlineStr">
        <is>
          <t>Max Healthcare Institute Limited</t>
        </is>
      </c>
      <c r="C45" t="inlineStr">
        <is>
          <t>Healthcare Services</t>
        </is>
      </c>
      <c r="D45" t="n">
        <v>30800</v>
      </c>
      <c r="E45" t="n">
        <v>358.1424</v>
      </c>
      <c r="F45" t="n">
        <v>0.01569376349041734</v>
      </c>
    </row>
    <row r="46">
      <c r="A46" t="inlineStr">
        <is>
          <t>INE917I01010</t>
        </is>
      </c>
      <c r="B46" t="inlineStr">
        <is>
          <t>Bajaj Auto Limited</t>
        </is>
      </c>
      <c r="C46" t="inlineStr">
        <is>
          <t>Automobiles</t>
        </is>
      </c>
      <c r="D46" t="n">
        <v>3800</v>
      </c>
      <c r="E46" t="n">
        <v>344.793</v>
      </c>
      <c r="F46" t="n">
        <v>0.01510879414208278</v>
      </c>
    </row>
    <row r="47">
      <c r="A47" t="inlineStr">
        <is>
          <t>INE811K01011</t>
        </is>
      </c>
      <c r="B47" t="inlineStr">
        <is>
          <t>Prestige Estates Projects Limited</t>
        </is>
      </c>
      <c r="C47" t="inlineStr">
        <is>
          <t>Realty</t>
        </is>
      </c>
      <c r="D47" t="n">
        <v>20350</v>
      </c>
      <c r="E47" t="n">
        <v>341.33055</v>
      </c>
      <c r="F47" t="n">
        <v>0.01495706993574084</v>
      </c>
    </row>
    <row r="48">
      <c r="A48" t="inlineStr">
        <is>
          <t>INE540H01012</t>
        </is>
      </c>
      <c r="B48" t="inlineStr">
        <is>
          <t>VOLTAMP TRANSFORMERS LTD</t>
        </is>
      </c>
      <c r="C48" t="inlineStr">
        <is>
          <t>Electrical Equipment</t>
        </is>
      </c>
      <c r="D48" t="n">
        <v>4000</v>
      </c>
      <c r="E48" t="n">
        <v>326.38</v>
      </c>
      <c r="F48" t="n">
        <v>0.01430193835748689</v>
      </c>
    </row>
    <row r="49">
      <c r="A49" t="inlineStr">
        <is>
          <t>INE0KBH01020</t>
        </is>
      </c>
      <c r="B49" t="inlineStr">
        <is>
          <t>Blue Jet Healthcare Ltd</t>
        </is>
      </c>
      <c r="C49" t="inlineStr">
        <is>
          <t>Pharmaceuticals &amp; Biotechnology</t>
        </is>
      </c>
      <c r="D49" t="n">
        <v>53400</v>
      </c>
      <c r="E49" t="n">
        <v>308.8923</v>
      </c>
      <c r="F49" t="n">
        <v>0.01353562912464718</v>
      </c>
    </row>
    <row r="50">
      <c r="A50" t="inlineStr">
        <is>
          <t>INE342J01019</t>
        </is>
      </c>
      <c r="B50" t="inlineStr">
        <is>
          <t>ZF Comm. Vehicle Control Systems Ind Ltd</t>
        </is>
      </c>
      <c r="C50" t="inlineStr">
        <is>
          <t>Auto Components</t>
        </is>
      </c>
      <c r="D50" t="n">
        <v>2303</v>
      </c>
      <c r="E50" t="n">
        <v>304.08812</v>
      </c>
      <c r="F50" t="n">
        <v>0.01332511044636337</v>
      </c>
    </row>
    <row r="51">
      <c r="A51" t="inlineStr">
        <is>
          <t>INE749A01030</t>
        </is>
      </c>
      <c r="B51" t="inlineStr">
        <is>
          <t>Jindal Steel &amp; Power Limited</t>
        </is>
      </c>
      <c r="C51" t="inlineStr">
        <is>
          <t>Ferrous Metals</t>
        </is>
      </c>
      <c r="D51" t="n">
        <v>27000</v>
      </c>
      <c r="E51" t="n">
        <v>281.988</v>
      </c>
      <c r="F51" t="n">
        <v>0.01235668543890867</v>
      </c>
    </row>
    <row r="52">
      <c r="A52" t="inlineStr">
        <is>
          <t>INE501A01019</t>
        </is>
      </c>
      <c r="B52" t="inlineStr">
        <is>
          <t>Deepak Fertilizers and Petro. Corp. Ltd</t>
        </is>
      </c>
      <c r="C52" t="inlineStr">
        <is>
          <t>Chemicals &amp; Petrochemicals</t>
        </is>
      </c>
      <c r="D52" t="n">
        <v>20000</v>
      </c>
      <c r="E52" t="n">
        <v>273.74</v>
      </c>
      <c r="F52" t="n">
        <v>0.01199525891898542</v>
      </c>
    </row>
    <row r="53">
      <c r="A53" t="inlineStr">
        <is>
          <t>INE331A01037</t>
        </is>
      </c>
      <c r="B53" t="inlineStr">
        <is>
          <t>The Ramco Cements Limited</t>
        </is>
      </c>
      <c r="C53" t="inlineStr">
        <is>
          <t>Cement &amp; Cement Products</t>
        </is>
      </c>
      <c r="D53" t="n">
        <v>25000</v>
      </c>
      <c r="E53" t="n">
        <v>259.375</v>
      </c>
      <c r="F53" t="n">
        <v>0.01136578608209192</v>
      </c>
    </row>
    <row r="54">
      <c r="A54" t="inlineStr">
        <is>
          <t>INE752H01013</t>
        </is>
      </c>
      <c r="B54" t="inlineStr">
        <is>
          <t>CARE Ratings Limited</t>
        </is>
      </c>
      <c r="C54" t="inlineStr">
        <is>
          <t>Capital Markets</t>
        </is>
      </c>
      <c r="D54" t="n">
        <v>16538</v>
      </c>
      <c r="E54" t="n">
        <v>251.70836</v>
      </c>
      <c r="F54" t="n">
        <v>0.01102983469815589</v>
      </c>
    </row>
    <row r="55">
      <c r="A55" t="inlineStr">
        <is>
          <t>INE572J01011</t>
        </is>
      </c>
      <c r="B55" t="inlineStr">
        <is>
          <t>Spandana Sphoorty Financial Limited</t>
        </is>
      </c>
      <c r="C55" t="inlineStr">
        <is>
          <t>Finance</t>
        </is>
      </c>
      <c r="D55" t="n">
        <v>85000</v>
      </c>
      <c r="E55" t="n">
        <v>225.25</v>
      </c>
      <c r="F55" t="n">
        <v>0.00987043205779742</v>
      </c>
    </row>
    <row r="56">
      <c r="A56" t="inlineStr">
        <is>
          <t>IN9572J01019</t>
        </is>
      </c>
      <c r="B56" t="inlineStr">
        <is>
          <t>Spandana Sphoorty Financial Limited-Partly Paid Up</t>
        </is>
      </c>
      <c r="C56" t="inlineStr">
        <is>
          <t>Finance</t>
        </is>
      </c>
      <c r="D56" t="n">
        <v>20731</v>
      </c>
      <c r="E56" t="n">
        <v>27.468575</v>
      </c>
      <c r="F56" t="n">
        <v>0.001203670158765872</v>
      </c>
    </row>
    <row r="57">
      <c r="B57" t="inlineStr">
        <is>
          <t>Sub Total</t>
        </is>
      </c>
      <c r="E57" t="n">
        <v>22523.8040215</v>
      </c>
      <c r="F57" t="n">
        <v>0.986990798123685</v>
      </c>
    </row>
    <row r="58">
      <c r="B58" t="inlineStr">
        <is>
          <t>(b) Unlisted</t>
        </is>
      </c>
      <c r="E58" t="inlineStr">
        <is>
          <t>NIL</t>
        </is>
      </c>
      <c r="F58" t="inlineStr">
        <is>
          <t>NIL</t>
        </is>
      </c>
    </row>
    <row r="59">
      <c r="B59" t="inlineStr">
        <is>
          <t>Sub Total</t>
        </is>
      </c>
      <c r="E59" t="inlineStr">
        <is>
          <t>NIL</t>
        </is>
      </c>
      <c r="F59" t="inlineStr">
        <is>
          <t>NIL</t>
        </is>
      </c>
    </row>
    <row r="60">
      <c r="B60" t="inlineStr">
        <is>
          <t>Total</t>
        </is>
      </c>
      <c r="E60" t="n">
        <v>22523.8040215</v>
      </c>
      <c r="F60" t="n">
        <v>0.986990798123685</v>
      </c>
    </row>
    <row r="61"/>
    <row r="62">
      <c r="B62" t="inlineStr">
        <is>
          <t>DEBT INSTRUMENTS</t>
        </is>
      </c>
    </row>
    <row r="63">
      <c r="B63" t="inlineStr">
        <is>
          <t>(a) Listed / awaiting listing on Stock Exchanges</t>
        </is>
      </c>
      <c r="E63" t="inlineStr">
        <is>
          <t>NIL</t>
        </is>
      </c>
      <c r="F63" t="inlineStr">
        <is>
          <t>NIL</t>
        </is>
      </c>
    </row>
    <row r="64">
      <c r="B64" t="inlineStr">
        <is>
          <t>Sub Total</t>
        </is>
      </c>
      <c r="E64" t="inlineStr">
        <is>
          <t>NIL</t>
        </is>
      </c>
      <c r="F64" t="inlineStr">
        <is>
          <t>NIL</t>
        </is>
      </c>
    </row>
    <row r="65">
      <c r="B65" t="inlineStr">
        <is>
          <t>(b) Privately placed / Unlisted</t>
        </is>
      </c>
      <c r="E65" t="inlineStr">
        <is>
          <t>NIL</t>
        </is>
      </c>
      <c r="F65" t="inlineStr">
        <is>
          <t>NIL</t>
        </is>
      </c>
    </row>
    <row r="66">
      <c r="B66" t="inlineStr">
        <is>
          <t>Sub Total</t>
        </is>
      </c>
      <c r="E66" t="inlineStr">
        <is>
          <t>NIL</t>
        </is>
      </c>
      <c r="F66" t="inlineStr">
        <is>
          <t>NIL</t>
        </is>
      </c>
    </row>
    <row r="67">
      <c r="B67" t="inlineStr">
        <is>
          <t>(c) Securitized Debt Instruments</t>
        </is>
      </c>
      <c r="E67" t="inlineStr">
        <is>
          <t>NIL</t>
        </is>
      </c>
      <c r="F67" t="inlineStr">
        <is>
          <t>NIL</t>
        </is>
      </c>
    </row>
    <row r="68">
      <c r="B68" t="inlineStr">
        <is>
          <t>Sub Total</t>
        </is>
      </c>
      <c r="E68" t="inlineStr">
        <is>
          <t>NIL</t>
        </is>
      </c>
      <c r="F68" t="inlineStr">
        <is>
          <t>NIL</t>
        </is>
      </c>
    </row>
    <row r="69">
      <c r="B69" t="inlineStr">
        <is>
          <t>(d) Government Securities / SDL</t>
        </is>
      </c>
      <c r="E69" t="inlineStr">
        <is>
          <t>NIL</t>
        </is>
      </c>
      <c r="F69" t="inlineStr">
        <is>
          <t>NIL</t>
        </is>
      </c>
    </row>
    <row r="70">
      <c r="B70" t="inlineStr">
        <is>
          <t>Sub Total</t>
        </is>
      </c>
      <c r="E70" t="inlineStr">
        <is>
          <t>NIL</t>
        </is>
      </c>
      <c r="F70" t="inlineStr">
        <is>
          <t>NIL</t>
        </is>
      </c>
    </row>
    <row r="71">
      <c r="B71" t="inlineStr">
        <is>
          <t>Total</t>
        </is>
      </c>
      <c r="E71" t="inlineStr">
        <is>
          <t>NIL</t>
        </is>
      </c>
      <c r="F71" t="inlineStr">
        <is>
          <t>NIL</t>
        </is>
      </c>
    </row>
    <row r="72"/>
    <row r="73">
      <c r="B73" t="inlineStr">
        <is>
          <t>MONEY MARKET INSTRUMENTS</t>
        </is>
      </c>
    </row>
    <row r="74">
      <c r="B74" t="inlineStr">
        <is>
          <t>Total</t>
        </is>
      </c>
      <c r="E74" t="inlineStr">
        <is>
          <t>NIL</t>
        </is>
      </c>
      <c r="F74" t="inlineStr">
        <is>
          <t>NIL</t>
        </is>
      </c>
    </row>
    <row r="75"/>
    <row r="76">
      <c r="B76" t="inlineStr">
        <is>
          <t>TREPS / Reverse Repo Investments / Corporate Debt Repo</t>
        </is>
      </c>
    </row>
    <row r="77">
      <c r="B77" t="inlineStr">
        <is>
          <t>CCIL</t>
        </is>
      </c>
      <c r="D77" t="n">
        <v>2348.8505</v>
      </c>
      <c r="E77" t="n">
        <v>234.88505</v>
      </c>
      <c r="F77" t="n">
        <v>0.01029263896744661</v>
      </c>
      <c r="G77" t="inlineStr">
        <is>
          <t>01-DEC-2025</t>
        </is>
      </c>
      <c r="I77" t="n">
        <v>0.0543101</v>
      </c>
    </row>
    <row r="78">
      <c r="B78" t="inlineStr">
        <is>
          <t>Total</t>
        </is>
      </c>
      <c r="E78" t="n">
        <v>234.88505</v>
      </c>
      <c r="F78" t="n">
        <v>0.01029263896744661</v>
      </c>
    </row>
    <row r="79"/>
    <row r="80">
      <c r="B80" t="inlineStr">
        <is>
          <t>Cash &amp; Cash Equivalents</t>
        </is>
      </c>
    </row>
    <row r="81">
      <c r="B81" t="inlineStr">
        <is>
          <t>Net Receivable/Payable</t>
        </is>
      </c>
      <c r="E81" t="n">
        <v>61.9938207</v>
      </c>
      <c r="F81" t="n">
        <v>0.002716562908868481</v>
      </c>
    </row>
    <row r="82">
      <c r="B82" t="inlineStr">
        <is>
          <t>Total</t>
        </is>
      </c>
      <c r="E82" t="n">
        <v>61.9938207</v>
      </c>
      <c r="F82" t="n">
        <v>0.002716562908868481</v>
      </c>
    </row>
    <row r="83">
      <c r="B83" t="inlineStr">
        <is>
          <t>Grand Total</t>
        </is>
      </c>
      <c r="E83" t="n">
        <v>22820.6828922</v>
      </c>
      <c r="F83" t="n">
        <v>1</v>
      </c>
    </row>
    <row r="84"/>
    <row r="85">
      <c r="A85" t="inlineStr">
        <is>
          <t>Number of Instances of Deviation In valuation Of Securities as per Sebi circular ref no SEBI/HO/IMD/DF4/CIR/P/2019/102 dated September 24, 2019- Nil</t>
        </is>
      </c>
    </row>
    <row r="86">
      <c r="A86" t="inlineStr">
        <is>
          <t>^ YTC i.e. Yield to Call is disclosed at security level only for Additional Tier 1 Bonds and Tier 2 Bonds issued by Banks as per AMFI Best Practices Notification 135/BP/91/2020-21 read with SEBI circular SEBI/HO/IMD/DF4/CIR/P/2021/034</t>
        </is>
      </c>
    </row>
    <row r="87">
      <c r="A87" t="inlineStr">
        <is>
          <t>Where the scheme has invested in floating rate instruments and / or interest rate derivatives, the following disclaimer may be read in regard to such investment;</t>
        </is>
      </c>
    </row>
    <row r="88">
      <c r="A88" t="inlineStr">
        <is>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is>
      </c>
    </row>
    <row r="89"/>
    <row r="90">
      <c r="A90" t="inlineStr">
        <is>
          <t>This Product is suitable for investors who are seeking*</t>
        </is>
      </c>
    </row>
    <row r="91">
      <c r="A91" t="inlineStr">
        <is>
          <t>• Capital Appreciation Over Long Term</t>
        </is>
      </c>
    </row>
    <row r="92">
      <c r="A92" t="inlineStr">
        <is>
          <t>• Investment predominantly in Equity &amp; Equity related securities and to enable investors tax deduction from total income as permitted under Income Tax Act, 1961 from time to time.</t>
        </is>
      </c>
    </row>
    <row r="93">
      <c r="A93" t="inlineStr">
        <is>
          <t>*Investors should consult their financial advisers if in doubt about whether the product is suitable for them.</t>
        </is>
      </c>
    </row>
    <row r="94"/>
    <row r="95"/>
    <row r="96">
      <c r="B96" t="inlineStr">
        <is>
          <t xml:space="preserve">         Riskometer of the scheme </t>
        </is>
      </c>
      <c r="C96" t="inlineStr">
        <is>
          <t xml:space="preserve">                                            Benchmark of the Scheme - BSE 500 TRI</t>
        </is>
      </c>
    </row>
    <row r="97"/>
    <row r="98"/>
    <row r="99"/>
    <row r="100"/>
    <row r="101"/>
    <row r="102"/>
    <row r="103"/>
    <row r="104"/>
    <row r="105"/>
    <row r="106"/>
    <row r="107">
      <c r="B107" t="inlineStr">
        <is>
          <t>The risk of the scheme is Very High</t>
        </is>
      </c>
      <c r="C107" t="inlineStr">
        <is>
          <t xml:space="preserve"> The risk of the benchmark is Very High </t>
        </is>
      </c>
    </row>
    <row r="108"/>
    <row r="109">
      <c r="A109" t="inlineStr">
        <is>
          <t>Scheme performance</t>
        </is>
      </c>
    </row>
    <row r="110"/>
    <row r="111">
      <c r="A111" t="inlineStr">
        <is>
          <t>Regular Plan</t>
        </is>
      </c>
    </row>
    <row r="112">
      <c r="A112" t="inlineStr">
        <is>
          <t>https://www.jmfinancialmf.com/products/Equity/JM-ELSS-Tax-Saver-Fund/J282/Regular-Plan-Growth-Option</t>
        </is>
      </c>
    </row>
    <row r="113"/>
    <row r="114">
      <c r="A114" t="inlineStr">
        <is>
          <t>Direct Plan</t>
        </is>
      </c>
    </row>
    <row r="115">
      <c r="A115" t="inlineStr">
        <is>
          <t>https://www.jmfinancialmf.com/products/Equity/JM-ELSS-Tax-Saver-Fund/J446/Direct-Plan-Growth-Option</t>
        </is>
      </c>
    </row>
    <row r="11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2026-01-02T13:09:04Z</dcterms:created>
  <dcterms:modified xmlns:dcterms="http://purl.org/dc/terms/" xmlns:xsi="http://www.w3.org/2001/XMLSchema-instance" xsi:type="dcterms:W3CDTF">2026-01-02T13:09:16Z</dcterms:modified>
</cp:coreProperties>
</file>