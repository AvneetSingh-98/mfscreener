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 Advantage" sheetId="1" state="visible" r:id="rId1"/>
    <sheet xmlns:r="http://schemas.openxmlformats.org/officeDocument/2006/relationships" name="Consumer Trends" sheetId="2" state="visible" r:id="rId2"/>
    <sheet xmlns:r="http://schemas.openxmlformats.org/officeDocument/2006/relationships" name="Flexi Cap" sheetId="3" state="visible" r:id="rId3"/>
    <sheet xmlns:r="http://schemas.openxmlformats.org/officeDocument/2006/relationships" name="Large &amp; Mid Cap" sheetId="4" state="visible" r:id="rId4"/>
    <sheet xmlns:r="http://schemas.openxmlformats.org/officeDocument/2006/relationships" name="ELSS" sheetId="5" state="visible" r:id="rId5"/>
    <sheet xmlns:r="http://schemas.openxmlformats.org/officeDocument/2006/relationships" name="Focused" sheetId="6" state="visible" r:id="rId6"/>
    <sheet xmlns:r="http://schemas.openxmlformats.org/officeDocument/2006/relationships" name="Savings" sheetId="7" state="visible" r:id="rId7"/>
    <sheet xmlns:r="http://schemas.openxmlformats.org/officeDocument/2006/relationships" name="Equity Hybrid" sheetId="8" state="visible" r:id="rId8"/>
    <sheet xmlns:r="http://schemas.openxmlformats.org/officeDocument/2006/relationships" name="Infrastructure" sheetId="9" state="visible" r:id="rId9"/>
    <sheet xmlns:r="http://schemas.openxmlformats.org/officeDocument/2006/relationships" name="Large Cap" sheetId="10" state="visible" r:id="rId10"/>
    <sheet xmlns:r="http://schemas.openxmlformats.org/officeDocument/2006/relationships" name="Multi Asset Allocation" sheetId="11" state="visible" r:id="rId11"/>
    <sheet xmlns:r="http://schemas.openxmlformats.org/officeDocument/2006/relationships" name="Mid Cap" sheetId="12" state="visible" r:id="rId12"/>
    <sheet xmlns:r="http://schemas.openxmlformats.org/officeDocument/2006/relationships" name="Multi Cap" sheetId="13" state="visible" r:id="rId13"/>
    <sheet xmlns:r="http://schemas.openxmlformats.org/officeDocument/2006/relationships" name="Conservative Hybrid" sheetId="14" state="visible" r:id="rId14"/>
    <sheet xmlns:r="http://schemas.openxmlformats.org/officeDocument/2006/relationships" name="Manufacturing" sheetId="15" state="visible" r:id="rId15"/>
    <sheet xmlns:r="http://schemas.openxmlformats.org/officeDocument/2006/relationships" name="Small Cap" sheetId="16" state="visible" r:id="rId16"/>
    <sheet xmlns:r="http://schemas.openxmlformats.org/officeDocument/2006/relationships" name="Valu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BALANCED ADVANTAGE FUND</t>
        </is>
      </c>
    </row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J4" t="inlineStr">
        <is>
          <t>Outstanding derivative exposure as % to net assets Long / (Short)</t>
        </is>
      </c>
      <c r="L4" t="inlineStr">
        <is>
          <t>Scheme Risk-O-Meter Level - December'25</t>
        </is>
      </c>
      <c r="M4" t="inlineStr">
        <is>
          <t>Benchmark Risk-O-Meter Level - December'25</t>
        </is>
      </c>
      <c r="N4" t="inlineStr">
        <is>
          <t>Scheme Risk-O-Meter Level - November'25</t>
        </is>
      </c>
      <c r="O4" t="inlineStr">
        <is>
          <t>Benchmark Risk-O-Meter Level - November'25</t>
        </is>
      </c>
    </row>
    <row r="5">
      <c r="B5" t="inlineStr">
        <is>
          <t>Equity &amp; Equity related</t>
        </is>
      </c>
      <c r="L5" t="e">
        <v>#VALUE!</v>
      </c>
      <c r="M5" t="e">
        <v>#VALUE!</v>
      </c>
      <c r="N5" t="e">
        <v>#VALUE!</v>
      </c>
      <c r="O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1035500</v>
      </c>
      <c r="F7" t="n">
        <v>10263.88</v>
      </c>
      <c r="G7" t="n">
        <v>7.7</v>
      </c>
      <c r="H7" t="inlineStr">
        <is>
          <t>Large Cap</t>
        </is>
      </c>
      <c r="J7" t="n">
        <v>-1.86053441370496</v>
      </c>
    </row>
    <row r="8">
      <c r="B8" t="inlineStr">
        <is>
          <t>Reliance Industries Ltd</t>
        </is>
      </c>
      <c r="C8" t="inlineStr">
        <is>
          <t>INE002A01018</t>
        </is>
      </c>
      <c r="D8" t="inlineStr">
        <is>
          <t>Petroleum Products</t>
        </is>
      </c>
      <c r="E8" t="n">
        <v>473000</v>
      </c>
      <c r="F8" t="n">
        <v>7427.99</v>
      </c>
      <c r="G8" t="n">
        <v>5.57</v>
      </c>
      <c r="H8" t="inlineStr">
        <is>
          <t>Large Cap</t>
        </is>
      </c>
      <c r="J8" t="n">
        <v>-1.49191734554947</v>
      </c>
    </row>
    <row r="9">
      <c r="B9" t="inlineStr">
        <is>
          <t>ICICI Bank Ltd</t>
        </is>
      </c>
      <c r="C9" t="inlineStr">
        <is>
          <t>INE090A01021</t>
        </is>
      </c>
      <c r="D9" t="inlineStr">
        <is>
          <t>Banks</t>
        </is>
      </c>
      <c r="E9" t="n">
        <v>390000</v>
      </c>
      <c r="F9" t="n">
        <v>5237.31</v>
      </c>
      <c r="G9" t="n">
        <v>3.93</v>
      </c>
      <c r="H9" t="inlineStr">
        <is>
          <t>Large Cap</t>
        </is>
      </c>
    </row>
    <row r="10">
      <c r="B10" t="inlineStr">
        <is>
          <t>Larsen &amp; Toubro Ltd</t>
        </is>
      </c>
      <c r="C10" t="inlineStr">
        <is>
          <t>INE018A01030</t>
        </is>
      </c>
      <c r="D10" t="inlineStr">
        <is>
          <t>Construction</t>
        </is>
      </c>
      <c r="E10" t="n">
        <v>103500</v>
      </c>
      <c r="F10" t="n">
        <v>4226.42</v>
      </c>
      <c r="G10" t="n">
        <v>3.17</v>
      </c>
      <c r="H10" t="inlineStr">
        <is>
          <t>Large Cap</t>
        </is>
      </c>
      <c r="J10" t="n">
        <v>-0.71196192929118</v>
      </c>
    </row>
    <row r="11">
      <c r="B11" t="inlineStr">
        <is>
          <t>Bharti Airtel Ltd</t>
        </is>
      </c>
      <c r="C11" t="inlineStr">
        <is>
          <t>INE397D01024</t>
        </is>
      </c>
      <c r="D11" t="inlineStr">
        <is>
          <t>Telecom - Services</t>
        </is>
      </c>
      <c r="E11" t="n">
        <v>196200</v>
      </c>
      <c r="F11" t="n">
        <v>4131.19</v>
      </c>
      <c r="G11" t="n">
        <v>3.1</v>
      </c>
      <c r="H11" t="inlineStr">
        <is>
          <t>Large Cap</t>
        </is>
      </c>
      <c r="J11" t="n">
        <v>-1.14792860413825</v>
      </c>
    </row>
    <row r="12">
      <c r="B12" t="inlineStr">
        <is>
          <t>State Bank of India</t>
        </is>
      </c>
      <c r="C12" t="inlineStr">
        <is>
          <t>INE062A01020</t>
        </is>
      </c>
      <c r="D12" t="inlineStr">
        <is>
          <t>Banks</t>
        </is>
      </c>
      <c r="E12" t="n">
        <v>360000</v>
      </c>
      <c r="F12" t="n">
        <v>3535.92</v>
      </c>
      <c r="G12" t="n">
        <v>2.65</v>
      </c>
      <c r="H12" t="inlineStr">
        <is>
          <t>Large Cap</t>
        </is>
      </c>
    </row>
    <row r="13">
      <c r="B13" t="inlineStr">
        <is>
          <t>Infosys Ltd</t>
        </is>
      </c>
      <c r="C13" t="inlineStr">
        <is>
          <t>INE009A01021</t>
        </is>
      </c>
      <c r="D13" t="inlineStr">
        <is>
          <t>IT - Software</t>
        </is>
      </c>
      <c r="E13" t="n">
        <v>211000</v>
      </c>
      <c r="F13" t="n">
        <v>3408.49</v>
      </c>
      <c r="G13" t="n">
        <v>2.56</v>
      </c>
      <c r="H13" t="inlineStr">
        <is>
          <t>Large Cap</t>
        </is>
      </c>
      <c r="M13" t="inlineStr">
        <is>
          <t>Benchmark: CRISIL Hybrid 50 + 50 - Moderate Index</t>
        </is>
      </c>
    </row>
    <row r="14">
      <c r="B14" t="inlineStr">
        <is>
          <t>Axis Bank Ltd</t>
        </is>
      </c>
      <c r="C14" t="inlineStr">
        <is>
          <t>INE238A01034</t>
        </is>
      </c>
      <c r="D14" t="inlineStr">
        <is>
          <t>Banks</t>
        </is>
      </c>
      <c r="E14" t="n">
        <v>232000</v>
      </c>
      <c r="F14" t="n">
        <v>2945.01</v>
      </c>
      <c r="G14" t="n">
        <v>2.21</v>
      </c>
      <c r="H14" t="inlineStr">
        <is>
          <t>Large Cap</t>
        </is>
      </c>
    </row>
    <row r="15">
      <c r="B15" t="inlineStr">
        <is>
          <t>Mahindra &amp; Mahindra Ltd</t>
        </is>
      </c>
      <c r="C15" t="inlineStr">
        <is>
          <t>INE101A01026</t>
        </is>
      </c>
      <c r="D15" t="inlineStr">
        <is>
          <t>Automobiles</t>
        </is>
      </c>
      <c r="E15" t="n">
        <v>68550</v>
      </c>
      <c r="F15" t="n">
        <v>2542.66</v>
      </c>
      <c r="G15" t="n">
        <v>1.91</v>
      </c>
      <c r="H15" t="inlineStr">
        <is>
          <t>Large Cap</t>
        </is>
      </c>
      <c r="J15" t="n">
        <v>-0.705947302645677</v>
      </c>
    </row>
    <row r="16">
      <c r="B16" t="inlineStr">
        <is>
          <t>Power Finance Corporation Ltd</t>
        </is>
      </c>
      <c r="C16" t="inlineStr">
        <is>
          <t>INE134E01011</t>
        </is>
      </c>
      <c r="D16" t="inlineStr">
        <is>
          <t>Finance</t>
        </is>
      </c>
      <c r="E16" t="n">
        <v>697000</v>
      </c>
      <c r="F16" t="n">
        <v>2477.14</v>
      </c>
      <c r="G16" t="n">
        <v>1.86</v>
      </c>
      <c r="H16" t="inlineStr">
        <is>
          <t>Large Cap</t>
        </is>
      </c>
    </row>
    <row r="17">
      <c r="B17" t="inlineStr">
        <is>
          <t>Eternal Ltd</t>
        </is>
      </c>
      <c r="C17" t="inlineStr">
        <is>
          <t>INE758T01015</t>
        </is>
      </c>
      <c r="D17" t="inlineStr">
        <is>
          <t>Retailing</t>
        </is>
      </c>
      <c r="E17" t="n">
        <v>720000</v>
      </c>
      <c r="F17" t="n">
        <v>2001.96</v>
      </c>
      <c r="G17" t="n">
        <v>1.5</v>
      </c>
      <c r="H17" t="inlineStr">
        <is>
          <t>Large Cap</t>
        </is>
      </c>
    </row>
    <row r="18">
      <c r="B18" t="inlineStr">
        <is>
          <t>SBI Life Insurance Co Ltd</t>
        </is>
      </c>
      <c r="C18" t="inlineStr">
        <is>
          <t>INE123W01016</t>
        </is>
      </c>
      <c r="D18" t="inlineStr">
        <is>
          <t>Insurance</t>
        </is>
      </c>
      <c r="E18" t="n">
        <v>93000</v>
      </c>
      <c r="F18" t="n">
        <v>1892.46</v>
      </c>
      <c r="G18" t="n">
        <v>1.42</v>
      </c>
      <c r="H18" t="inlineStr">
        <is>
          <t>Large Cap</t>
        </is>
      </c>
      <c r="J18" t="n">
        <v>-0.230475522699141</v>
      </c>
    </row>
    <row r="19">
      <c r="B19" t="inlineStr">
        <is>
          <t>ITC Ltd</t>
        </is>
      </c>
      <c r="C19" t="inlineStr">
        <is>
          <t>INE154A01025</t>
        </is>
      </c>
      <c r="D19" t="inlineStr">
        <is>
          <t>Diversified Fmcg</t>
        </is>
      </c>
      <c r="E19" t="n">
        <v>445000</v>
      </c>
      <c r="F19" t="n">
        <v>1793.35</v>
      </c>
      <c r="G19" t="n">
        <v>1.35</v>
      </c>
      <c r="H19" t="inlineStr">
        <is>
          <t>Large Cap</t>
        </is>
      </c>
    </row>
    <row r="20">
      <c r="B20" t="inlineStr">
        <is>
          <t>Bajaj Finance Ltd</t>
        </is>
      </c>
      <c r="C20" t="inlineStr">
        <is>
          <t>INE296A01032</t>
        </is>
      </c>
      <c r="D20" t="inlineStr">
        <is>
          <t>Finance</t>
        </is>
      </c>
      <c r="E20" t="n">
        <v>170000</v>
      </c>
      <c r="F20" t="n">
        <v>1677.56</v>
      </c>
      <c r="G20" t="n">
        <v>1.26</v>
      </c>
      <c r="H20" t="inlineStr">
        <is>
          <t>Large Cap</t>
        </is>
      </c>
    </row>
    <row r="21">
      <c r="B21" t="inlineStr">
        <is>
          <t>Coal India Ltd</t>
        </is>
      </c>
      <c r="C21" t="inlineStr">
        <is>
          <t>INE522F01014</t>
        </is>
      </c>
      <c r="D21" t="inlineStr">
        <is>
          <t>Consumable Fuels</t>
        </is>
      </c>
      <c r="E21" t="n">
        <v>417100</v>
      </c>
      <c r="F21" t="n">
        <v>1664.23</v>
      </c>
      <c r="G21" t="n">
        <v>1.25</v>
      </c>
      <c r="H21" t="inlineStr">
        <is>
          <t>Large Cap</t>
        </is>
      </c>
    </row>
    <row r="22">
      <c r="B22" t="inlineStr">
        <is>
          <t>TVS Motor Co Ltd</t>
        </is>
      </c>
      <c r="C22" t="inlineStr">
        <is>
          <t>INE494B01023</t>
        </is>
      </c>
      <c r="D22" t="inlineStr">
        <is>
          <t>Automobiles</t>
        </is>
      </c>
      <c r="E22" t="n">
        <v>41000</v>
      </c>
      <c r="F22" t="n">
        <v>1525.12</v>
      </c>
      <c r="G22" t="n">
        <v>1.14</v>
      </c>
      <c r="H22" t="inlineStr">
        <is>
          <t>Large Cap</t>
        </is>
      </c>
    </row>
    <row r="23">
      <c r="B23" t="inlineStr">
        <is>
          <t>Varun Beverages Ltd</t>
        </is>
      </c>
      <c r="C23" t="inlineStr">
        <is>
          <t>INE200M01039</t>
        </is>
      </c>
      <c r="D23" t="inlineStr">
        <is>
          <t>Beverages</t>
        </is>
      </c>
      <c r="E23" t="n">
        <v>285000</v>
      </c>
      <c r="F23" t="n">
        <v>1396.07</v>
      </c>
      <c r="G23" t="n">
        <v>1.05</v>
      </c>
      <c r="H23" t="inlineStr">
        <is>
          <t>Large Cap</t>
        </is>
      </c>
    </row>
    <row r="24">
      <c r="B24" t="inlineStr">
        <is>
          <t>Shriram Finance Ltd</t>
        </is>
      </c>
      <c r="C24" t="inlineStr">
        <is>
          <t>INE721A01047</t>
        </is>
      </c>
      <c r="D24" t="inlineStr">
        <is>
          <t>Finance</t>
        </is>
      </c>
      <c r="E24" t="n">
        <v>137500</v>
      </c>
      <c r="F24" t="n">
        <v>1369.78</v>
      </c>
      <c r="G24" t="n">
        <v>1.03</v>
      </c>
      <c r="H24" t="inlineStr">
        <is>
          <t>Large Cap</t>
        </is>
      </c>
    </row>
    <row r="25">
      <c r="B25" t="inlineStr">
        <is>
          <t>Tata Power Co Ltd</t>
        </is>
      </c>
      <c r="C25" t="inlineStr">
        <is>
          <t>INE245A01021</t>
        </is>
      </c>
      <c r="D25" t="inlineStr">
        <is>
          <t>Power</t>
        </is>
      </c>
      <c r="E25" t="n">
        <v>358500</v>
      </c>
      <c r="F25" t="n">
        <v>1360.87</v>
      </c>
      <c r="G25" t="n">
        <v>1.02</v>
      </c>
      <c r="H25" t="inlineStr">
        <is>
          <t>Large Cap</t>
        </is>
      </c>
    </row>
    <row r="26">
      <c r="B26" t="inlineStr">
        <is>
          <t>Samvardhana Motherson International Ltd</t>
        </is>
      </c>
      <c r="C26" t="inlineStr">
        <is>
          <t>INE775A01035</t>
        </is>
      </c>
      <c r="D26" t="inlineStr">
        <is>
          <t>Auto Components</t>
        </is>
      </c>
      <c r="E26" t="n">
        <v>1125000</v>
      </c>
      <c r="F26" t="n">
        <v>1349.33</v>
      </c>
      <c r="G26" t="n">
        <v>1.01</v>
      </c>
      <c r="H26" t="inlineStr">
        <is>
          <t>Large Cap</t>
        </is>
      </c>
    </row>
    <row r="27">
      <c r="B27" t="inlineStr">
        <is>
          <t>Maruti Suzuki India Ltd</t>
        </is>
      </c>
      <c r="C27" t="inlineStr">
        <is>
          <t>INE585B01010</t>
        </is>
      </c>
      <c r="D27" t="inlineStr">
        <is>
          <t>Automobiles</t>
        </is>
      </c>
      <c r="E27" t="n">
        <v>8000</v>
      </c>
      <c r="F27" t="n">
        <v>1335.76</v>
      </c>
      <c r="G27" t="n">
        <v>1</v>
      </c>
      <c r="H27" t="inlineStr">
        <is>
          <t>Large Cap</t>
        </is>
      </c>
    </row>
    <row r="28">
      <c r="B28" t="inlineStr">
        <is>
          <t>Divi's Laboratories Ltd</t>
        </is>
      </c>
      <c r="C28" t="inlineStr">
        <is>
          <t>INE361B01024</t>
        </is>
      </c>
      <c r="D28" t="inlineStr">
        <is>
          <t>Pharmaceuticals &amp; Biotechnology</t>
        </is>
      </c>
      <c r="E28" t="n">
        <v>20650</v>
      </c>
      <c r="F28" t="n">
        <v>1320.05</v>
      </c>
      <c r="G28" t="n">
        <v>0.99</v>
      </c>
      <c r="H28" t="inlineStr">
        <is>
          <t>Large Cap</t>
        </is>
      </c>
    </row>
    <row r="29">
      <c r="B29" t="inlineStr">
        <is>
          <t>KEI Industries Ltd</t>
        </is>
      </c>
      <c r="C29" t="inlineStr">
        <is>
          <t>INE878B01027</t>
        </is>
      </c>
      <c r="D29" t="inlineStr">
        <is>
          <t>Industrial Products</t>
        </is>
      </c>
      <c r="E29" t="n">
        <v>28000</v>
      </c>
      <c r="F29" t="n">
        <v>1248.86</v>
      </c>
      <c r="G29" t="n">
        <v>0.9399999999999999</v>
      </c>
      <c r="H29" t="inlineStr">
        <is>
          <t>Mid Cap</t>
        </is>
      </c>
    </row>
    <row r="30">
      <c r="B30" t="inlineStr">
        <is>
          <t>Tech Mahindra Ltd</t>
        </is>
      </c>
      <c r="C30" t="inlineStr">
        <is>
          <t>INE669C01036</t>
        </is>
      </c>
      <c r="D30" t="inlineStr">
        <is>
          <t>IT - Software</t>
        </is>
      </c>
      <c r="E30" t="n">
        <v>77000</v>
      </c>
      <c r="F30" t="n">
        <v>1224.99</v>
      </c>
      <c r="G30" t="n">
        <v>0.92</v>
      </c>
      <c r="H30" t="inlineStr">
        <is>
          <t>Large Cap</t>
        </is>
      </c>
    </row>
    <row r="31">
      <c r="B31" t="inlineStr">
        <is>
          <t>Cummins India Ltd</t>
        </is>
      </c>
      <c r="C31" t="inlineStr">
        <is>
          <t>INE298A01020</t>
        </is>
      </c>
      <c r="D31" t="inlineStr">
        <is>
          <t>Industrial Products</t>
        </is>
      </c>
      <c r="E31" t="n">
        <v>27500</v>
      </c>
      <c r="F31" t="n">
        <v>1219.46</v>
      </c>
      <c r="G31" t="n">
        <v>0.92</v>
      </c>
      <c r="H31" t="inlineStr">
        <is>
          <t>Large Cap</t>
        </is>
      </c>
    </row>
    <row r="32">
      <c r="B32" t="inlineStr">
        <is>
          <t>Bharat Electronics Ltd</t>
        </is>
      </c>
      <c r="C32" t="inlineStr">
        <is>
          <t>INE263A01024</t>
        </is>
      </c>
      <c r="D32" t="inlineStr">
        <is>
          <t>Aerospace &amp; Defense</t>
        </is>
      </c>
      <c r="E32" t="n">
        <v>304000</v>
      </c>
      <c r="F32" t="n">
        <v>1214.78</v>
      </c>
      <c r="G32" t="n">
        <v>0.91</v>
      </c>
      <c r="H32" t="inlineStr">
        <is>
          <t>Large Cap</t>
        </is>
      </c>
    </row>
    <row r="33">
      <c r="B33" t="inlineStr">
        <is>
          <t>Indian Bank</t>
        </is>
      </c>
      <c r="C33" t="inlineStr">
        <is>
          <t>INE562A01011</t>
        </is>
      </c>
      <c r="D33" t="inlineStr">
        <is>
          <t>Banks</t>
        </is>
      </c>
      <c r="E33" t="n">
        <v>144000</v>
      </c>
      <c r="F33" t="n">
        <v>1205.64</v>
      </c>
      <c r="G33" t="n">
        <v>0.9</v>
      </c>
      <c r="H33" t="inlineStr">
        <is>
          <t>Mid Cap</t>
        </is>
      </c>
    </row>
    <row r="34">
      <c r="B34" t="inlineStr">
        <is>
          <t>Tata Consultancy Services Ltd</t>
        </is>
      </c>
      <c r="C34" t="inlineStr">
        <is>
          <t>INE467B01029</t>
        </is>
      </c>
      <c r="D34" t="inlineStr">
        <is>
          <t>IT - Software</t>
        </is>
      </c>
      <c r="E34" t="n">
        <v>35000</v>
      </c>
      <c r="F34" t="n">
        <v>1122.17</v>
      </c>
      <c r="G34" t="n">
        <v>0.84</v>
      </c>
      <c r="H34" t="inlineStr">
        <is>
          <t>Large Cap</t>
        </is>
      </c>
    </row>
    <row r="35">
      <c r="B35" t="inlineStr">
        <is>
          <t>Interglobe Aviation Ltd</t>
        </is>
      </c>
      <c r="C35" t="inlineStr">
        <is>
          <t>INE646L01027</t>
        </is>
      </c>
      <c r="D35" t="inlineStr">
        <is>
          <t>Transport Services</t>
        </is>
      </c>
      <c r="E35" t="n">
        <v>21600</v>
      </c>
      <c r="F35" t="n">
        <v>1092.85</v>
      </c>
      <c r="G35" t="n">
        <v>0.82</v>
      </c>
      <c r="H35" t="inlineStr">
        <is>
          <t>Large Cap</t>
        </is>
      </c>
      <c r="J35" t="n">
        <v>-0.0228595881526569</v>
      </c>
    </row>
    <row r="36">
      <c r="B36" t="inlineStr">
        <is>
          <t>Angel One Ltd</t>
        </is>
      </c>
      <c r="C36" t="inlineStr">
        <is>
          <t>INE732I01013</t>
        </is>
      </c>
      <c r="D36" t="inlineStr">
        <is>
          <t>Capital Markets</t>
        </is>
      </c>
      <c r="E36" t="n">
        <v>45000</v>
      </c>
      <c r="F36" t="n">
        <v>1054.8</v>
      </c>
      <c r="G36" t="n">
        <v>0.79</v>
      </c>
      <c r="H36" t="inlineStr">
        <is>
          <t>Small Cap</t>
        </is>
      </c>
    </row>
    <row r="37">
      <c r="B37" t="inlineStr">
        <is>
          <t>Bharat Petroleum Corporation Ltd</t>
        </is>
      </c>
      <c r="C37" t="inlineStr">
        <is>
          <t>INE029A01011</t>
        </is>
      </c>
      <c r="D37" t="inlineStr">
        <is>
          <t>Petroleum Products</t>
        </is>
      </c>
      <c r="E37" t="n">
        <v>270500</v>
      </c>
      <c r="F37" t="n">
        <v>1038.72</v>
      </c>
      <c r="G37" t="n">
        <v>0.78</v>
      </c>
      <c r="H37" t="inlineStr">
        <is>
          <t>Large Cap</t>
        </is>
      </c>
    </row>
    <row r="38">
      <c r="B38" t="inlineStr">
        <is>
          <t>Awfis Space Solutions Ltd</t>
        </is>
      </c>
      <c r="C38" t="inlineStr">
        <is>
          <t>INE108V01019</t>
        </is>
      </c>
      <c r="D38" t="inlineStr">
        <is>
          <t>Commercial Services &amp; Supplies</t>
        </is>
      </c>
      <c r="E38" t="n">
        <v>210000</v>
      </c>
      <c r="F38" t="n">
        <v>1034.88</v>
      </c>
      <c r="G38" t="n">
        <v>0.78</v>
      </c>
      <c r="H38" t="inlineStr">
        <is>
          <t>Small Cap</t>
        </is>
      </c>
    </row>
    <row r="39">
      <c r="B39" t="inlineStr">
        <is>
          <t>United Spirits Ltd</t>
        </is>
      </c>
      <c r="C39" t="inlineStr">
        <is>
          <t>INE854D01024</t>
        </is>
      </c>
      <c r="D39" t="inlineStr">
        <is>
          <t>Beverages</t>
        </is>
      </c>
      <c r="E39" t="n">
        <v>71000</v>
      </c>
      <c r="F39" t="n">
        <v>1025.03</v>
      </c>
      <c r="G39" t="n">
        <v>0.77</v>
      </c>
      <c r="H39" t="inlineStr">
        <is>
          <t>Mid Cap</t>
        </is>
      </c>
    </row>
    <row r="40">
      <c r="B40" t="inlineStr">
        <is>
          <t>Brigade Enterprises Ltd</t>
        </is>
      </c>
      <c r="C40" t="inlineStr">
        <is>
          <t>INE791I01019</t>
        </is>
      </c>
      <c r="D40" t="inlineStr">
        <is>
          <t>Realty</t>
        </is>
      </c>
      <c r="E40" t="n">
        <v>105000</v>
      </c>
      <c r="F40" t="n">
        <v>929.25</v>
      </c>
      <c r="G40" t="n">
        <v>0.7</v>
      </c>
      <c r="H40" t="inlineStr">
        <is>
          <t>Small Cap</t>
        </is>
      </c>
    </row>
    <row r="41">
      <c r="B41" t="inlineStr">
        <is>
          <t>Crompton Greaves Consumer Electricals Ltd</t>
        </is>
      </c>
      <c r="C41" t="inlineStr">
        <is>
          <t>INE299U01018</t>
        </is>
      </c>
      <c r="D41" t="inlineStr">
        <is>
          <t>Consumer Durables</t>
        </is>
      </c>
      <c r="E41" t="n">
        <v>364000</v>
      </c>
      <c r="F41" t="n">
        <v>918.1900000000001</v>
      </c>
      <c r="G41" t="n">
        <v>0.6899999999999999</v>
      </c>
      <c r="H41" t="inlineStr">
        <is>
          <t>Small Cap</t>
        </is>
      </c>
      <c r="J41" t="n">
        <v>-0.22646592167329</v>
      </c>
    </row>
    <row r="42">
      <c r="B42" t="inlineStr">
        <is>
          <t>Motherson Sumi Wiring India Ltd</t>
        </is>
      </c>
      <c r="C42" t="inlineStr">
        <is>
          <t>INE0FS801015</t>
        </is>
      </c>
      <c r="D42" t="inlineStr">
        <is>
          <t>Auto Components</t>
        </is>
      </c>
      <c r="E42" t="n">
        <v>1891500</v>
      </c>
      <c r="F42" t="n">
        <v>917.76</v>
      </c>
      <c r="G42" t="n">
        <v>0.6899999999999999</v>
      </c>
      <c r="H42" t="inlineStr">
        <is>
          <t>Small Cap</t>
        </is>
      </c>
    </row>
    <row r="43">
      <c r="B43" t="inlineStr">
        <is>
          <t>Britannia Industries Ltd</t>
        </is>
      </c>
      <c r="C43" t="inlineStr">
        <is>
          <t>INE216A01030</t>
        </is>
      </c>
      <c r="D43" t="inlineStr">
        <is>
          <t>Food Products</t>
        </is>
      </c>
      <c r="E43" t="n">
        <v>15000</v>
      </c>
      <c r="F43" t="n">
        <v>904.65</v>
      </c>
      <c r="G43" t="n">
        <v>0.68</v>
      </c>
      <c r="H43" t="inlineStr">
        <is>
          <t>Large Cap</t>
        </is>
      </c>
    </row>
    <row r="44">
      <c r="B44" t="inlineStr">
        <is>
          <t>Hindustan Aeronautics Ltd</t>
        </is>
      </c>
      <c r="C44" t="inlineStr">
        <is>
          <t>INE066F01020</t>
        </is>
      </c>
      <c r="D44" t="inlineStr">
        <is>
          <t>Aerospace &amp; Defense</t>
        </is>
      </c>
      <c r="E44" t="n">
        <v>20000</v>
      </c>
      <c r="F44" t="n">
        <v>877.74</v>
      </c>
      <c r="G44" t="n">
        <v>0.66</v>
      </c>
      <c r="H44" t="inlineStr">
        <is>
          <t>Large Cap</t>
        </is>
      </c>
    </row>
    <row r="45">
      <c r="B45" t="inlineStr">
        <is>
          <t>Safari Industries (India) Ltd</t>
        </is>
      </c>
      <c r="C45" t="inlineStr">
        <is>
          <t>INE429E01023</t>
        </is>
      </c>
      <c r="D45" t="inlineStr">
        <is>
          <t>Consumer Durables</t>
        </is>
      </c>
      <c r="E45" t="n">
        <v>40000</v>
      </c>
      <c r="F45" t="n">
        <v>869.76</v>
      </c>
      <c r="G45" t="n">
        <v>0.65</v>
      </c>
      <c r="H45" t="inlineStr">
        <is>
          <t>Small Cap</t>
        </is>
      </c>
    </row>
    <row r="46">
      <c r="B46" t="inlineStr">
        <is>
          <t>Vinati Organics Ltd</t>
        </is>
      </c>
      <c r="C46" t="inlineStr">
        <is>
          <t>INE410B01037</t>
        </is>
      </c>
      <c r="D46" t="inlineStr">
        <is>
          <t>Chemicals &amp; Petrochemicals</t>
        </is>
      </c>
      <c r="E46" t="n">
        <v>52500</v>
      </c>
      <c r="F46" t="n">
        <v>834.33</v>
      </c>
      <c r="G46" t="n">
        <v>0.63</v>
      </c>
      <c r="H46" t="inlineStr">
        <is>
          <t>Small Cap</t>
        </is>
      </c>
    </row>
    <row r="47">
      <c r="B47" t="inlineStr">
        <is>
          <t>Ultratech Cement Ltd</t>
        </is>
      </c>
      <c r="C47" t="inlineStr">
        <is>
          <t>INE481G01011</t>
        </is>
      </c>
      <c r="D47" t="inlineStr">
        <is>
          <t>Cement &amp; Cement Products</t>
        </is>
      </c>
      <c r="E47" t="n">
        <v>7000</v>
      </c>
      <c r="F47" t="n">
        <v>824.88</v>
      </c>
      <c r="G47" t="n">
        <v>0.62</v>
      </c>
      <c r="H47" t="inlineStr">
        <is>
          <t>Large Cap</t>
        </is>
      </c>
    </row>
    <row r="48">
      <c r="B48" t="inlineStr">
        <is>
          <t>Cholamandalam Financial Holdings Ltd</t>
        </is>
      </c>
      <c r="C48" t="inlineStr">
        <is>
          <t>INE149A01033</t>
        </is>
      </c>
      <c r="D48" t="inlineStr">
        <is>
          <t>Finance</t>
        </is>
      </c>
      <c r="E48" t="n">
        <v>45381</v>
      </c>
      <c r="F48" t="n">
        <v>822.71</v>
      </c>
      <c r="G48" t="n">
        <v>0.62</v>
      </c>
      <c r="H48" t="inlineStr">
        <is>
          <t>Mid Cap</t>
        </is>
      </c>
    </row>
    <row r="49">
      <c r="B49" t="inlineStr">
        <is>
          <t>PNB Housing Finance Ltd</t>
        </is>
      </c>
      <c r="C49" t="inlineStr">
        <is>
          <t>INE572E01012</t>
        </is>
      </c>
      <c r="D49" t="inlineStr">
        <is>
          <t>Finance</t>
        </is>
      </c>
      <c r="E49" t="n">
        <v>86000</v>
      </c>
      <c r="F49" t="n">
        <v>818.29</v>
      </c>
      <c r="G49" t="n">
        <v>0.61</v>
      </c>
      <c r="H49" t="inlineStr">
        <is>
          <t>Small Cap</t>
        </is>
      </c>
    </row>
    <row r="50">
      <c r="B50" t="inlineStr">
        <is>
          <t>Sun Pharmaceutical Industries Ltd</t>
        </is>
      </c>
      <c r="C50" t="inlineStr">
        <is>
          <t>INE044A01036</t>
        </is>
      </c>
      <c r="D50" t="inlineStr">
        <is>
          <t>Pharmaceuticals &amp; Biotechnology</t>
        </is>
      </c>
      <c r="E50" t="n">
        <v>45000</v>
      </c>
      <c r="F50" t="n">
        <v>773.87</v>
      </c>
      <c r="G50" t="n">
        <v>0.58</v>
      </c>
      <c r="H50" t="inlineStr">
        <is>
          <t>Large Cap</t>
        </is>
      </c>
    </row>
    <row r="51">
      <c r="B51" t="inlineStr">
        <is>
          <t>J.K. Cement Ltd</t>
        </is>
      </c>
      <c r="C51" t="inlineStr">
        <is>
          <t>INE823G01014</t>
        </is>
      </c>
      <c r="D51" t="inlineStr">
        <is>
          <t>Cement &amp; Cement Products</t>
        </is>
      </c>
      <c r="E51" t="n">
        <v>13888</v>
      </c>
      <c r="F51" t="n">
        <v>768.15</v>
      </c>
      <c r="G51" t="n">
        <v>0.58</v>
      </c>
      <c r="H51" t="inlineStr">
        <is>
          <t>Mid Cap</t>
        </is>
      </c>
    </row>
    <row r="52">
      <c r="B52" t="inlineStr">
        <is>
          <t>Arvind Fashions Ltd</t>
        </is>
      </c>
      <c r="C52" t="inlineStr">
        <is>
          <t>INE955V01021</t>
        </is>
      </c>
      <c r="D52" t="inlineStr">
        <is>
          <t>Retailing</t>
        </is>
      </c>
      <c r="E52" t="n">
        <v>151500</v>
      </c>
      <c r="F52" t="n">
        <v>756.21</v>
      </c>
      <c r="G52" t="n">
        <v>0.57</v>
      </c>
      <c r="H52" t="inlineStr">
        <is>
          <t>Small Cap</t>
        </is>
      </c>
    </row>
    <row r="53">
      <c r="B53" t="inlineStr">
        <is>
          <t>Info Edge (India) Ltd</t>
        </is>
      </c>
      <c r="C53" t="inlineStr">
        <is>
          <t>INE663F01032</t>
        </is>
      </c>
      <c r="D53" t="inlineStr">
        <is>
          <t>Retailing</t>
        </is>
      </c>
      <c r="E53" t="n">
        <v>55000</v>
      </c>
      <c r="F53" t="n">
        <v>733.48</v>
      </c>
      <c r="G53" t="n">
        <v>0.55</v>
      </c>
      <c r="H53" t="inlineStr">
        <is>
          <t>Mid Cap</t>
        </is>
      </c>
    </row>
    <row r="54">
      <c r="B54" t="inlineStr">
        <is>
          <t>CG Power and Industrial Solutions Ltd</t>
        </is>
      </c>
      <c r="C54" t="inlineStr">
        <is>
          <t>INE067A01029</t>
        </is>
      </c>
      <c r="D54" t="inlineStr">
        <is>
          <t>Electrical Equipment</t>
        </is>
      </c>
      <c r="E54" t="n">
        <v>112500</v>
      </c>
      <c r="F54" t="n">
        <v>728.89</v>
      </c>
      <c r="G54" t="n">
        <v>0.55</v>
      </c>
      <c r="H54" t="inlineStr">
        <is>
          <t>Large Cap</t>
        </is>
      </c>
    </row>
    <row r="55">
      <c r="B55" t="inlineStr">
        <is>
          <t>Jubilant Foodworks Ltd</t>
        </is>
      </c>
      <c r="C55" t="inlineStr">
        <is>
          <t>INE797F01020</t>
        </is>
      </c>
      <c r="D55" t="inlineStr">
        <is>
          <t>Leisure Services</t>
        </is>
      </c>
      <c r="E55" t="n">
        <v>125000</v>
      </c>
      <c r="F55" t="n">
        <v>698.25</v>
      </c>
      <c r="G55" t="n">
        <v>0.52</v>
      </c>
      <c r="H55" t="inlineStr">
        <is>
          <t>Mid Cap</t>
        </is>
      </c>
    </row>
    <row r="56">
      <c r="B56" t="inlineStr">
        <is>
          <t>PVR Inox Ltd</t>
        </is>
      </c>
      <c r="C56" t="inlineStr">
        <is>
          <t>INE191H01014</t>
        </is>
      </c>
      <c r="D56" t="inlineStr">
        <is>
          <t>Entertainment</t>
        </is>
      </c>
      <c r="E56" t="n">
        <v>65500</v>
      </c>
      <c r="F56" t="n">
        <v>664.96</v>
      </c>
      <c r="G56" t="n">
        <v>0.5</v>
      </c>
      <c r="H56" t="inlineStr">
        <is>
          <t>Small Cap</t>
        </is>
      </c>
    </row>
    <row r="57">
      <c r="B57" t="inlineStr">
        <is>
          <t>Hindalco Industries Ltd</t>
        </is>
      </c>
      <c r="C57" t="inlineStr">
        <is>
          <t>INE038A01020</t>
        </is>
      </c>
      <c r="D57" t="inlineStr">
        <is>
          <t>Non - Ferrous Metals</t>
        </is>
      </c>
      <c r="E57" t="n">
        <v>73500</v>
      </c>
      <c r="F57" t="n">
        <v>651.72</v>
      </c>
      <c r="G57" t="n">
        <v>0.49</v>
      </c>
      <c r="H57" t="inlineStr">
        <is>
          <t>Large Cap</t>
        </is>
      </c>
      <c r="J57" t="n">
        <v>-0.40211595059393</v>
      </c>
    </row>
    <row r="58">
      <c r="B58" t="inlineStr">
        <is>
          <t>Jyothy Labs Ltd</t>
        </is>
      </c>
      <c r="C58" t="inlineStr">
        <is>
          <t>INE668F01031</t>
        </is>
      </c>
      <c r="D58" t="inlineStr">
        <is>
          <t>Household Products</t>
        </is>
      </c>
      <c r="E58" t="n">
        <v>201500</v>
      </c>
      <c r="F58" t="n">
        <v>569.54</v>
      </c>
      <c r="G58" t="n">
        <v>0.43</v>
      </c>
      <c r="H58" t="inlineStr">
        <is>
          <t>Small Cap</t>
        </is>
      </c>
    </row>
    <row r="59">
      <c r="B59" t="inlineStr">
        <is>
          <t>Sonata Software Ltd</t>
        </is>
      </c>
      <c r="C59" t="inlineStr">
        <is>
          <t>INE269A01021</t>
        </is>
      </c>
      <c r="D59" t="inlineStr">
        <is>
          <t>IT - Software</t>
        </is>
      </c>
      <c r="E59" t="n">
        <v>154000</v>
      </c>
      <c r="F59" t="n">
        <v>554.17</v>
      </c>
      <c r="G59" t="n">
        <v>0.42</v>
      </c>
      <c r="H59" t="inlineStr">
        <is>
          <t>Small Cap</t>
        </is>
      </c>
    </row>
    <row r="60">
      <c r="B60" t="inlineStr">
        <is>
          <t>Greenply Industries Ltd</t>
        </is>
      </c>
      <c r="C60" t="inlineStr">
        <is>
          <t>INE461C01038</t>
        </is>
      </c>
      <c r="D60" t="inlineStr">
        <is>
          <t>Consumer Durables</t>
        </is>
      </c>
      <c r="E60" t="n">
        <v>200000</v>
      </c>
      <c r="F60" t="n">
        <v>536.8</v>
      </c>
      <c r="G60" t="n">
        <v>0.4</v>
      </c>
      <c r="H60" t="inlineStr">
        <is>
          <t>Small Cap</t>
        </is>
      </c>
    </row>
    <row r="61">
      <c r="B61" t="inlineStr">
        <is>
          <t>Mrs Bectors Food Specialities Ltd</t>
        </is>
      </c>
      <c r="C61" t="inlineStr">
        <is>
          <t>INE495P01020</t>
        </is>
      </c>
      <c r="D61" t="inlineStr">
        <is>
          <t>Food Products</t>
        </is>
      </c>
      <c r="E61" t="n">
        <v>231500</v>
      </c>
      <c r="F61" t="n">
        <v>533.38</v>
      </c>
      <c r="G61" t="n">
        <v>0.4</v>
      </c>
      <c r="H61" t="inlineStr">
        <is>
          <t>Small Cap</t>
        </is>
      </c>
    </row>
    <row r="62">
      <c r="B62" t="inlineStr">
        <is>
          <t>NTPC Ltd</t>
        </is>
      </c>
      <c r="C62" t="inlineStr">
        <is>
          <t>INE733E01010</t>
        </is>
      </c>
      <c r="D62" t="inlineStr">
        <is>
          <t>Power</t>
        </is>
      </c>
      <c r="E62" t="n">
        <v>143000</v>
      </c>
      <c r="F62" t="n">
        <v>471.26</v>
      </c>
      <c r="G62" t="n">
        <v>0.35</v>
      </c>
      <c r="H62" t="inlineStr">
        <is>
          <t>Large Cap</t>
        </is>
      </c>
      <c r="J62" t="n">
        <v>-0.339585316166036</v>
      </c>
    </row>
    <row r="63">
      <c r="B63" t="inlineStr">
        <is>
          <t>Vedant Fashions Ltd</t>
        </is>
      </c>
      <c r="C63" t="inlineStr">
        <is>
          <t>INE825V01034</t>
        </is>
      </c>
      <c r="D63" t="inlineStr">
        <is>
          <t>Retailing</t>
        </is>
      </c>
      <c r="E63" t="n">
        <v>51500</v>
      </c>
      <c r="F63" t="n">
        <v>299.78</v>
      </c>
      <c r="G63" t="n">
        <v>0.22</v>
      </c>
      <c r="H63" t="inlineStr">
        <is>
          <t>Small Cap</t>
        </is>
      </c>
    </row>
    <row r="64">
      <c r="B64" t="inlineStr">
        <is>
          <t>Shoppers Stop Ltd</t>
        </is>
      </c>
      <c r="C64" t="inlineStr">
        <is>
          <t>INE498B01024</t>
        </is>
      </c>
      <c r="D64" t="inlineStr">
        <is>
          <t>Retailing</t>
        </is>
      </c>
      <c r="E64" t="n">
        <v>77000</v>
      </c>
      <c r="F64" t="n">
        <v>296.37</v>
      </c>
      <c r="G64" t="n">
        <v>0.22</v>
      </c>
      <c r="H64" t="inlineStr">
        <is>
          <t>Small Cap</t>
        </is>
      </c>
    </row>
    <row r="65">
      <c r="B65" t="inlineStr">
        <is>
          <t>ICICI Lombard General Insurance Co Ltd</t>
        </is>
      </c>
      <c r="C65" t="inlineStr">
        <is>
          <t>INE765G01017</t>
        </is>
      </c>
      <c r="D65" t="inlineStr">
        <is>
          <t>Insurance</t>
        </is>
      </c>
      <c r="E65" t="n">
        <v>13000</v>
      </c>
      <c r="F65" t="n">
        <v>255.07</v>
      </c>
      <c r="G65" t="n">
        <v>0.19</v>
      </c>
      <c r="H65" t="inlineStr">
        <is>
          <t>Mid Cap</t>
        </is>
      </c>
      <c r="J65" t="n">
        <v>-0.192370956621077</v>
      </c>
    </row>
    <row r="66">
      <c r="B66" t="inlineStr">
        <is>
          <t>Sub Total</t>
        </is>
      </c>
      <c r="F66">
        <f>SUM(F7:F65)</f>
        <v/>
      </c>
      <c r="G66">
        <f>SUM(G7:G65)</f>
        <v/>
      </c>
      <c r="J66">
        <f>SUM(J7:J65)</f>
        <v/>
      </c>
    </row>
    <row r="67">
      <c r="B67" t="inlineStr">
        <is>
          <t>Total</t>
        </is>
      </c>
      <c r="F67">
        <f>F66</f>
        <v/>
      </c>
      <c r="G67">
        <f>G66</f>
        <v/>
      </c>
      <c r="J67">
        <f>J66</f>
        <v/>
      </c>
    </row>
    <row r="68">
      <c r="B68" t="inlineStr">
        <is>
          <t>Debt Instruments</t>
        </is>
      </c>
    </row>
    <row r="69">
      <c r="B69" t="inlineStr">
        <is>
          <t>(a) Listed / awaiting listing on Stock Exchanges</t>
        </is>
      </c>
    </row>
    <row r="70">
      <c r="B70" t="inlineStr">
        <is>
          <t>8.10% Bajaj Finance Ltd (08/01/2027) **</t>
        </is>
      </c>
      <c r="C70" t="inlineStr">
        <is>
          <t>INE296A07SR9</t>
        </is>
      </c>
      <c r="D70" t="inlineStr">
        <is>
          <t>CRISIL AAA</t>
        </is>
      </c>
      <c r="E70" t="n">
        <v>5000</v>
      </c>
      <c r="F70" t="n">
        <v>5047.29</v>
      </c>
      <c r="G70" t="n">
        <v>3.79</v>
      </c>
      <c r="I70" t="n">
        <v>7.1</v>
      </c>
    </row>
    <row r="71">
      <c r="B71" t="inlineStr">
        <is>
          <t>7.48% National Bank For Agriculture &amp; Rural Development (15/09/2028)</t>
        </is>
      </c>
      <c r="C71" t="inlineStr">
        <is>
          <t>INE261F08EO7</t>
        </is>
      </c>
      <c r="D71" t="inlineStr">
        <is>
          <t>CRISIL AAA</t>
        </is>
      </c>
      <c r="E71" t="n">
        <v>2500</v>
      </c>
      <c r="F71" t="n">
        <v>2532.68</v>
      </c>
      <c r="G71" t="n">
        <v>1.9</v>
      </c>
      <c r="I71" t="n">
        <v>6.91</v>
      </c>
    </row>
    <row r="72">
      <c r="B72" t="inlineStr">
        <is>
          <t>7.74% LIC Housing Finance Ltd (22/10/2027)</t>
        </is>
      </c>
      <c r="C72" t="inlineStr">
        <is>
          <t>INE115A07QZ8</t>
        </is>
      </c>
      <c r="D72" t="inlineStr">
        <is>
          <t>CRISIL AAA</t>
        </is>
      </c>
      <c r="E72" t="n">
        <v>2500</v>
      </c>
      <c r="F72" t="n">
        <v>2530.12</v>
      </c>
      <c r="G72" t="n">
        <v>1.9</v>
      </c>
      <c r="I72" t="n">
        <v>6.98</v>
      </c>
    </row>
    <row r="73">
      <c r="B73" t="inlineStr">
        <is>
          <t>7.61% LIC Housing Finance Ltd (29/08/2034) **</t>
        </is>
      </c>
      <c r="C73" t="inlineStr">
        <is>
          <t>INE115A07QV7</t>
        </is>
      </c>
      <c r="D73" t="inlineStr">
        <is>
          <t>CRISIL AAA</t>
        </is>
      </c>
      <c r="E73" t="n">
        <v>2500</v>
      </c>
      <c r="F73" t="n">
        <v>2529.61</v>
      </c>
      <c r="G73" t="n">
        <v>1.9</v>
      </c>
      <c r="I73" t="n">
        <v>7.41</v>
      </c>
    </row>
    <row r="74">
      <c r="B74" t="inlineStr">
        <is>
          <t>7.745% KOTAK MAHINDRA PRIME LTD 19-NOV-27 **</t>
        </is>
      </c>
      <c r="C74" t="inlineStr">
        <is>
          <t>INE916DA7SX8</t>
        </is>
      </c>
      <c r="D74" t="inlineStr">
        <is>
          <t>CRISIL AAA</t>
        </is>
      </c>
      <c r="E74" t="n">
        <v>2500</v>
      </c>
      <c r="F74" t="n">
        <v>2525.32</v>
      </c>
      <c r="G74" t="n">
        <v>1.89</v>
      </c>
      <c r="I74" t="n">
        <v>7.14</v>
      </c>
    </row>
    <row r="75">
      <c r="B75" t="inlineStr">
        <is>
          <t>7.70% REC Ltd (31/08/2026)</t>
        </is>
      </c>
      <c r="C75" t="inlineStr">
        <is>
          <t>INE020B08FC8</t>
        </is>
      </c>
      <c r="D75" t="inlineStr">
        <is>
          <t>ICRA AAA</t>
        </is>
      </c>
      <c r="E75" t="n">
        <v>2500</v>
      </c>
      <c r="F75" t="n">
        <v>2511.48</v>
      </c>
      <c r="G75" t="n">
        <v>1.88</v>
      </c>
      <c r="I75" t="n">
        <v>6.8</v>
      </c>
    </row>
    <row r="76">
      <c r="B76" t="inlineStr">
        <is>
          <t>6.97% Bajaj Housing Finance Ltd (17/07/2028) **</t>
        </is>
      </c>
      <c r="C76" t="inlineStr">
        <is>
          <t>INE377Y07599</t>
        </is>
      </c>
      <c r="D76" t="inlineStr">
        <is>
          <t>CRISIL AAA</t>
        </is>
      </c>
      <c r="E76" t="n">
        <v>2500</v>
      </c>
      <c r="F76" t="n">
        <v>2492.61</v>
      </c>
      <c r="G76" t="n">
        <v>1.87</v>
      </c>
      <c r="I76" t="n">
        <v>7.08</v>
      </c>
    </row>
    <row r="77">
      <c r="B77" t="inlineStr">
        <is>
          <t>6.00% TVS Motor Co Ltd NCRPS **</t>
        </is>
      </c>
      <c r="C77" t="inlineStr">
        <is>
          <t>INE494B04019</t>
        </is>
      </c>
      <c r="D77" t="inlineStr">
        <is>
          <t>CARE A1+</t>
        </is>
      </c>
      <c r="E77" t="n">
        <v>204800</v>
      </c>
      <c r="F77" t="n">
        <v>20.86</v>
      </c>
      <c r="G77" t="n">
        <v>0.02</v>
      </c>
      <c r="I77" t="n">
        <v>6.105</v>
      </c>
    </row>
    <row r="78">
      <c r="B78" t="inlineStr">
        <is>
          <t>Sub Total</t>
        </is>
      </c>
      <c r="F78">
        <f>SUM(F69:F77)</f>
        <v/>
      </c>
      <c r="G78">
        <f>SUM(G69:G77)</f>
        <v/>
      </c>
    </row>
    <row r="79">
      <c r="B79" t="inlineStr">
        <is>
          <t>Total</t>
        </is>
      </c>
      <c r="F79">
        <f>F78</f>
        <v/>
      </c>
      <c r="G79">
        <f>G78</f>
        <v/>
      </c>
    </row>
    <row r="80">
      <c r="B80" t="inlineStr">
        <is>
          <t>Money Market Instruments</t>
        </is>
      </c>
    </row>
    <row r="81">
      <c r="B81" t="inlineStr">
        <is>
          <t>Treasury Bill</t>
        </is>
      </c>
    </row>
    <row r="82">
      <c r="B82" t="inlineStr">
        <is>
          <t>182 DTB (27-FEB-2026)</t>
        </is>
      </c>
      <c r="C82" t="inlineStr">
        <is>
          <t>IN002025Y222</t>
        </is>
      </c>
      <c r="D82" t="inlineStr">
        <is>
          <t xml:space="preserve"> Sovereign</t>
        </is>
      </c>
      <c r="E82" t="n">
        <v>2500000</v>
      </c>
      <c r="F82" t="n">
        <v>2479.9</v>
      </c>
      <c r="G82" t="n">
        <v>1.86</v>
      </c>
      <c r="I82" t="n">
        <v>5.19</v>
      </c>
    </row>
    <row r="83">
      <c r="B83" t="inlineStr">
        <is>
          <t>182 DTB (15-JAN-2026)</t>
        </is>
      </c>
      <c r="C83" t="inlineStr">
        <is>
          <t>IN002025Y164</t>
        </is>
      </c>
      <c r="D83" t="inlineStr">
        <is>
          <t xml:space="preserve"> Sovereign</t>
        </is>
      </c>
      <c r="E83" t="n">
        <v>1500000</v>
      </c>
      <c r="F83" t="n">
        <v>1496.99</v>
      </c>
      <c r="G83" t="n">
        <v>1.12</v>
      </c>
      <c r="I83" t="n">
        <v>5.25</v>
      </c>
    </row>
    <row r="84">
      <c r="B84" t="inlineStr">
        <is>
          <t>364 DTB (10-SEP-2026)</t>
        </is>
      </c>
      <c r="C84" t="inlineStr">
        <is>
          <t>IN002025Z245</t>
        </is>
      </c>
      <c r="D84" t="inlineStr">
        <is>
          <t xml:space="preserve"> Sovereign</t>
        </is>
      </c>
      <c r="E84" t="n">
        <v>500000</v>
      </c>
      <c r="F84" t="n">
        <v>481.83</v>
      </c>
      <c r="G84" t="n">
        <v>0.36</v>
      </c>
      <c r="I84" t="n">
        <v>5.46</v>
      </c>
    </row>
    <row r="85">
      <c r="B85" t="inlineStr">
        <is>
          <t>Sub Total</t>
        </is>
      </c>
      <c r="F85">
        <f>SUM(F81:F84)</f>
        <v/>
      </c>
      <c r="G85">
        <f>SUM(G81:G84)</f>
        <v/>
      </c>
    </row>
    <row r="86">
      <c r="B86" t="inlineStr">
        <is>
          <t>Total</t>
        </is>
      </c>
      <c r="F86">
        <f>+F85</f>
        <v/>
      </c>
      <c r="G86">
        <f>+G85</f>
        <v/>
      </c>
    </row>
    <row r="87">
      <c r="B87" t="inlineStr">
        <is>
          <t>Government Bonds</t>
        </is>
      </c>
    </row>
    <row r="88">
      <c r="B88" t="inlineStr">
        <is>
          <t>7.10% GOI 2034 (08-APR-2034)</t>
        </is>
      </c>
      <c r="C88" t="inlineStr">
        <is>
          <t>IN0020240019</t>
        </is>
      </c>
      <c r="D88" t="inlineStr">
        <is>
          <t>Sovereign</t>
        </is>
      </c>
      <c r="E88" t="n">
        <v>4000000</v>
      </c>
      <c r="F88" t="n">
        <v>4114.46</v>
      </c>
      <c r="G88" t="n">
        <v>3.09</v>
      </c>
      <c r="I88" t="n">
        <v>6.75</v>
      </c>
    </row>
    <row r="89">
      <c r="B89" t="inlineStr">
        <is>
          <t>7.30% GOI 2053 (19-JUN-2053)</t>
        </is>
      </c>
      <c r="C89" t="inlineStr">
        <is>
          <t>IN0020230051</t>
        </is>
      </c>
      <c r="D89" t="inlineStr">
        <is>
          <t>Sovereign</t>
        </is>
      </c>
      <c r="E89" t="n">
        <v>1500000</v>
      </c>
      <c r="F89" t="n">
        <v>1502.65</v>
      </c>
      <c r="G89" t="n">
        <v>1.13</v>
      </c>
      <c r="I89" t="n">
        <v>7.42</v>
      </c>
    </row>
    <row r="90">
      <c r="B90" t="inlineStr">
        <is>
          <t>6.92% GOI 2039 (18-NOV-2039)</t>
        </is>
      </c>
      <c r="C90" t="inlineStr">
        <is>
          <t>IN0020240134</t>
        </is>
      </c>
      <c r="D90" t="inlineStr">
        <is>
          <t>Sovereign</t>
        </is>
      </c>
      <c r="E90" t="n">
        <v>1500000</v>
      </c>
      <c r="F90" t="n">
        <v>1500.66</v>
      </c>
      <c r="G90" t="n">
        <v>1.13</v>
      </c>
      <c r="I90" t="n">
        <v>7.03</v>
      </c>
    </row>
    <row r="91">
      <c r="B91" t="inlineStr">
        <is>
          <t>6.48% GOI 2035 (06-OCT-2035)</t>
        </is>
      </c>
      <c r="C91" t="inlineStr">
        <is>
          <t>IN0020250091</t>
        </is>
      </c>
      <c r="D91" t="inlineStr">
        <is>
          <t>Sovereign</t>
        </is>
      </c>
      <c r="E91" t="n">
        <v>1000000</v>
      </c>
      <c r="F91" t="n">
        <v>991.36</v>
      </c>
      <c r="G91" t="n">
        <v>0.74</v>
      </c>
      <c r="I91" t="n">
        <v>6.71</v>
      </c>
    </row>
    <row r="92">
      <c r="B92" t="inlineStr">
        <is>
          <t>Total</t>
        </is>
      </c>
      <c r="F92">
        <f>SUM(F88:F91)</f>
        <v/>
      </c>
      <c r="G92">
        <f>SUM(G88:G91)</f>
        <v/>
      </c>
    </row>
    <row r="93">
      <c r="B93" t="inlineStr">
        <is>
          <t>TREPS</t>
        </is>
      </c>
    </row>
    <row r="94">
      <c r="B94" t="inlineStr">
        <is>
          <t>TREPS</t>
        </is>
      </c>
      <c r="F94" t="n">
        <v>3850.39</v>
      </c>
      <c r="G94" t="n">
        <v>2.89</v>
      </c>
    </row>
    <row r="95">
      <c r="B95" t="inlineStr">
        <is>
          <t>Sub Total</t>
        </is>
      </c>
      <c r="F95">
        <f>SUM(F93:F94)</f>
        <v/>
      </c>
      <c r="G95">
        <f>SUM(G93:G94)</f>
        <v/>
      </c>
    </row>
    <row r="96">
      <c r="B96" t="inlineStr">
        <is>
          <t>Total</t>
        </is>
      </c>
      <c r="F96">
        <f>F95</f>
        <v/>
      </c>
      <c r="G96">
        <f>G95</f>
        <v/>
      </c>
    </row>
    <row r="97">
      <c r="B97" t="inlineStr">
        <is>
          <t>Margin on Derivatives</t>
        </is>
      </c>
      <c r="F97" t="n">
        <v>-78.18855000000001</v>
      </c>
      <c r="G97">
        <f>F97/F99*100</f>
        <v/>
      </c>
    </row>
    <row r="98">
      <c r="B98" t="inlineStr">
        <is>
          <t>Net Receivables / (Payables)</t>
        </is>
      </c>
      <c r="F98">
        <f>F99-(+F67+F79+F86+F92+F96+F97)</f>
        <v/>
      </c>
      <c r="G98">
        <f>G99-(+G67+G79+G86+G92+G96+G97)</f>
        <v/>
      </c>
    </row>
    <row r="99">
      <c r="B99" t="inlineStr">
        <is>
          <t>Grand Total</t>
        </is>
      </c>
      <c r="F99" t="n">
        <v>133270.12</v>
      </c>
      <c r="G99" t="n">
        <v>100</v>
      </c>
    </row>
    <row r="101">
      <c r="B101" t="inlineStr">
        <is>
          <t>** Non Traded Security</t>
        </is>
      </c>
    </row>
    <row r="103">
      <c r="B103" t="inlineStr">
        <is>
          <t>Modified Duration (In Years)</t>
        </is>
      </c>
      <c r="C103" t="n">
        <v>2.8373</v>
      </c>
    </row>
    <row r="105">
      <c r="B105" t="inlineStr">
        <is>
          <t>Annualised Portfolio YTM</t>
        </is>
      </c>
      <c r="C105" t="n">
        <v>0.0663</v>
      </c>
    </row>
    <row r="107">
      <c r="B107" t="inlineStr">
        <is>
          <t>Macaulay Duration (In Years)</t>
        </is>
      </c>
      <c r="C107" t="n">
        <v>2.9825</v>
      </c>
    </row>
    <row r="109">
      <c r="B109" t="inlineStr">
        <is>
          <t>Outstanding Exposure In Derivative Instruments (Rs. In Lacs)</t>
        </is>
      </c>
      <c r="C109" t="n">
        <v>9771.582050000001</v>
      </c>
    </row>
    <row r="111">
      <c r="B111" t="inlineStr">
        <is>
          <t>Outstanding Derivative Exposure (%)</t>
        </is>
      </c>
      <c r="C111">
        <f>ROUND(C109/F99,4)*100</f>
        <v/>
      </c>
    </row>
    <row r="113">
      <c r="B113" t="inlineStr">
        <is>
          <t>Please refer the below link for the performance of the Schemes managed by Canara Robeco Mutual Fund</t>
        </is>
      </c>
    </row>
    <row r="115">
      <c r="B115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CONSUMER TRENDS FUND</t>
        </is>
      </c>
    </row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1274000</v>
      </c>
      <c r="F7" t="n">
        <v>12627.89</v>
      </c>
      <c r="G7" t="n">
        <v>6.24</v>
      </c>
      <c r="H7" t="inlineStr">
        <is>
          <t>Large Cap</t>
        </is>
      </c>
    </row>
    <row r="8">
      <c r="B8" t="inlineStr">
        <is>
          <t>Maruti Suzuki India Ltd</t>
        </is>
      </c>
      <c r="C8" t="inlineStr">
        <is>
          <t>INE585B01010</t>
        </is>
      </c>
      <c r="D8" t="inlineStr">
        <is>
          <t>Automobiles</t>
        </is>
      </c>
      <c r="E8" t="n">
        <v>64500</v>
      </c>
      <c r="F8" t="n">
        <v>10769.57</v>
      </c>
      <c r="G8" t="n">
        <v>5.32</v>
      </c>
      <c r="H8" t="inlineStr">
        <is>
          <t>Large Cap</t>
        </is>
      </c>
    </row>
    <row r="9">
      <c r="B9" t="inlineStr">
        <is>
          <t>Bharti Airtel Ltd</t>
        </is>
      </c>
      <c r="C9" t="inlineStr">
        <is>
          <t>INE397D01024</t>
        </is>
      </c>
      <c r="D9" t="inlineStr">
        <is>
          <t>Telecom - Services</t>
        </is>
      </c>
      <c r="E9" t="n">
        <v>503000</v>
      </c>
      <c r="F9" t="n">
        <v>10591.17</v>
      </c>
      <c r="G9" t="n">
        <v>5.23</v>
      </c>
      <c r="H9" t="inlineStr">
        <is>
          <t>Large Cap</t>
        </is>
      </c>
    </row>
    <row r="10">
      <c r="B10" t="inlineStr">
        <is>
          <t>ITC Ltd</t>
        </is>
      </c>
      <c r="C10" t="inlineStr">
        <is>
          <t>INE154A01025</t>
        </is>
      </c>
      <c r="D10" t="inlineStr">
        <is>
          <t>Diversified Fmcg</t>
        </is>
      </c>
      <c r="E10" t="n">
        <v>2600000</v>
      </c>
      <c r="F10" t="n">
        <v>10478</v>
      </c>
      <c r="G10" t="n">
        <v>5.17</v>
      </c>
      <c r="H10" t="inlineStr">
        <is>
          <t>Large Cap</t>
        </is>
      </c>
    </row>
    <row r="11">
      <c r="B11" t="inlineStr">
        <is>
          <t>Mahindra &amp; Mahindra Ltd</t>
        </is>
      </c>
      <c r="C11" t="inlineStr">
        <is>
          <t>INE101A01026</t>
        </is>
      </c>
      <c r="D11" t="inlineStr">
        <is>
          <t>Automobiles</t>
        </is>
      </c>
      <c r="E11" t="n">
        <v>240000</v>
      </c>
      <c r="F11" t="n">
        <v>8902.08</v>
      </c>
      <c r="G11" t="n">
        <v>4.4</v>
      </c>
      <c r="H11" t="inlineStr">
        <is>
          <t>Large Cap</t>
        </is>
      </c>
    </row>
    <row r="12">
      <c r="B12" t="inlineStr">
        <is>
          <t>Eternal Ltd</t>
        </is>
      </c>
      <c r="C12" t="inlineStr">
        <is>
          <t>INE758T01015</t>
        </is>
      </c>
      <c r="D12" t="inlineStr">
        <is>
          <t>Retailing</t>
        </is>
      </c>
      <c r="E12" t="n">
        <v>3000000</v>
      </c>
      <c r="F12" t="n">
        <v>8341.5</v>
      </c>
      <c r="G12" t="n">
        <v>4.12</v>
      </c>
      <c r="H12" t="inlineStr">
        <is>
          <t>Large Cap</t>
        </is>
      </c>
    </row>
    <row r="13">
      <c r="B13" t="inlineStr">
        <is>
          <t>Bajaj Finance Ltd</t>
        </is>
      </c>
      <c r="C13" t="inlineStr">
        <is>
          <t>INE296A01032</t>
        </is>
      </c>
      <c r="D13" t="inlineStr">
        <is>
          <t>Finance</t>
        </is>
      </c>
      <c r="E13" t="n">
        <v>830000</v>
      </c>
      <c r="F13" t="n">
        <v>8190.44</v>
      </c>
      <c r="G13" t="n">
        <v>4.04</v>
      </c>
      <c r="H13" t="inlineStr">
        <is>
          <t>Large Cap</t>
        </is>
      </c>
      <c r="L13" t="inlineStr">
        <is>
          <t>Benchmark: BSE 100 TRI</t>
        </is>
      </c>
    </row>
    <row r="14">
      <c r="B14" t="inlineStr">
        <is>
          <t>Britannia Industries Ltd</t>
        </is>
      </c>
      <c r="C14" t="inlineStr">
        <is>
          <t>INE216A01030</t>
        </is>
      </c>
      <c r="D14" t="inlineStr">
        <is>
          <t>Food Products</t>
        </is>
      </c>
      <c r="E14" t="n">
        <v>128500</v>
      </c>
      <c r="F14" t="n">
        <v>7749.84</v>
      </c>
      <c r="G14" t="n">
        <v>3.83</v>
      </c>
      <c r="H14" t="inlineStr">
        <is>
          <t>Large Cap</t>
        </is>
      </c>
    </row>
    <row r="15">
      <c r="B15" t="inlineStr">
        <is>
          <t>Varun Beverages Ltd</t>
        </is>
      </c>
      <c r="C15" t="inlineStr">
        <is>
          <t>INE200M01039</t>
        </is>
      </c>
      <c r="D15" t="inlineStr">
        <is>
          <t>Beverages</t>
        </is>
      </c>
      <c r="E15" t="n">
        <v>1300000</v>
      </c>
      <c r="F15" t="n">
        <v>6368.05</v>
      </c>
      <c r="G15" t="n">
        <v>3.14</v>
      </c>
      <c r="H15" t="inlineStr">
        <is>
          <t>Large Cap</t>
        </is>
      </c>
    </row>
    <row r="16">
      <c r="B16" t="inlineStr">
        <is>
          <t>Godrej Consumer Products Ltd</t>
        </is>
      </c>
      <c r="C16" t="inlineStr">
        <is>
          <t>INE102D01028</t>
        </is>
      </c>
      <c r="D16" t="inlineStr">
        <is>
          <t>Personal Products</t>
        </is>
      </c>
      <c r="E16" t="n">
        <v>498000</v>
      </c>
      <c r="F16" t="n">
        <v>6086.56</v>
      </c>
      <c r="G16" t="n">
        <v>3.01</v>
      </c>
      <c r="H16" t="inlineStr">
        <is>
          <t>Large Cap</t>
        </is>
      </c>
    </row>
    <row r="17">
      <c r="B17" t="inlineStr">
        <is>
          <t>ICICI Bank Ltd</t>
        </is>
      </c>
      <c r="C17" t="inlineStr">
        <is>
          <t>INE090A01021</t>
        </is>
      </c>
      <c r="D17" t="inlineStr">
        <is>
          <t>Banks</t>
        </is>
      </c>
      <c r="E17" t="n">
        <v>395000</v>
      </c>
      <c r="F17" t="n">
        <v>5304.46</v>
      </c>
      <c r="G17" t="n">
        <v>2.62</v>
      </c>
      <c r="H17" t="inlineStr">
        <is>
          <t>Large Cap</t>
        </is>
      </c>
    </row>
    <row r="18">
      <c r="B18" t="inlineStr">
        <is>
          <t>Titan Co Ltd</t>
        </is>
      </c>
      <c r="C18" t="inlineStr">
        <is>
          <t>INE280A01028</t>
        </is>
      </c>
      <c r="D18" t="inlineStr">
        <is>
          <t>Consumer Durables</t>
        </is>
      </c>
      <c r="E18" t="n">
        <v>123000</v>
      </c>
      <c r="F18" t="n">
        <v>4983.35</v>
      </c>
      <c r="G18" t="n">
        <v>2.46</v>
      </c>
      <c r="H18" t="inlineStr">
        <is>
          <t>Large Cap</t>
        </is>
      </c>
    </row>
    <row r="19">
      <c r="B19" t="inlineStr">
        <is>
          <t>KEI Industries Ltd</t>
        </is>
      </c>
      <c r="C19" t="inlineStr">
        <is>
          <t>INE878B01027</t>
        </is>
      </c>
      <c r="D19" t="inlineStr">
        <is>
          <t>Industrial Products</t>
        </is>
      </c>
      <c r="E19" t="n">
        <v>109000</v>
      </c>
      <c r="F19" t="n">
        <v>4861.62</v>
      </c>
      <c r="G19" t="n">
        <v>2.4</v>
      </c>
      <c r="H19" t="inlineStr">
        <is>
          <t>Mid Cap</t>
        </is>
      </c>
    </row>
    <row r="20">
      <c r="B20" t="inlineStr">
        <is>
          <t>United Spirits Ltd</t>
        </is>
      </c>
      <c r="C20" t="inlineStr">
        <is>
          <t>INE854D01024</t>
        </is>
      </c>
      <c r="D20" t="inlineStr">
        <is>
          <t>Beverages</t>
        </is>
      </c>
      <c r="E20" t="n">
        <v>310000</v>
      </c>
      <c r="F20" t="n">
        <v>4475.47</v>
      </c>
      <c r="G20" t="n">
        <v>2.21</v>
      </c>
      <c r="H20" t="inlineStr">
        <is>
          <t>Mid Cap</t>
        </is>
      </c>
    </row>
    <row r="21">
      <c r="B21" t="inlineStr">
        <is>
          <t>Jubilant Foodworks Ltd</t>
        </is>
      </c>
      <c r="C21" t="inlineStr">
        <is>
          <t>INE797F01020</t>
        </is>
      </c>
      <c r="D21" t="inlineStr">
        <is>
          <t>Leisure Services</t>
        </is>
      </c>
      <c r="E21" t="n">
        <v>780000</v>
      </c>
      <c r="F21" t="n">
        <v>4357.08</v>
      </c>
      <c r="G21" t="n">
        <v>2.15</v>
      </c>
      <c r="H21" t="inlineStr">
        <is>
          <t>Mid Cap</t>
        </is>
      </c>
    </row>
    <row r="22">
      <c r="B22" t="inlineStr">
        <is>
          <t>Samvardhana Motherson International Ltd</t>
        </is>
      </c>
      <c r="C22" t="inlineStr">
        <is>
          <t>INE775A01035</t>
        </is>
      </c>
      <c r="D22" t="inlineStr">
        <is>
          <t>Auto Components</t>
        </is>
      </c>
      <c r="E22" t="n">
        <v>3487500</v>
      </c>
      <c r="F22" t="n">
        <v>4182.91</v>
      </c>
      <c r="G22" t="n">
        <v>2.07</v>
      </c>
      <c r="H22" t="inlineStr">
        <is>
          <t>Large Cap</t>
        </is>
      </c>
    </row>
    <row r="23">
      <c r="B23" t="inlineStr">
        <is>
          <t>Asian Paints Ltd</t>
        </is>
      </c>
      <c r="C23" t="inlineStr">
        <is>
          <t>INE021A01026</t>
        </is>
      </c>
      <c r="D23" t="inlineStr">
        <is>
          <t>Consumer Durables</t>
        </is>
      </c>
      <c r="E23" t="n">
        <v>150000</v>
      </c>
      <c r="F23" t="n">
        <v>4154.25</v>
      </c>
      <c r="G23" t="n">
        <v>2.05</v>
      </c>
      <c r="H23" t="inlineStr">
        <is>
          <t>Large Cap</t>
        </is>
      </c>
    </row>
    <row r="24">
      <c r="B24" t="inlineStr">
        <is>
          <t>BSE Ltd</t>
        </is>
      </c>
      <c r="C24" t="inlineStr">
        <is>
          <t>INE118H01025</t>
        </is>
      </c>
      <c r="D24" t="inlineStr">
        <is>
          <t>Capital Markets</t>
        </is>
      </c>
      <c r="E24" t="n">
        <v>153500</v>
      </c>
      <c r="F24" t="n">
        <v>4040.43</v>
      </c>
      <c r="G24" t="n">
        <v>2</v>
      </c>
      <c r="H24" t="inlineStr">
        <is>
          <t>Mid Cap</t>
        </is>
      </c>
    </row>
    <row r="25">
      <c r="B25" t="inlineStr">
        <is>
          <t>Cholamandalam Financial Holdings Ltd</t>
        </is>
      </c>
      <c r="C25" t="inlineStr">
        <is>
          <t>INE149A01033</t>
        </is>
      </c>
      <c r="D25" t="inlineStr">
        <is>
          <t>Finance</t>
        </is>
      </c>
      <c r="E25" t="n">
        <v>216200</v>
      </c>
      <c r="F25" t="n">
        <v>3919.49</v>
      </c>
      <c r="G25" t="n">
        <v>1.94</v>
      </c>
      <c r="H25" t="inlineStr">
        <is>
          <t>Mid Cap</t>
        </is>
      </c>
    </row>
    <row r="26">
      <c r="B26" t="inlineStr">
        <is>
          <t>Trent Ltd</t>
        </is>
      </c>
      <c r="C26" t="inlineStr">
        <is>
          <t>INE849A01020</t>
        </is>
      </c>
      <c r="D26" t="inlineStr">
        <is>
          <t>Retailing</t>
        </is>
      </c>
      <c r="E26" t="n">
        <v>90000</v>
      </c>
      <c r="F26" t="n">
        <v>3851.1</v>
      </c>
      <c r="G26" t="n">
        <v>1.9</v>
      </c>
      <c r="H26" t="inlineStr">
        <is>
          <t>Large Cap</t>
        </is>
      </c>
    </row>
    <row r="27">
      <c r="B27" t="inlineStr">
        <is>
          <t>FSN E-Commerce Ventures Ltd</t>
        </is>
      </c>
      <c r="C27" t="inlineStr">
        <is>
          <t>INE388Y01029</t>
        </is>
      </c>
      <c r="D27" t="inlineStr">
        <is>
          <t>Retailing</t>
        </is>
      </c>
      <c r="E27" t="n">
        <v>1450000</v>
      </c>
      <c r="F27" t="n">
        <v>3844.68</v>
      </c>
      <c r="G27" t="n">
        <v>1.9</v>
      </c>
      <c r="H27" t="inlineStr">
        <is>
          <t>Mid Cap</t>
        </is>
      </c>
    </row>
    <row r="28">
      <c r="B28" t="inlineStr">
        <is>
          <t>Vishal Mega Mart Ltd</t>
        </is>
      </c>
      <c r="C28" t="inlineStr">
        <is>
          <t>INE01EA01019</t>
        </is>
      </c>
      <c r="D28" t="inlineStr">
        <is>
          <t>Retailing</t>
        </is>
      </c>
      <c r="E28" t="n">
        <v>2705110</v>
      </c>
      <c r="F28" t="n">
        <v>3688.96</v>
      </c>
      <c r="G28" t="n">
        <v>1.82</v>
      </c>
      <c r="H28" t="inlineStr">
        <is>
          <t>Mid Cap</t>
        </is>
      </c>
    </row>
    <row r="29">
      <c r="B29" t="inlineStr">
        <is>
          <t>Interglobe Aviation Ltd</t>
        </is>
      </c>
      <c r="C29" t="inlineStr">
        <is>
          <t>INE646L01027</t>
        </is>
      </c>
      <c r="D29" t="inlineStr">
        <is>
          <t>Transport Services</t>
        </is>
      </c>
      <c r="E29" t="n">
        <v>71000</v>
      </c>
      <c r="F29" t="n">
        <v>3592.25</v>
      </c>
      <c r="G29" t="n">
        <v>1.77</v>
      </c>
      <c r="H29" t="inlineStr">
        <is>
          <t>Large Cap</t>
        </is>
      </c>
    </row>
    <row r="30">
      <c r="B30" t="inlineStr">
        <is>
          <t>Max Financial Services Ltd</t>
        </is>
      </c>
      <c r="C30" t="inlineStr">
        <is>
          <t>INE180A01020</t>
        </is>
      </c>
      <c r="D30" t="inlineStr">
        <is>
          <t>Insurance</t>
        </is>
      </c>
      <c r="E30" t="n">
        <v>213000</v>
      </c>
      <c r="F30" t="n">
        <v>3560.93</v>
      </c>
      <c r="G30" t="n">
        <v>1.76</v>
      </c>
      <c r="H30" t="inlineStr">
        <is>
          <t>Mid Cap</t>
        </is>
      </c>
    </row>
    <row r="31">
      <c r="B31" t="inlineStr">
        <is>
          <t>Info Edge (India) Ltd</t>
        </is>
      </c>
      <c r="C31" t="inlineStr">
        <is>
          <t>INE663F01032</t>
        </is>
      </c>
      <c r="D31" t="inlineStr">
        <is>
          <t>Retailing</t>
        </is>
      </c>
      <c r="E31" t="n">
        <v>265000</v>
      </c>
      <c r="F31" t="n">
        <v>3534.04</v>
      </c>
      <c r="G31" t="n">
        <v>1.75</v>
      </c>
      <c r="H31" t="inlineStr">
        <is>
          <t>Mid Cap</t>
        </is>
      </c>
    </row>
    <row r="32">
      <c r="B32" t="inlineStr">
        <is>
          <t>United Breweries Ltd</t>
        </is>
      </c>
      <c r="C32" t="inlineStr">
        <is>
          <t>INE686F01025</t>
        </is>
      </c>
      <c r="D32" t="inlineStr">
        <is>
          <t>Beverages</t>
        </is>
      </c>
      <c r="E32" t="n">
        <v>209000</v>
      </c>
      <c r="F32" t="n">
        <v>3389.35</v>
      </c>
      <c r="G32" t="n">
        <v>1.67</v>
      </c>
      <c r="H32" t="inlineStr">
        <is>
          <t>Mid Cap</t>
        </is>
      </c>
    </row>
    <row r="33">
      <c r="B33" t="inlineStr">
        <is>
          <t>Voltas Ltd</t>
        </is>
      </c>
      <c r="C33" t="inlineStr">
        <is>
          <t>INE226A01021</t>
        </is>
      </c>
      <c r="D33" t="inlineStr">
        <is>
          <t>Consumer Durables</t>
        </is>
      </c>
      <c r="E33" t="n">
        <v>245000</v>
      </c>
      <c r="F33" t="n">
        <v>3334.94</v>
      </c>
      <c r="G33" t="n">
        <v>1.65</v>
      </c>
      <c r="H33" t="inlineStr">
        <is>
          <t>Mid Cap</t>
        </is>
      </c>
    </row>
    <row r="34">
      <c r="B34" t="inlineStr">
        <is>
          <t>Crompton Greaves Consumer Electricals Ltd</t>
        </is>
      </c>
      <c r="C34" t="inlineStr">
        <is>
          <t>INE299U01018</t>
        </is>
      </c>
      <c r="D34" t="inlineStr">
        <is>
          <t>Consumer Durables</t>
        </is>
      </c>
      <c r="E34" t="n">
        <v>1270000</v>
      </c>
      <c r="F34" t="n">
        <v>3203.58</v>
      </c>
      <c r="G34" t="n">
        <v>1.58</v>
      </c>
      <c r="H34" t="inlineStr">
        <is>
          <t>Small Cap</t>
        </is>
      </c>
    </row>
    <row r="35">
      <c r="B35" t="inlineStr">
        <is>
          <t>Indian Bank</t>
        </is>
      </c>
      <c r="C35" t="inlineStr">
        <is>
          <t>INE562A01011</t>
        </is>
      </c>
      <c r="D35" t="inlineStr">
        <is>
          <t>Banks</t>
        </is>
      </c>
      <c r="E35" t="n">
        <v>370000</v>
      </c>
      <c r="F35" t="n">
        <v>3097.83</v>
      </c>
      <c r="G35" t="n">
        <v>1.53</v>
      </c>
      <c r="H35" t="inlineStr">
        <is>
          <t>Mid Cap</t>
        </is>
      </c>
    </row>
    <row r="36">
      <c r="B36" t="inlineStr">
        <is>
          <t>PNB Housing Finance Ltd</t>
        </is>
      </c>
      <c r="C36" t="inlineStr">
        <is>
          <t>INE572E01012</t>
        </is>
      </c>
      <c r="D36" t="inlineStr">
        <is>
          <t>Finance</t>
        </is>
      </c>
      <c r="E36" t="n">
        <v>300000</v>
      </c>
      <c r="F36" t="n">
        <v>2854.5</v>
      </c>
      <c r="G36" t="n">
        <v>1.41</v>
      </c>
      <c r="H36" t="inlineStr">
        <is>
          <t>Small Cap</t>
        </is>
      </c>
    </row>
    <row r="37">
      <c r="B37" t="inlineStr">
        <is>
          <t>SBI Life Insurance Co Ltd</t>
        </is>
      </c>
      <c r="C37" t="inlineStr">
        <is>
          <t>INE123W01016</t>
        </is>
      </c>
      <c r="D37" t="inlineStr">
        <is>
          <t>Insurance</t>
        </is>
      </c>
      <c r="E37" t="n">
        <v>135000</v>
      </c>
      <c r="F37" t="n">
        <v>2747.12</v>
      </c>
      <c r="G37" t="n">
        <v>1.36</v>
      </c>
      <c r="H37" t="inlineStr">
        <is>
          <t>Large Cap</t>
        </is>
      </c>
    </row>
    <row r="38">
      <c r="B38" t="inlineStr">
        <is>
          <t>Arvind Fashions Ltd</t>
        </is>
      </c>
      <c r="C38" t="inlineStr">
        <is>
          <t>INE955V01021</t>
        </is>
      </c>
      <c r="D38" t="inlineStr">
        <is>
          <t>Retailing</t>
        </is>
      </c>
      <c r="E38" t="n">
        <v>548000</v>
      </c>
      <c r="F38" t="n">
        <v>2735.34</v>
      </c>
      <c r="G38" t="n">
        <v>1.35</v>
      </c>
      <c r="H38" t="inlineStr">
        <is>
          <t>Small Cap</t>
        </is>
      </c>
    </row>
    <row r="39">
      <c r="B39" t="inlineStr">
        <is>
          <t>Mrs Bectors Food Specialities Ltd</t>
        </is>
      </c>
      <c r="C39" t="inlineStr">
        <is>
          <t>INE495P01020</t>
        </is>
      </c>
      <c r="D39" t="inlineStr">
        <is>
          <t>Food Products</t>
        </is>
      </c>
      <c r="E39" t="n">
        <v>1120000</v>
      </c>
      <c r="F39" t="n">
        <v>2580.48</v>
      </c>
      <c r="G39" t="n">
        <v>1.27</v>
      </c>
      <c r="H39" t="inlineStr">
        <is>
          <t>Small Cap</t>
        </is>
      </c>
    </row>
    <row r="40">
      <c r="B40" t="inlineStr">
        <is>
          <t>EIH Ltd</t>
        </is>
      </c>
      <c r="C40" t="inlineStr">
        <is>
          <t>INE230A01023</t>
        </is>
      </c>
      <c r="D40" t="inlineStr">
        <is>
          <t>Leisure Services</t>
        </is>
      </c>
      <c r="E40" t="n">
        <v>700000</v>
      </c>
      <c r="F40" t="n">
        <v>2577.75</v>
      </c>
      <c r="G40" t="n">
        <v>1.27</v>
      </c>
      <c r="H40" t="inlineStr">
        <is>
          <t>Small Cap</t>
        </is>
      </c>
    </row>
    <row r="41">
      <c r="B41" t="inlineStr">
        <is>
          <t>Jyothy Labs Ltd</t>
        </is>
      </c>
      <c r="C41" t="inlineStr">
        <is>
          <t>INE668F01031</t>
        </is>
      </c>
      <c r="D41" t="inlineStr">
        <is>
          <t>Household Products</t>
        </is>
      </c>
      <c r="E41" t="n">
        <v>877000</v>
      </c>
      <c r="F41" t="n">
        <v>2478.84</v>
      </c>
      <c r="G41" t="n">
        <v>1.22</v>
      </c>
      <c r="H41" t="inlineStr">
        <is>
          <t>Small Cap</t>
        </is>
      </c>
    </row>
    <row r="42">
      <c r="B42" t="inlineStr">
        <is>
          <t>J.B. Chemicals &amp; Pharmaceuticals Ltd</t>
        </is>
      </c>
      <c r="C42" t="inlineStr">
        <is>
          <t>INE572A01036</t>
        </is>
      </c>
      <c r="D42" t="inlineStr">
        <is>
          <t>Pharmaceuticals &amp; Biotechnology</t>
        </is>
      </c>
      <c r="E42" t="n">
        <v>133000</v>
      </c>
      <c r="F42" t="n">
        <v>2420.2</v>
      </c>
      <c r="G42" t="n">
        <v>1.2</v>
      </c>
      <c r="H42" t="inlineStr">
        <is>
          <t>Small Cap</t>
        </is>
      </c>
    </row>
    <row r="43">
      <c r="B43" t="inlineStr">
        <is>
          <t>One 97 Communications Ltd</t>
        </is>
      </c>
      <c r="C43" t="inlineStr">
        <is>
          <t>INE982J01020</t>
        </is>
      </c>
      <c r="D43" t="inlineStr">
        <is>
          <t>Financial Technology (Fintech)</t>
        </is>
      </c>
      <c r="E43" t="n">
        <v>175000</v>
      </c>
      <c r="F43" t="n">
        <v>2273.08</v>
      </c>
      <c r="G43" t="n">
        <v>1.12</v>
      </c>
      <c r="H43" t="inlineStr">
        <is>
          <t>Mid Cap</t>
        </is>
      </c>
    </row>
    <row r="44">
      <c r="B44" t="inlineStr">
        <is>
          <t>Lenskart Solutions Ltd</t>
        </is>
      </c>
      <c r="C44" t="inlineStr">
        <is>
          <t>INE956O01016</t>
        </is>
      </c>
      <c r="D44" t="inlineStr">
        <is>
          <t>Retailing</t>
        </is>
      </c>
      <c r="E44" t="n">
        <v>497502</v>
      </c>
      <c r="F44" t="n">
        <v>2242.24</v>
      </c>
      <c r="G44" t="n">
        <v>1.11</v>
      </c>
      <c r="H44" t="inlineStr">
        <is>
          <t>Mid Cap</t>
        </is>
      </c>
    </row>
    <row r="45">
      <c r="B45" t="inlineStr">
        <is>
          <t>Angel One Ltd</t>
        </is>
      </c>
      <c r="C45" t="inlineStr">
        <is>
          <t>INE732I01013</t>
        </is>
      </c>
      <c r="D45" t="inlineStr">
        <is>
          <t>Capital Markets</t>
        </is>
      </c>
      <c r="E45" t="n">
        <v>80000</v>
      </c>
      <c r="F45" t="n">
        <v>1875.2</v>
      </c>
      <c r="G45" t="n">
        <v>0.93</v>
      </c>
      <c r="H45" t="inlineStr">
        <is>
          <t>Small Cap</t>
        </is>
      </c>
    </row>
    <row r="46">
      <c r="B46" t="inlineStr">
        <is>
          <t>PVR Inox Ltd</t>
        </is>
      </c>
      <c r="C46" t="inlineStr">
        <is>
          <t>INE191H01014</t>
        </is>
      </c>
      <c r="D46" t="inlineStr">
        <is>
          <t>Entertainment</t>
        </is>
      </c>
      <c r="E46" t="n">
        <v>158000</v>
      </c>
      <c r="F46" t="n">
        <v>1604.02</v>
      </c>
      <c r="G46" t="n">
        <v>0.79</v>
      </c>
      <c r="H46" t="inlineStr">
        <is>
          <t>Small Cap</t>
        </is>
      </c>
    </row>
    <row r="47">
      <c r="B47" t="inlineStr">
        <is>
          <t>Tata Motors Ltd</t>
        </is>
      </c>
      <c r="C47" t="inlineStr">
        <is>
          <t>INE1TAE01010</t>
        </is>
      </c>
      <c r="D47" t="inlineStr">
        <is>
          <t>Agricultural, Commercial &amp; Construction Vehicles</t>
        </is>
      </c>
      <c r="E47" t="n">
        <v>310000</v>
      </c>
      <c r="F47" t="n">
        <v>1288.05</v>
      </c>
      <c r="G47" t="n">
        <v>0.64</v>
      </c>
      <c r="H47" t="inlineStr">
        <is>
          <t>Large Cap</t>
        </is>
      </c>
    </row>
    <row r="48">
      <c r="B48" t="inlineStr">
        <is>
          <t>Tata Motors Passenger Vehicles Ltd</t>
        </is>
      </c>
      <c r="C48" t="inlineStr">
        <is>
          <t>INE155A01022</t>
        </is>
      </c>
      <c r="D48" t="inlineStr">
        <is>
          <t>Automobiles</t>
        </is>
      </c>
      <c r="E48" t="n">
        <v>310000</v>
      </c>
      <c r="F48" t="n">
        <v>1138.79</v>
      </c>
      <c r="G48" t="n">
        <v>0.5600000000000001</v>
      </c>
      <c r="H48" t="inlineStr">
        <is>
          <t>Large Cap</t>
        </is>
      </c>
    </row>
    <row r="49">
      <c r="B49" t="inlineStr">
        <is>
          <t>Vedant Fashions Ltd</t>
        </is>
      </c>
      <c r="C49" t="inlineStr">
        <is>
          <t>INE825V01034</t>
        </is>
      </c>
      <c r="D49" t="inlineStr">
        <is>
          <t>Retailing</t>
        </is>
      </c>
      <c r="E49" t="n">
        <v>175000</v>
      </c>
      <c r="F49" t="n">
        <v>1018.68</v>
      </c>
      <c r="G49" t="n">
        <v>0.5</v>
      </c>
      <c r="H49" t="inlineStr">
        <is>
          <t>Small Cap</t>
        </is>
      </c>
    </row>
    <row r="50">
      <c r="B50" t="inlineStr">
        <is>
          <t>Shoppers Stop Ltd</t>
        </is>
      </c>
      <c r="C50" t="inlineStr">
        <is>
          <t>INE498B01024</t>
        </is>
      </c>
      <c r="D50" t="inlineStr">
        <is>
          <t>Retailing</t>
        </is>
      </c>
      <c r="E50" t="n">
        <v>222500</v>
      </c>
      <c r="F50" t="n">
        <v>856.4</v>
      </c>
      <c r="G50" t="n">
        <v>0.42</v>
      </c>
      <c r="H50" t="inlineStr">
        <is>
          <t>Small Cap</t>
        </is>
      </c>
    </row>
    <row r="51">
      <c r="B51" t="inlineStr">
        <is>
          <t>Westlife Foodworld Ltd</t>
        </is>
      </c>
      <c r="C51" t="inlineStr">
        <is>
          <t>INE274F01020</t>
        </is>
      </c>
      <c r="D51" t="inlineStr">
        <is>
          <t>Leisure Services</t>
        </is>
      </c>
      <c r="E51" t="n">
        <v>81000</v>
      </c>
      <c r="F51" t="n">
        <v>454.05</v>
      </c>
      <c r="G51" t="n">
        <v>0.22</v>
      </c>
      <c r="H51" t="inlineStr">
        <is>
          <t>Small Cap</t>
        </is>
      </c>
    </row>
    <row r="52">
      <c r="B52" t="inlineStr">
        <is>
          <t>Sub Total</t>
        </is>
      </c>
      <c r="F52">
        <f>SUM(F7:F51)</f>
        <v/>
      </c>
      <c r="G52">
        <f>SUM(G7:G51)</f>
        <v/>
      </c>
    </row>
    <row r="53">
      <c r="B53" t="inlineStr">
        <is>
          <t>Total</t>
        </is>
      </c>
      <c r="F53">
        <f>F52</f>
        <v/>
      </c>
      <c r="G53">
        <f>G52</f>
        <v/>
      </c>
    </row>
    <row r="54">
      <c r="B54" t="inlineStr">
        <is>
          <t>TREPS</t>
        </is>
      </c>
    </row>
    <row r="55">
      <c r="B55" t="inlineStr">
        <is>
          <t>TREPS</t>
        </is>
      </c>
      <c r="F55" t="n">
        <v>6246.92</v>
      </c>
      <c r="G55" t="n">
        <v>3.09</v>
      </c>
    </row>
    <row r="56">
      <c r="B56" t="inlineStr">
        <is>
          <t>Sub Total</t>
        </is>
      </c>
      <c r="F56">
        <f>SUM(F54:F55)</f>
        <v/>
      </c>
      <c r="G56">
        <f>SUM(G54:G55)</f>
        <v/>
      </c>
    </row>
    <row r="57">
      <c r="B57" t="inlineStr">
        <is>
          <t>Total</t>
        </is>
      </c>
      <c r="F57">
        <f>F56</f>
        <v/>
      </c>
      <c r="G57">
        <f>G56</f>
        <v/>
      </c>
    </row>
    <row r="58">
      <c r="B58" t="inlineStr">
        <is>
          <t>Net Receivables / (Payables)</t>
        </is>
      </c>
      <c r="F58">
        <f>F59-(+F53+F57)</f>
        <v/>
      </c>
      <c r="G58">
        <f>G59-(+G53+G57)</f>
        <v/>
      </c>
    </row>
    <row r="59">
      <c r="B59" t="inlineStr">
        <is>
          <t>Grand Total</t>
        </is>
      </c>
      <c r="F59" t="n">
        <v>202485.81</v>
      </c>
      <c r="G59" t="n">
        <v>100</v>
      </c>
    </row>
    <row r="62">
      <c r="B62" t="inlineStr">
        <is>
          <t>Residual Maturity</t>
        </is>
      </c>
      <c r="C62" t="inlineStr">
        <is>
          <t>0.0027 Years</t>
        </is>
      </c>
    </row>
    <row r="64">
      <c r="B64" t="inlineStr">
        <is>
          <t>Please refer the below link for the performance of the Schemes managed by Canara Robeco Mutual Fund</t>
        </is>
      </c>
    </row>
    <row r="66">
      <c r="B66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FLEXICAP FUND</t>
        </is>
      </c>
    </row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11184680</v>
      </c>
      <c r="F7" t="n">
        <v>110862.55</v>
      </c>
      <c r="G7" t="n">
        <v>8.06</v>
      </c>
      <c r="H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6400550</v>
      </c>
      <c r="F8" t="n">
        <v>85952.99000000001</v>
      </c>
      <c r="G8" t="n">
        <v>6.25</v>
      </c>
      <c r="H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3773362</v>
      </c>
      <c r="F9" t="n">
        <v>59256.88</v>
      </c>
      <c r="G9" t="n">
        <v>4.31</v>
      </c>
      <c r="H9" t="inlineStr">
        <is>
          <t>Large Cap</t>
        </is>
      </c>
    </row>
    <row r="10">
      <c r="B10" t="inlineStr">
        <is>
          <t>Infosys Ltd</t>
        </is>
      </c>
      <c r="C10" t="inlineStr">
        <is>
          <t>INE009A01021</t>
        </is>
      </c>
      <c r="D10" t="inlineStr">
        <is>
          <t>IT - Software</t>
        </is>
      </c>
      <c r="E10" t="n">
        <v>2903135</v>
      </c>
      <c r="F10" t="n">
        <v>46897.24</v>
      </c>
      <c r="G10" t="n">
        <v>3.41</v>
      </c>
      <c r="H10" t="inlineStr">
        <is>
          <t>Large Cap</t>
        </is>
      </c>
    </row>
    <row r="11">
      <c r="B11" t="inlineStr">
        <is>
          <t>Bharti Airtel Ltd</t>
        </is>
      </c>
      <c r="C11" t="inlineStr">
        <is>
          <t>INE397D01024</t>
        </is>
      </c>
      <c r="D11" t="inlineStr">
        <is>
          <t>Telecom - Services</t>
        </is>
      </c>
      <c r="E11" t="n">
        <v>2201904</v>
      </c>
      <c r="F11" t="n">
        <v>46363.29</v>
      </c>
      <c r="G11" t="n">
        <v>3.37</v>
      </c>
      <c r="H11" t="inlineStr">
        <is>
          <t>Large Cap</t>
        </is>
      </c>
    </row>
    <row r="12">
      <c r="B12" t="inlineStr">
        <is>
          <t>State Bank of India</t>
        </is>
      </c>
      <c r="C12" t="inlineStr">
        <is>
          <t>INE062A01020</t>
        </is>
      </c>
      <c r="D12" t="inlineStr">
        <is>
          <t>Banks</t>
        </is>
      </c>
      <c r="E12" t="n">
        <v>4582797</v>
      </c>
      <c r="F12" t="n">
        <v>45012.23</v>
      </c>
      <c r="G12" t="n">
        <v>3.27</v>
      </c>
      <c r="H12" t="inlineStr">
        <is>
          <t>Large Cap</t>
        </is>
      </c>
    </row>
    <row r="13">
      <c r="B13" t="inlineStr">
        <is>
          <t>Larsen &amp; Toubro Ltd</t>
        </is>
      </c>
      <c r="C13" t="inlineStr">
        <is>
          <t>INE018A01030</t>
        </is>
      </c>
      <c r="D13" t="inlineStr">
        <is>
          <t>Construction</t>
        </is>
      </c>
      <c r="E13" t="n">
        <v>1048270</v>
      </c>
      <c r="F13" t="n">
        <v>42806.11</v>
      </c>
      <c r="G13" t="n">
        <v>3.11</v>
      </c>
      <c r="H13" t="inlineStr">
        <is>
          <t>Large Cap</t>
        </is>
      </c>
      <c r="L13" t="inlineStr">
        <is>
          <t>Benchmark: BSE 500 TRI</t>
        </is>
      </c>
    </row>
    <row r="14">
      <c r="B14" t="inlineStr">
        <is>
          <t>Mahindra &amp; Mahindra Ltd</t>
        </is>
      </c>
      <c r="C14" t="inlineStr">
        <is>
          <t>INE101A01026</t>
        </is>
      </c>
      <c r="D14" t="inlineStr">
        <is>
          <t>Automobiles</t>
        </is>
      </c>
      <c r="E14" t="n">
        <v>1053515</v>
      </c>
      <c r="F14" t="n">
        <v>39076.98</v>
      </c>
      <c r="G14" t="n">
        <v>2.84</v>
      </c>
      <c r="H14" t="inlineStr">
        <is>
          <t>Large Cap</t>
        </is>
      </c>
    </row>
    <row r="15">
      <c r="B15" t="inlineStr">
        <is>
          <t>Bajaj Finance Ltd</t>
        </is>
      </c>
      <c r="C15" t="inlineStr">
        <is>
          <t>INE296A01032</t>
        </is>
      </c>
      <c r="D15" t="inlineStr">
        <is>
          <t>Finance</t>
        </is>
      </c>
      <c r="E15" t="n">
        <v>3359960</v>
      </c>
      <c r="F15" t="n">
        <v>33156.09</v>
      </c>
      <c r="G15" t="n">
        <v>2.41</v>
      </c>
      <c r="H15" t="inlineStr">
        <is>
          <t>Large Cap</t>
        </is>
      </c>
    </row>
    <row r="16">
      <c r="B16" t="inlineStr">
        <is>
          <t>Eternal Ltd</t>
        </is>
      </c>
      <c r="C16" t="inlineStr">
        <is>
          <t>INE758T01015</t>
        </is>
      </c>
      <c r="D16" t="inlineStr">
        <is>
          <t>Retailing</t>
        </is>
      </c>
      <c r="E16" t="n">
        <v>10503000</v>
      </c>
      <c r="F16" t="n">
        <v>29203.59</v>
      </c>
      <c r="G16" t="n">
        <v>2.12</v>
      </c>
      <c r="H16" t="inlineStr">
        <is>
          <t>Large Cap</t>
        </is>
      </c>
    </row>
    <row r="17">
      <c r="B17" t="inlineStr">
        <is>
          <t>ITC Ltd</t>
        </is>
      </c>
      <c r="C17" t="inlineStr">
        <is>
          <t>INE154A01025</t>
        </is>
      </c>
      <c r="D17" t="inlineStr">
        <is>
          <t>Diversified Fmcg</t>
        </is>
      </c>
      <c r="E17" t="n">
        <v>6700000</v>
      </c>
      <c r="F17" t="n">
        <v>27001</v>
      </c>
      <c r="G17" t="n">
        <v>1.96</v>
      </c>
      <c r="H17" t="inlineStr">
        <is>
          <t>Large Cap</t>
        </is>
      </c>
    </row>
    <row r="18">
      <c r="B18" t="inlineStr">
        <is>
          <t>TVS Motor Co Ltd</t>
        </is>
      </c>
      <c r="C18" t="inlineStr">
        <is>
          <t>INE494B01023</t>
        </is>
      </c>
      <c r="D18" t="inlineStr">
        <is>
          <t>Automobiles</t>
        </is>
      </c>
      <c r="E18" t="n">
        <v>664011</v>
      </c>
      <c r="F18" t="n">
        <v>24699.88</v>
      </c>
      <c r="G18" t="n">
        <v>1.8</v>
      </c>
      <c r="H18" t="inlineStr">
        <is>
          <t>Large Cap</t>
        </is>
      </c>
    </row>
    <row r="19">
      <c r="B19" t="inlineStr">
        <is>
          <t>Ge Vernova T&amp;D India Ltd</t>
        </is>
      </c>
      <c r="C19" t="inlineStr">
        <is>
          <t>INE200A01026</t>
        </is>
      </c>
      <c r="D19" t="inlineStr">
        <is>
          <t>Electrical Equipment</t>
        </is>
      </c>
      <c r="E19" t="n">
        <v>779109</v>
      </c>
      <c r="F19" t="n">
        <v>24405.59</v>
      </c>
      <c r="G19" t="n">
        <v>1.77</v>
      </c>
      <c r="H19" t="inlineStr">
        <is>
          <t>Mid Cap</t>
        </is>
      </c>
    </row>
    <row r="20">
      <c r="B20" t="inlineStr">
        <is>
          <t>Axis Bank Ltd</t>
        </is>
      </c>
      <c r="C20" t="inlineStr">
        <is>
          <t>INE238A01034</t>
        </is>
      </c>
      <c r="D20" t="inlineStr">
        <is>
          <t>Banks</t>
        </is>
      </c>
      <c r="E20" t="n">
        <v>1913600</v>
      </c>
      <c r="F20" t="n">
        <v>24291.24</v>
      </c>
      <c r="G20" t="n">
        <v>1.77</v>
      </c>
      <c r="H20" t="inlineStr">
        <is>
          <t>Large Cap</t>
        </is>
      </c>
    </row>
    <row r="21">
      <c r="B21" t="inlineStr">
        <is>
          <t>Bharat Electronics Ltd</t>
        </is>
      </c>
      <c r="C21" t="inlineStr">
        <is>
          <t>INE263A01024</t>
        </is>
      </c>
      <c r="D21" t="inlineStr">
        <is>
          <t>Aerospace &amp; Defense</t>
        </is>
      </c>
      <c r="E21" t="n">
        <v>5745000</v>
      </c>
      <c r="F21" t="n">
        <v>22957.02</v>
      </c>
      <c r="G21" t="n">
        <v>1.67</v>
      </c>
      <c r="H21" t="inlineStr">
        <is>
          <t>Large Cap</t>
        </is>
      </c>
    </row>
    <row r="22">
      <c r="B22" t="inlineStr">
        <is>
          <t>Uno Minda Ltd</t>
        </is>
      </c>
      <c r="C22" t="inlineStr">
        <is>
          <t>INE405E01023</t>
        </is>
      </c>
      <c r="D22" t="inlineStr">
        <is>
          <t>Auto Components</t>
        </is>
      </c>
      <c r="E22" t="n">
        <v>1689985</v>
      </c>
      <c r="F22" t="n">
        <v>21729.83</v>
      </c>
      <c r="G22" t="n">
        <v>1.58</v>
      </c>
      <c r="H22" t="inlineStr">
        <is>
          <t>Mid Cap</t>
        </is>
      </c>
    </row>
    <row r="23">
      <c r="B23" t="inlineStr">
        <is>
          <t>Sun Pharmaceutical Industries Ltd</t>
        </is>
      </c>
      <c r="C23" t="inlineStr">
        <is>
          <t>INE044A01036</t>
        </is>
      </c>
      <c r="D23" t="inlineStr">
        <is>
          <t>Pharmaceuticals &amp; Biotechnology</t>
        </is>
      </c>
      <c r="E23" t="n">
        <v>1257895</v>
      </c>
      <c r="F23" t="n">
        <v>21632.02</v>
      </c>
      <c r="G23" t="n">
        <v>1.57</v>
      </c>
      <c r="H23" t="inlineStr">
        <is>
          <t>Large Cap</t>
        </is>
      </c>
    </row>
    <row r="24">
      <c r="B24" t="inlineStr">
        <is>
          <t>Tata Consumer Products Ltd</t>
        </is>
      </c>
      <c r="C24" t="inlineStr">
        <is>
          <t>INE192A01025</t>
        </is>
      </c>
      <c r="D24" t="inlineStr">
        <is>
          <t>Agricultural Food &amp; Other Products</t>
        </is>
      </c>
      <c r="E24" t="n">
        <v>1802276</v>
      </c>
      <c r="F24" t="n">
        <v>21483.13</v>
      </c>
      <c r="G24" t="n">
        <v>1.56</v>
      </c>
      <c r="H24" t="inlineStr">
        <is>
          <t>Large Cap</t>
        </is>
      </c>
    </row>
    <row r="25">
      <c r="B25" t="inlineStr">
        <is>
          <t>Varun Beverages Ltd</t>
        </is>
      </c>
      <c r="C25" t="inlineStr">
        <is>
          <t>INE200M01039</t>
        </is>
      </c>
      <c r="D25" t="inlineStr">
        <is>
          <t>Beverages</t>
        </is>
      </c>
      <c r="E25" t="n">
        <v>4291557</v>
      </c>
      <c r="F25" t="n">
        <v>21022.19</v>
      </c>
      <c r="G25" t="n">
        <v>1.53</v>
      </c>
      <c r="H25" t="inlineStr">
        <is>
          <t>Large Cap</t>
        </is>
      </c>
    </row>
    <row r="26">
      <c r="B26" t="inlineStr">
        <is>
          <t>Divi's Laboratories Ltd</t>
        </is>
      </c>
      <c r="C26" t="inlineStr">
        <is>
          <t>INE361B01024</t>
        </is>
      </c>
      <c r="D26" t="inlineStr">
        <is>
          <t>Pharmaceuticals &amp; Biotechnology</t>
        </is>
      </c>
      <c r="E26" t="n">
        <v>310114</v>
      </c>
      <c r="F26" t="n">
        <v>19824.04</v>
      </c>
      <c r="G26" t="n">
        <v>1.44</v>
      </c>
      <c r="H26" t="inlineStr">
        <is>
          <t>Large Cap</t>
        </is>
      </c>
    </row>
    <row r="27">
      <c r="B27" t="inlineStr">
        <is>
          <t>Indian Hotels Co Ltd</t>
        </is>
      </c>
      <c r="C27" t="inlineStr">
        <is>
          <t>INE053A01029</t>
        </is>
      </c>
      <c r="D27" t="inlineStr">
        <is>
          <t>Leisure Services</t>
        </is>
      </c>
      <c r="E27" t="n">
        <v>2581768</v>
      </c>
      <c r="F27" t="n">
        <v>19075.39</v>
      </c>
      <c r="G27" t="n">
        <v>1.39</v>
      </c>
      <c r="H27" t="inlineStr">
        <is>
          <t>Large Cap</t>
        </is>
      </c>
    </row>
    <row r="28">
      <c r="B28" t="inlineStr">
        <is>
          <t>Tech Mahindra Ltd</t>
        </is>
      </c>
      <c r="C28" t="inlineStr">
        <is>
          <t>INE669C01036</t>
        </is>
      </c>
      <c r="D28" t="inlineStr">
        <is>
          <t>IT - Software</t>
        </is>
      </c>
      <c r="E28" t="n">
        <v>1195000</v>
      </c>
      <c r="F28" t="n">
        <v>19011.26</v>
      </c>
      <c r="G28" t="n">
        <v>1.38</v>
      </c>
      <c r="H28" t="inlineStr">
        <is>
          <t>Large Cap</t>
        </is>
      </c>
    </row>
    <row r="29">
      <c r="B29" t="inlineStr">
        <is>
          <t>Titan Co Ltd</t>
        </is>
      </c>
      <c r="C29" t="inlineStr">
        <is>
          <t>INE280A01028</t>
        </is>
      </c>
      <c r="D29" t="inlineStr">
        <is>
          <t>Consumer Durables</t>
        </is>
      </c>
      <c r="E29" t="n">
        <v>458336</v>
      </c>
      <c r="F29" t="n">
        <v>18569.48</v>
      </c>
      <c r="G29" t="n">
        <v>1.35</v>
      </c>
      <c r="H29" t="inlineStr">
        <is>
          <t>Large Cap</t>
        </is>
      </c>
    </row>
    <row r="30">
      <c r="B30" t="inlineStr">
        <is>
          <t>Maruti Suzuki India Ltd</t>
        </is>
      </c>
      <c r="C30" t="inlineStr">
        <is>
          <t>INE585B01010</t>
        </is>
      </c>
      <c r="D30" t="inlineStr">
        <is>
          <t>Automobiles</t>
        </is>
      </c>
      <c r="E30" t="n">
        <v>108917</v>
      </c>
      <c r="F30" t="n">
        <v>18185.87</v>
      </c>
      <c r="G30" t="n">
        <v>1.32</v>
      </c>
      <c r="H30" t="inlineStr">
        <is>
          <t>Large Cap</t>
        </is>
      </c>
    </row>
    <row r="31">
      <c r="B31" t="inlineStr">
        <is>
          <t>Max Healthcare Institute Ltd</t>
        </is>
      </c>
      <c r="C31" t="inlineStr">
        <is>
          <t>INE027H01010</t>
        </is>
      </c>
      <c r="D31" t="inlineStr">
        <is>
          <t>Healthcare Services</t>
        </is>
      </c>
      <c r="E31" t="n">
        <v>1677998</v>
      </c>
      <c r="F31" t="n">
        <v>17536.76</v>
      </c>
      <c r="G31" t="n">
        <v>1.27</v>
      </c>
      <c r="H31" t="inlineStr">
        <is>
          <t>Large Cap</t>
        </is>
      </c>
    </row>
    <row r="32">
      <c r="B32" t="inlineStr">
        <is>
          <t>KEI Industries Ltd</t>
        </is>
      </c>
      <c r="C32" t="inlineStr">
        <is>
          <t>INE878B01027</t>
        </is>
      </c>
      <c r="D32" t="inlineStr">
        <is>
          <t>Industrial Products</t>
        </is>
      </c>
      <c r="E32" t="n">
        <v>392687</v>
      </c>
      <c r="F32" t="n">
        <v>17514.63</v>
      </c>
      <c r="G32" t="n">
        <v>1.27</v>
      </c>
      <c r="H32" t="inlineStr">
        <is>
          <t>Mid Cap</t>
        </is>
      </c>
    </row>
    <row r="33">
      <c r="B33" t="inlineStr">
        <is>
          <t>Interglobe Aviation Ltd</t>
        </is>
      </c>
      <c r="C33" t="inlineStr">
        <is>
          <t>INE646L01027</t>
        </is>
      </c>
      <c r="D33" t="inlineStr">
        <is>
          <t>Transport Services</t>
        </is>
      </c>
      <c r="E33" t="n">
        <v>345011</v>
      </c>
      <c r="F33" t="n">
        <v>17455.83</v>
      </c>
      <c r="G33" t="n">
        <v>1.27</v>
      </c>
      <c r="H33" t="inlineStr">
        <is>
          <t>Large Cap</t>
        </is>
      </c>
    </row>
    <row r="34">
      <c r="B34" t="inlineStr">
        <is>
          <t>SBI Life Insurance Co Ltd</t>
        </is>
      </c>
      <c r="C34" t="inlineStr">
        <is>
          <t>INE123W01016</t>
        </is>
      </c>
      <c r="D34" t="inlineStr">
        <is>
          <t>Insurance</t>
        </is>
      </c>
      <c r="E34" t="n">
        <v>856889</v>
      </c>
      <c r="F34" t="n">
        <v>17436.83</v>
      </c>
      <c r="G34" t="n">
        <v>1.27</v>
      </c>
      <c r="H34" t="inlineStr">
        <is>
          <t>Large Cap</t>
        </is>
      </c>
    </row>
    <row r="35">
      <c r="B35" t="inlineStr">
        <is>
          <t>Multi Commodity Exchange Of India Ltd</t>
        </is>
      </c>
      <c r="C35" t="inlineStr">
        <is>
          <t>INE745G01035</t>
        </is>
      </c>
      <c r="D35" t="inlineStr">
        <is>
          <t>Capital Markets</t>
        </is>
      </c>
      <c r="E35" t="n">
        <v>152344</v>
      </c>
      <c r="F35" t="n">
        <v>16965.03</v>
      </c>
      <c r="G35" t="n">
        <v>1.23</v>
      </c>
      <c r="H35" t="inlineStr">
        <is>
          <t>Mid Cap</t>
        </is>
      </c>
    </row>
    <row r="36">
      <c r="B36" t="inlineStr">
        <is>
          <t>NTPC Ltd</t>
        </is>
      </c>
      <c r="C36" t="inlineStr">
        <is>
          <t>INE733E01010</t>
        </is>
      </c>
      <c r="D36" t="inlineStr">
        <is>
          <t>Power</t>
        </is>
      </c>
      <c r="E36" t="n">
        <v>5017665</v>
      </c>
      <c r="F36" t="n">
        <v>16535.72</v>
      </c>
      <c r="G36" t="n">
        <v>1.2</v>
      </c>
      <c r="H36" t="inlineStr">
        <is>
          <t>Large Cap</t>
        </is>
      </c>
    </row>
    <row r="37">
      <c r="B37" t="inlineStr">
        <is>
          <t>Cholamandalam Investment and Finance Co Ltd</t>
        </is>
      </c>
      <c r="C37" t="inlineStr">
        <is>
          <t>INE121A01024</t>
        </is>
      </c>
      <c r="D37" t="inlineStr">
        <is>
          <t>Finance</t>
        </is>
      </c>
      <c r="E37" t="n">
        <v>946351</v>
      </c>
      <c r="F37" t="n">
        <v>16108.79</v>
      </c>
      <c r="G37" t="n">
        <v>1.17</v>
      </c>
      <c r="H37" t="inlineStr">
        <is>
          <t>Large Cap</t>
        </is>
      </c>
    </row>
    <row r="38">
      <c r="B38" t="inlineStr">
        <is>
          <t>Mankind Pharma Ltd</t>
        </is>
      </c>
      <c r="C38" t="inlineStr">
        <is>
          <t>INE634S01028</t>
        </is>
      </c>
      <c r="D38" t="inlineStr">
        <is>
          <t>Pharmaceuticals &amp; Biotechnology</t>
        </is>
      </c>
      <c r="E38" t="n">
        <v>693772</v>
      </c>
      <c r="F38" t="n">
        <v>15238.7</v>
      </c>
      <c r="G38" t="n">
        <v>1.11</v>
      </c>
      <c r="H38" t="inlineStr">
        <is>
          <t>Mid Cap</t>
        </is>
      </c>
    </row>
    <row r="39">
      <c r="B39" t="inlineStr">
        <is>
          <t>J.K. Cement Ltd</t>
        </is>
      </c>
      <c r="C39" t="inlineStr">
        <is>
          <t>INE823G01014</t>
        </is>
      </c>
      <c r="D39" t="inlineStr">
        <is>
          <t>Cement &amp; Cement Products</t>
        </is>
      </c>
      <c r="E39" t="n">
        <v>274783</v>
      </c>
      <c r="F39" t="n">
        <v>15198.25</v>
      </c>
      <c r="G39" t="n">
        <v>1.1</v>
      </c>
      <c r="H39" t="inlineStr">
        <is>
          <t>Mid Cap</t>
        </is>
      </c>
    </row>
    <row r="40">
      <c r="B40" t="inlineStr">
        <is>
          <t>PB Fintech Ltd</t>
        </is>
      </c>
      <c r="C40" t="inlineStr">
        <is>
          <t>INE417T01026</t>
        </is>
      </c>
      <c r="D40" t="inlineStr">
        <is>
          <t>Financial Technology (Fintech)</t>
        </is>
      </c>
      <c r="E40" t="n">
        <v>827314</v>
      </c>
      <c r="F40" t="n">
        <v>15103.44</v>
      </c>
      <c r="G40" t="n">
        <v>1.1</v>
      </c>
      <c r="H40" t="inlineStr">
        <is>
          <t>Mid Cap</t>
        </is>
      </c>
    </row>
    <row r="41">
      <c r="B41" t="inlineStr">
        <is>
          <t>Oberoi Realty Ltd</t>
        </is>
      </c>
      <c r="C41" t="inlineStr">
        <is>
          <t>INE093I01010</t>
        </is>
      </c>
      <c r="D41" t="inlineStr">
        <is>
          <t>Realty</t>
        </is>
      </c>
      <c r="E41" t="n">
        <v>878560</v>
      </c>
      <c r="F41" t="n">
        <v>14677.22</v>
      </c>
      <c r="G41" t="n">
        <v>1.07</v>
      </c>
      <c r="H41" t="inlineStr">
        <is>
          <t>Mid Cap</t>
        </is>
      </c>
    </row>
    <row r="42">
      <c r="B42" t="inlineStr">
        <is>
          <t>PI Industries Ltd</t>
        </is>
      </c>
      <c r="C42" t="inlineStr">
        <is>
          <t>INE603J01030</t>
        </is>
      </c>
      <c r="D42" t="inlineStr">
        <is>
          <t>Fertilizers &amp; Agrochemicals</t>
        </is>
      </c>
      <c r="E42" t="n">
        <v>451431</v>
      </c>
      <c r="F42" t="n">
        <v>14618.24</v>
      </c>
      <c r="G42" t="n">
        <v>1.06</v>
      </c>
      <c r="H42" t="inlineStr">
        <is>
          <t>Mid Cap</t>
        </is>
      </c>
    </row>
    <row r="43">
      <c r="B43" t="inlineStr">
        <is>
          <t>Vishal Mega Mart Ltd</t>
        </is>
      </c>
      <c r="C43" t="inlineStr">
        <is>
          <t>INE01EA01019</t>
        </is>
      </c>
      <c r="D43" t="inlineStr">
        <is>
          <t>Retailing</t>
        </is>
      </c>
      <c r="E43" t="n">
        <v>10491815</v>
      </c>
      <c r="F43" t="n">
        <v>14307.69</v>
      </c>
      <c r="G43" t="n">
        <v>1.04</v>
      </c>
      <c r="H43" t="inlineStr">
        <is>
          <t>Mid Cap</t>
        </is>
      </c>
    </row>
    <row r="44">
      <c r="B44" t="inlineStr">
        <is>
          <t>Ultratech Cement Ltd</t>
        </is>
      </c>
      <c r="C44" t="inlineStr">
        <is>
          <t>INE481G01011</t>
        </is>
      </c>
      <c r="D44" t="inlineStr">
        <is>
          <t>Cement &amp; Cement Products</t>
        </is>
      </c>
      <c r="E44" t="n">
        <v>121068</v>
      </c>
      <c r="F44" t="n">
        <v>14266.65</v>
      </c>
      <c r="G44" t="n">
        <v>1.04</v>
      </c>
      <c r="H44" t="inlineStr">
        <is>
          <t>Large Cap</t>
        </is>
      </c>
    </row>
    <row r="45">
      <c r="B45" t="inlineStr">
        <is>
          <t>Tata Consultancy Services Ltd</t>
        </is>
      </c>
      <c r="C45" t="inlineStr">
        <is>
          <t>INE467B01029</t>
        </is>
      </c>
      <c r="D45" t="inlineStr">
        <is>
          <t>IT - Software</t>
        </is>
      </c>
      <c r="E45" t="n">
        <v>431760</v>
      </c>
      <c r="F45" t="n">
        <v>13843.09</v>
      </c>
      <c r="G45" t="n">
        <v>1.01</v>
      </c>
      <c r="H45" t="inlineStr">
        <is>
          <t>Large Cap</t>
        </is>
      </c>
    </row>
    <row r="46">
      <c r="B46" t="inlineStr">
        <is>
          <t>Trent Ltd</t>
        </is>
      </c>
      <c r="C46" t="inlineStr">
        <is>
          <t>INE849A01020</t>
        </is>
      </c>
      <c r="D46" t="inlineStr">
        <is>
          <t>Retailing</t>
        </is>
      </c>
      <c r="E46" t="n">
        <v>307397</v>
      </c>
      <c r="F46" t="n">
        <v>13153.52</v>
      </c>
      <c r="G46" t="n">
        <v>0.96</v>
      </c>
      <c r="H46" t="inlineStr">
        <is>
          <t>Large Cap</t>
        </is>
      </c>
    </row>
    <row r="47">
      <c r="B47" t="inlineStr">
        <is>
          <t>HDFC Asset Management Co Ltd</t>
        </is>
      </c>
      <c r="C47" t="inlineStr">
        <is>
          <t>INE127D01025</t>
        </is>
      </c>
      <c r="D47" t="inlineStr">
        <is>
          <t>Capital Markets</t>
        </is>
      </c>
      <c r="E47" t="n">
        <v>487786</v>
      </c>
      <c r="F47" t="n">
        <v>13034.62</v>
      </c>
      <c r="G47" t="n">
        <v>0.95</v>
      </c>
      <c r="H47" t="inlineStr">
        <is>
          <t>Large Cap</t>
        </is>
      </c>
    </row>
    <row r="48">
      <c r="B48" t="inlineStr">
        <is>
          <t>FSN E-Commerce Ventures Ltd</t>
        </is>
      </c>
      <c r="C48" t="inlineStr">
        <is>
          <t>INE388Y01029</t>
        </is>
      </c>
      <c r="D48" t="inlineStr">
        <is>
          <t>Retailing</t>
        </is>
      </c>
      <c r="E48" t="n">
        <v>4872698</v>
      </c>
      <c r="F48" t="n">
        <v>12919.96</v>
      </c>
      <c r="G48" t="n">
        <v>0.9399999999999999</v>
      </c>
      <c r="H48" t="inlineStr">
        <is>
          <t>Mid Cap</t>
        </is>
      </c>
    </row>
    <row r="49">
      <c r="B49" t="inlineStr">
        <is>
          <t>Tata Power Co Ltd</t>
        </is>
      </c>
      <c r="C49" t="inlineStr">
        <is>
          <t>INE245A01021</t>
        </is>
      </c>
      <c r="D49" t="inlineStr">
        <is>
          <t>Power</t>
        </is>
      </c>
      <c r="E49" t="n">
        <v>3328673</v>
      </c>
      <c r="F49" t="n">
        <v>12635.64</v>
      </c>
      <c r="G49" t="n">
        <v>0.92</v>
      </c>
      <c r="H49" t="inlineStr">
        <is>
          <t>Large Cap</t>
        </is>
      </c>
    </row>
    <row r="50">
      <c r="B50" t="inlineStr">
        <is>
          <t>CG Power and Industrial Solutions Ltd</t>
        </is>
      </c>
      <c r="C50" t="inlineStr">
        <is>
          <t>INE067A01029</t>
        </is>
      </c>
      <c r="D50" t="inlineStr">
        <is>
          <t>Electrical Equipment</t>
        </is>
      </c>
      <c r="E50" t="n">
        <v>1934326</v>
      </c>
      <c r="F50" t="n">
        <v>12532.5</v>
      </c>
      <c r="G50" t="n">
        <v>0.91</v>
      </c>
      <c r="H50" t="inlineStr">
        <is>
          <t>Large Cap</t>
        </is>
      </c>
    </row>
    <row r="51">
      <c r="B51" t="inlineStr">
        <is>
          <t>Samvardhana Motherson International Ltd</t>
        </is>
      </c>
      <c r="C51" t="inlineStr">
        <is>
          <t>INE775A01035</t>
        </is>
      </c>
      <c r="D51" t="inlineStr">
        <is>
          <t>Auto Components</t>
        </is>
      </c>
      <c r="E51" t="n">
        <v>9870017</v>
      </c>
      <c r="F51" t="n">
        <v>11838.1</v>
      </c>
      <c r="G51" t="n">
        <v>0.86</v>
      </c>
      <c r="H51" t="inlineStr">
        <is>
          <t>Large Cap</t>
        </is>
      </c>
    </row>
    <row r="52">
      <c r="B52" t="inlineStr">
        <is>
          <t>Max Financial Services Ltd</t>
        </is>
      </c>
      <c r="C52" t="inlineStr">
        <is>
          <t>INE180A01020</t>
        </is>
      </c>
      <c r="D52" t="inlineStr">
        <is>
          <t>Insurance</t>
        </is>
      </c>
      <c r="E52" t="n">
        <v>695034</v>
      </c>
      <c r="F52" t="n">
        <v>11619.58</v>
      </c>
      <c r="G52" t="n">
        <v>0.84</v>
      </c>
      <c r="H52" t="inlineStr">
        <is>
          <t>Mid Cap</t>
        </is>
      </c>
    </row>
    <row r="53">
      <c r="B53" t="inlineStr">
        <is>
          <t>Cummins India Ltd</t>
        </is>
      </c>
      <c r="C53" t="inlineStr">
        <is>
          <t>INE298A01020</t>
        </is>
      </c>
      <c r="D53" t="inlineStr">
        <is>
          <t>Industrial Products</t>
        </is>
      </c>
      <c r="E53" t="n">
        <v>258000</v>
      </c>
      <c r="F53" t="n">
        <v>11440.75</v>
      </c>
      <c r="G53" t="n">
        <v>0.83</v>
      </c>
      <c r="H53" t="inlineStr">
        <is>
          <t>Large Cap</t>
        </is>
      </c>
    </row>
    <row r="54">
      <c r="B54" t="inlineStr">
        <is>
          <t>Vinati Organics Ltd</t>
        </is>
      </c>
      <c r="C54" t="inlineStr">
        <is>
          <t>INE410B01037</t>
        </is>
      </c>
      <c r="D54" t="inlineStr">
        <is>
          <t>Chemicals &amp; Petrochemicals</t>
        </is>
      </c>
      <c r="E54" t="n">
        <v>718956</v>
      </c>
      <c r="F54" t="n">
        <v>11425.65</v>
      </c>
      <c r="G54" t="n">
        <v>0.83</v>
      </c>
      <c r="H54" t="inlineStr">
        <is>
          <t>Small Cap</t>
        </is>
      </c>
    </row>
    <row r="55">
      <c r="B55" t="inlineStr">
        <is>
          <t>Godrej Consumer Products Ltd</t>
        </is>
      </c>
      <c r="C55" t="inlineStr">
        <is>
          <t>INE102D01028</t>
        </is>
      </c>
      <c r="D55" t="inlineStr">
        <is>
          <t>Personal Products</t>
        </is>
      </c>
      <c r="E55" t="n">
        <v>835468</v>
      </c>
      <c r="F55" t="n">
        <v>10211.09</v>
      </c>
      <c r="G55" t="n">
        <v>0.74</v>
      </c>
      <c r="H55" t="inlineStr">
        <is>
          <t>Large Cap</t>
        </is>
      </c>
    </row>
    <row r="56">
      <c r="B56" t="inlineStr">
        <is>
          <t>Hindustan Aeronautics Ltd</t>
        </is>
      </c>
      <c r="C56" t="inlineStr">
        <is>
          <t>INE066F01020</t>
        </is>
      </c>
      <c r="D56" t="inlineStr">
        <is>
          <t>Aerospace &amp; Defense</t>
        </is>
      </c>
      <c r="E56" t="n">
        <v>221969</v>
      </c>
      <c r="F56" t="n">
        <v>9741.549999999999</v>
      </c>
      <c r="G56" t="n">
        <v>0.71</v>
      </c>
      <c r="H56" t="inlineStr">
        <is>
          <t>Large Cap</t>
        </is>
      </c>
    </row>
    <row r="57">
      <c r="B57" t="inlineStr">
        <is>
          <t>Abbott India Ltd</t>
        </is>
      </c>
      <c r="C57" t="inlineStr">
        <is>
          <t>INE358A01014</t>
        </is>
      </c>
      <c r="D57" t="inlineStr">
        <is>
          <t>Pharmaceuticals &amp; Biotechnology</t>
        </is>
      </c>
      <c r="E57" t="n">
        <v>32022</v>
      </c>
      <c r="F57" t="n">
        <v>9294.389999999999</v>
      </c>
      <c r="G57" t="n">
        <v>0.68</v>
      </c>
      <c r="H57" t="inlineStr">
        <is>
          <t>Mid Cap</t>
        </is>
      </c>
    </row>
    <row r="58">
      <c r="B58" t="inlineStr">
        <is>
          <t>Info Edge (India) Ltd</t>
        </is>
      </c>
      <c r="C58" t="inlineStr">
        <is>
          <t>INE663F01032</t>
        </is>
      </c>
      <c r="D58" t="inlineStr">
        <is>
          <t>Retailing</t>
        </is>
      </c>
      <c r="E58" t="n">
        <v>694050</v>
      </c>
      <c r="F58" t="n">
        <v>9255.85</v>
      </c>
      <c r="G58" t="n">
        <v>0.67</v>
      </c>
      <c r="H58" t="inlineStr">
        <is>
          <t>Mid Cap</t>
        </is>
      </c>
    </row>
    <row r="59">
      <c r="B59" t="inlineStr">
        <is>
          <t>Solar Industries India Ltd</t>
        </is>
      </c>
      <c r="C59" t="inlineStr">
        <is>
          <t>INE343H01029</t>
        </is>
      </c>
      <c r="D59" t="inlineStr">
        <is>
          <t>Chemicals &amp; Petrochemicals</t>
        </is>
      </c>
      <c r="E59" t="n">
        <v>71100</v>
      </c>
      <c r="F59" t="n">
        <v>8711.17</v>
      </c>
      <c r="G59" t="n">
        <v>0.63</v>
      </c>
      <c r="H59" t="inlineStr">
        <is>
          <t>Large Cap</t>
        </is>
      </c>
    </row>
    <row r="60">
      <c r="B60" t="inlineStr">
        <is>
          <t>Hindalco Industries Ltd</t>
        </is>
      </c>
      <c r="C60" t="inlineStr">
        <is>
          <t>INE038A01020</t>
        </is>
      </c>
      <c r="D60" t="inlineStr">
        <is>
          <t>Non - Ferrous Metals</t>
        </is>
      </c>
      <c r="E60" t="n">
        <v>920331</v>
      </c>
      <c r="F60" t="n">
        <v>8160.57</v>
      </c>
      <c r="G60" t="n">
        <v>0.59</v>
      </c>
      <c r="H60" t="inlineStr">
        <is>
          <t>Large Cap</t>
        </is>
      </c>
    </row>
    <row r="61">
      <c r="B61" t="inlineStr">
        <is>
          <t>Dixon Technologies (India) Ltd</t>
        </is>
      </c>
      <c r="C61" t="inlineStr">
        <is>
          <t>INE935N01020</t>
        </is>
      </c>
      <c r="D61" t="inlineStr">
        <is>
          <t>Consumer Durables</t>
        </is>
      </c>
      <c r="E61" t="n">
        <v>66500</v>
      </c>
      <c r="F61" t="n">
        <v>8047.83</v>
      </c>
      <c r="G61" t="n">
        <v>0.58</v>
      </c>
      <c r="H61" t="inlineStr">
        <is>
          <t>Mid Cap</t>
        </is>
      </c>
    </row>
    <row r="62">
      <c r="B62" t="inlineStr">
        <is>
          <t>Hindustan Unilever Ltd</t>
        </is>
      </c>
      <c r="C62" t="inlineStr">
        <is>
          <t>INE030A01027</t>
        </is>
      </c>
      <c r="D62" t="inlineStr">
        <is>
          <t>Diversified Fmcg</t>
        </is>
      </c>
      <c r="E62" t="n">
        <v>339400</v>
      </c>
      <c r="F62" t="n">
        <v>7860.16</v>
      </c>
      <c r="G62" t="n">
        <v>0.57</v>
      </c>
      <c r="H62" t="inlineStr">
        <is>
          <t>Large Cap</t>
        </is>
      </c>
    </row>
    <row r="63">
      <c r="B63" t="inlineStr">
        <is>
          <t>Coforge Ltd</t>
        </is>
      </c>
      <c r="C63" t="inlineStr">
        <is>
          <t>INE591G01025</t>
        </is>
      </c>
      <c r="D63" t="inlineStr">
        <is>
          <t>IT - Software</t>
        </is>
      </c>
      <c r="E63" t="n">
        <v>465929</v>
      </c>
      <c r="F63" t="n">
        <v>7748.4</v>
      </c>
      <c r="G63" t="n">
        <v>0.5600000000000001</v>
      </c>
      <c r="H63" t="inlineStr">
        <is>
          <t>Mid Cap</t>
        </is>
      </c>
    </row>
    <row r="64">
      <c r="B64" t="inlineStr">
        <is>
          <t>Computer Age Management Services Ltd</t>
        </is>
      </c>
      <c r="C64" t="inlineStr">
        <is>
          <t>INE596I01020</t>
        </is>
      </c>
      <c r="D64" t="inlineStr">
        <is>
          <t>Capital Markets</t>
        </is>
      </c>
      <c r="E64" t="n">
        <v>1021855</v>
      </c>
      <c r="F64" t="n">
        <v>7570.92</v>
      </c>
      <c r="G64" t="n">
        <v>0.55</v>
      </c>
      <c r="H64" t="inlineStr">
        <is>
          <t>Small Cap</t>
        </is>
      </c>
    </row>
    <row r="65">
      <c r="B65" t="inlineStr">
        <is>
          <t>KPIT Technologies Ltd</t>
        </is>
      </c>
      <c r="C65" t="inlineStr">
        <is>
          <t>INE04I401011</t>
        </is>
      </c>
      <c r="D65" t="inlineStr">
        <is>
          <t>IT - Software</t>
        </is>
      </c>
      <c r="E65" t="n">
        <v>639978</v>
      </c>
      <c r="F65" t="n">
        <v>7503.74</v>
      </c>
      <c r="G65" t="n">
        <v>0.55</v>
      </c>
      <c r="H65" t="inlineStr">
        <is>
          <t>Small Cap</t>
        </is>
      </c>
    </row>
    <row r="66">
      <c r="B66" t="inlineStr">
        <is>
          <t>APL Apollo Tubes Ltd</t>
        </is>
      </c>
      <c r="C66" t="inlineStr">
        <is>
          <t>INE702C01027</t>
        </is>
      </c>
      <c r="D66" t="inlineStr">
        <is>
          <t>Industrial Products</t>
        </is>
      </c>
      <c r="E66" t="n">
        <v>386896</v>
      </c>
      <c r="F66" t="n">
        <v>7405.19</v>
      </c>
      <c r="G66" t="n">
        <v>0.54</v>
      </c>
      <c r="H66" t="inlineStr">
        <is>
          <t>Mid Cap</t>
        </is>
      </c>
    </row>
    <row r="67">
      <c r="B67" t="inlineStr">
        <is>
          <t>HCL Technologies Ltd</t>
        </is>
      </c>
      <c r="C67" t="inlineStr">
        <is>
          <t>INE860A01027</t>
        </is>
      </c>
      <c r="D67" t="inlineStr">
        <is>
          <t>IT - Software</t>
        </is>
      </c>
      <c r="E67" t="n">
        <v>453422</v>
      </c>
      <c r="F67" t="n">
        <v>7360.4</v>
      </c>
      <c r="G67" t="n">
        <v>0.53</v>
      </c>
      <c r="H67" t="inlineStr">
        <is>
          <t>Large Cap</t>
        </is>
      </c>
    </row>
    <row r="68">
      <c r="B68" t="inlineStr">
        <is>
          <t>Crompton Greaves Consumer Electricals Ltd</t>
        </is>
      </c>
      <c r="C68" t="inlineStr">
        <is>
          <t>INE299U01018</t>
        </is>
      </c>
      <c r="D68" t="inlineStr">
        <is>
          <t>Consumer Durables</t>
        </is>
      </c>
      <c r="E68" t="n">
        <v>2830000</v>
      </c>
      <c r="F68" t="n">
        <v>7138.68</v>
      </c>
      <c r="G68" t="n">
        <v>0.52</v>
      </c>
      <c r="H68" t="inlineStr">
        <is>
          <t>Small Cap</t>
        </is>
      </c>
    </row>
    <row r="69">
      <c r="B69" t="inlineStr">
        <is>
          <t>Jyothy Labs Ltd</t>
        </is>
      </c>
      <c r="C69" t="inlineStr">
        <is>
          <t>INE668F01031</t>
        </is>
      </c>
      <c r="D69" t="inlineStr">
        <is>
          <t>Household Products</t>
        </is>
      </c>
      <c r="E69" t="n">
        <v>2293683</v>
      </c>
      <c r="F69" t="n">
        <v>6483.1</v>
      </c>
      <c r="G69" t="n">
        <v>0.47</v>
      </c>
      <c r="H69" t="inlineStr">
        <is>
          <t>Small Cap</t>
        </is>
      </c>
    </row>
    <row r="70">
      <c r="B70" t="inlineStr">
        <is>
          <t>J.B. Chemicals &amp; Pharmaceuticals Ltd</t>
        </is>
      </c>
      <c r="C70" t="inlineStr">
        <is>
          <t>INE572A01036</t>
        </is>
      </c>
      <c r="D70" t="inlineStr">
        <is>
          <t>Pharmaceuticals &amp; Biotechnology</t>
        </is>
      </c>
      <c r="E70" t="n">
        <v>321317</v>
      </c>
      <c r="F70" t="n">
        <v>5847.01</v>
      </c>
      <c r="G70" t="n">
        <v>0.42</v>
      </c>
      <c r="H70" t="inlineStr">
        <is>
          <t>Small Cap</t>
        </is>
      </c>
    </row>
    <row r="71">
      <c r="B71" t="inlineStr">
        <is>
          <t>K.P.R. Mill Ltd</t>
        </is>
      </c>
      <c r="C71" t="inlineStr">
        <is>
          <t>INE930H01031</t>
        </is>
      </c>
      <c r="D71" t="inlineStr">
        <is>
          <t>Textiles &amp; Apparels</t>
        </is>
      </c>
      <c r="E71" t="n">
        <v>520112</v>
      </c>
      <c r="F71" t="n">
        <v>4901.54</v>
      </c>
      <c r="G71" t="n">
        <v>0.36</v>
      </c>
      <c r="H71" t="inlineStr">
        <is>
          <t>Mid Cap</t>
        </is>
      </c>
    </row>
    <row r="72">
      <c r="B72" t="inlineStr">
        <is>
          <t>Suzlon Energy Ltd</t>
        </is>
      </c>
      <c r="C72" t="inlineStr">
        <is>
          <t>INE040H01021</t>
        </is>
      </c>
      <c r="D72" t="inlineStr">
        <is>
          <t>Electrical Equipment</t>
        </is>
      </c>
      <c r="E72" t="n">
        <v>8648517</v>
      </c>
      <c r="F72" t="n">
        <v>4555.17</v>
      </c>
      <c r="G72" t="n">
        <v>0.33</v>
      </c>
      <c r="H72" t="inlineStr">
        <is>
          <t>Mid Cap</t>
        </is>
      </c>
    </row>
    <row r="73">
      <c r="B73" t="inlineStr">
        <is>
          <t>One 97 Communications Ltd</t>
        </is>
      </c>
      <c r="C73" t="inlineStr">
        <is>
          <t>INE982J01020</t>
        </is>
      </c>
      <c r="D73" t="inlineStr">
        <is>
          <t>Financial Technology (Fintech)</t>
        </is>
      </c>
      <c r="E73" t="n">
        <v>305000</v>
      </c>
      <c r="F73" t="n">
        <v>3961.65</v>
      </c>
      <c r="G73" t="n">
        <v>0.29</v>
      </c>
      <c r="H73" t="inlineStr">
        <is>
          <t>Mid Cap</t>
        </is>
      </c>
    </row>
    <row r="74">
      <c r="B74" t="inlineStr">
        <is>
          <t>Linde India Ltd</t>
        </is>
      </c>
      <c r="C74" t="inlineStr">
        <is>
          <t>INE473A01011</t>
        </is>
      </c>
      <c r="D74" t="inlineStr">
        <is>
          <t>Chemicals &amp; Petrochemicals</t>
        </is>
      </c>
      <c r="E74" t="n">
        <v>48546</v>
      </c>
      <c r="F74" t="n">
        <v>2891.16</v>
      </c>
      <c r="G74" t="n">
        <v>0.21</v>
      </c>
      <c r="H74" t="inlineStr">
        <is>
          <t>Mid Cap</t>
        </is>
      </c>
    </row>
    <row r="75">
      <c r="B75" t="inlineStr">
        <is>
          <t>Power Finance Corporation Ltd</t>
        </is>
      </c>
      <c r="C75" t="inlineStr">
        <is>
          <t>INE134E01011</t>
        </is>
      </c>
      <c r="D75" t="inlineStr">
        <is>
          <t>Finance</t>
        </is>
      </c>
      <c r="E75" t="n">
        <v>538786</v>
      </c>
      <c r="F75" t="n">
        <v>1914.85</v>
      </c>
      <c r="G75" t="n">
        <v>0.14</v>
      </c>
      <c r="H75" t="inlineStr">
        <is>
          <t>Large Cap</t>
        </is>
      </c>
    </row>
    <row r="76">
      <c r="B76" t="inlineStr">
        <is>
          <t>Vedant Fashions Ltd</t>
        </is>
      </c>
      <c r="C76" t="inlineStr">
        <is>
          <t>INE825V01034</t>
        </is>
      </c>
      <c r="D76" t="inlineStr">
        <is>
          <t>Retailing</t>
        </is>
      </c>
      <c r="E76" t="n">
        <v>237424</v>
      </c>
      <c r="F76" t="n">
        <v>1382.05</v>
      </c>
      <c r="G76" t="n">
        <v>0.1</v>
      </c>
      <c r="H76" t="inlineStr">
        <is>
          <t>Small Cap</t>
        </is>
      </c>
    </row>
    <row r="77">
      <c r="B77" t="inlineStr">
        <is>
          <t>Piramal Pharma Ltd</t>
        </is>
      </c>
      <c r="C77" t="inlineStr">
        <is>
          <t>INE0DK501011</t>
        </is>
      </c>
      <c r="D77" t="inlineStr">
        <is>
          <t>Pharmaceuticals &amp; Biotechnology</t>
        </is>
      </c>
      <c r="E77" t="n">
        <v>662441</v>
      </c>
      <c r="F77" t="n">
        <v>1140.79</v>
      </c>
      <c r="G77" t="n">
        <v>0.08</v>
      </c>
      <c r="H77" t="inlineStr">
        <is>
          <t>Small Cap</t>
        </is>
      </c>
    </row>
    <row r="78">
      <c r="B78" t="inlineStr">
        <is>
          <t>Avenue Supermarts Ltd</t>
        </is>
      </c>
      <c r="C78" t="inlineStr">
        <is>
          <t>INE192R01011</t>
        </is>
      </c>
      <c r="D78" t="inlineStr">
        <is>
          <t>Retailing</t>
        </is>
      </c>
      <c r="E78" t="n">
        <v>12497</v>
      </c>
      <c r="F78" t="n">
        <v>472.66</v>
      </c>
      <c r="G78" t="n">
        <v>0.03</v>
      </c>
      <c r="H78" t="inlineStr">
        <is>
          <t>Large Cap</t>
        </is>
      </c>
    </row>
    <row r="79">
      <c r="B79" t="inlineStr">
        <is>
          <t>Kwality Wall’s India Ltd</t>
        </is>
      </c>
      <c r="C79" t="inlineStr">
        <is>
          <t>INE2KCE01013</t>
        </is>
      </c>
      <c r="D79" t="inlineStr">
        <is>
          <t>Food Products</t>
        </is>
      </c>
      <c r="E79" t="n">
        <v>339400</v>
      </c>
      <c r="F79" t="n">
        <v>136.44</v>
      </c>
      <c r="G79" t="n">
        <v>0.01</v>
      </c>
      <c r="H79" t="inlineStr">
        <is>
          <t>Small Cap</t>
        </is>
      </c>
    </row>
    <row r="80">
      <c r="B80" t="inlineStr">
        <is>
          <t>Sub Total</t>
        </is>
      </c>
      <c r="F80">
        <f>SUM(F7:F79)</f>
        <v/>
      </c>
      <c r="G80">
        <f>SUM(G7:G79)</f>
        <v/>
      </c>
    </row>
    <row r="81">
      <c r="B81" t="inlineStr">
        <is>
          <t>Total</t>
        </is>
      </c>
      <c r="F81">
        <f>F80</f>
        <v/>
      </c>
      <c r="G81">
        <f>G80</f>
        <v/>
      </c>
    </row>
    <row r="82">
      <c r="B82" t="inlineStr">
        <is>
          <t>Debt Instruments</t>
        </is>
      </c>
    </row>
    <row r="83">
      <c r="B83" t="inlineStr">
        <is>
          <t>(a) Listed / awaiting listing on Stock Exchanges</t>
        </is>
      </c>
    </row>
    <row r="84">
      <c r="B84" t="inlineStr">
        <is>
          <t>6.00% TVS Motor Co Ltd NCRPS **</t>
        </is>
      </c>
      <c r="C84" t="inlineStr">
        <is>
          <t>INE494B04019</t>
        </is>
      </c>
      <c r="D84" t="inlineStr">
        <is>
          <t>CARE A1+</t>
        </is>
      </c>
      <c r="E84" t="n">
        <v>2797532</v>
      </c>
      <c r="F84" t="n">
        <v>284.96</v>
      </c>
      <c r="G84" t="n">
        <v>0.02</v>
      </c>
      <c r="I84" t="n">
        <v>6.105</v>
      </c>
    </row>
    <row r="85">
      <c r="B85" t="inlineStr">
        <is>
          <t>Sub Total</t>
        </is>
      </c>
      <c r="F85" t="n">
        <v>284.96</v>
      </c>
      <c r="G85" t="n">
        <v>0.02</v>
      </c>
    </row>
    <row r="86">
      <c r="B86" t="inlineStr">
        <is>
          <t>Total</t>
        </is>
      </c>
      <c r="F86" t="n">
        <v>284.96</v>
      </c>
      <c r="G86" t="n">
        <v>0.02</v>
      </c>
    </row>
    <row r="87">
      <c r="B87" t="inlineStr">
        <is>
          <t>TREPS</t>
        </is>
      </c>
    </row>
    <row r="88">
      <c r="B88" t="inlineStr">
        <is>
          <t>TREPS</t>
        </is>
      </c>
      <c r="F88" t="n">
        <v>37982.45</v>
      </c>
      <c r="G88" t="n">
        <v>2.76</v>
      </c>
    </row>
    <row r="89">
      <c r="B89" t="inlineStr">
        <is>
          <t>Sub Total</t>
        </is>
      </c>
      <c r="F89">
        <f>SUM(F87:F88)</f>
        <v/>
      </c>
      <c r="G89">
        <f>SUM(G87:G88)</f>
        <v/>
      </c>
    </row>
    <row r="90">
      <c r="B90" t="inlineStr">
        <is>
          <t>Total</t>
        </is>
      </c>
      <c r="F90">
        <f>F89</f>
        <v/>
      </c>
      <c r="G90">
        <f>G89</f>
        <v/>
      </c>
    </row>
    <row r="91">
      <c r="B91" t="inlineStr">
        <is>
          <t>Net Receivables / (Payables)</t>
        </is>
      </c>
      <c r="F91">
        <f>F92-(+F81+F90+F86)</f>
        <v/>
      </c>
      <c r="G91">
        <f>G92-(+G81+G90+G86)</f>
        <v/>
      </c>
    </row>
    <row r="92">
      <c r="B92" t="inlineStr">
        <is>
          <t>Grand Total</t>
        </is>
      </c>
      <c r="F92" t="n">
        <v>1376006.94</v>
      </c>
      <c r="G92" t="n">
        <v>100</v>
      </c>
    </row>
    <row r="95">
      <c r="B95" t="inlineStr">
        <is>
          <t>Residual Maturity</t>
        </is>
      </c>
      <c r="C95" t="inlineStr">
        <is>
          <t>0.0027 Years</t>
        </is>
      </c>
    </row>
    <row r="97">
      <c r="B97" t="inlineStr">
        <is>
          <t>** Non Traded Security</t>
        </is>
      </c>
    </row>
    <row r="99">
      <c r="B99" t="inlineStr">
        <is>
          <t>Please refer the below link for the performance of the Schemes managed by Canara Robeco Mutual Fund</t>
        </is>
      </c>
    </row>
    <row r="101">
      <c r="B101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LARGE AND MID CAP FUND</t>
        </is>
      </c>
    </row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ICICI Bank Ltd</t>
        </is>
      </c>
      <c r="C7" t="inlineStr">
        <is>
          <t>INE090A01021</t>
        </is>
      </c>
      <c r="D7" t="inlineStr">
        <is>
          <t>Banks</t>
        </is>
      </c>
      <c r="E7" t="n">
        <v>12833618</v>
      </c>
      <c r="F7" t="n">
        <v>172342.66</v>
      </c>
      <c r="G7" t="n">
        <v>6.73</v>
      </c>
      <c r="H7" t="inlineStr">
        <is>
          <t>Large Cap</t>
        </is>
      </c>
    </row>
    <row r="8">
      <c r="B8" t="inlineStr">
        <is>
          <t>Indian Hotels Co Ltd</t>
        </is>
      </c>
      <c r="C8" t="inlineStr">
        <is>
          <t>INE053A01029</t>
        </is>
      </c>
      <c r="D8" t="inlineStr">
        <is>
          <t>Leisure Services</t>
        </is>
      </c>
      <c r="E8" t="n">
        <v>19457322</v>
      </c>
      <c r="F8" t="n">
        <v>143760.42</v>
      </c>
      <c r="G8" t="n">
        <v>5.61</v>
      </c>
      <c r="H8" t="inlineStr">
        <is>
          <t>Large Cap</t>
        </is>
      </c>
    </row>
    <row r="9">
      <c r="B9" t="inlineStr">
        <is>
          <t>TVS Motor Co Ltd</t>
        </is>
      </c>
      <c r="C9" t="inlineStr">
        <is>
          <t>INE494B01023</t>
        </is>
      </c>
      <c r="D9" t="inlineStr">
        <is>
          <t>Automobiles</t>
        </is>
      </c>
      <c r="E9" t="n">
        <v>2473937</v>
      </c>
      <c r="F9" t="n">
        <v>92025.50999999999</v>
      </c>
      <c r="G9" t="n">
        <v>3.59</v>
      </c>
      <c r="H9" t="inlineStr">
        <is>
          <t>Large Cap</t>
        </is>
      </c>
    </row>
    <row r="10">
      <c r="B10" t="inlineStr">
        <is>
          <t>Uno Minda Ltd</t>
        </is>
      </c>
      <c r="C10" t="inlineStr">
        <is>
          <t>INE405E01023</t>
        </is>
      </c>
      <c r="D10" t="inlineStr">
        <is>
          <t>Auto Components</t>
        </is>
      </c>
      <c r="E10" t="n">
        <v>6967628</v>
      </c>
      <c r="F10" t="n">
        <v>89589.75999999999</v>
      </c>
      <c r="G10" t="n">
        <v>3.5</v>
      </c>
      <c r="H10" t="inlineStr">
        <is>
          <t>Mid Cap</t>
        </is>
      </c>
    </row>
    <row r="11">
      <c r="B11" t="inlineStr">
        <is>
          <t>Federal Bank Ltd</t>
        </is>
      </c>
      <c r="C11" t="inlineStr">
        <is>
          <t>INE171A01029</t>
        </is>
      </c>
      <c r="D11" t="inlineStr">
        <is>
          <t>Banks</t>
        </is>
      </c>
      <c r="E11" t="n">
        <v>32989386</v>
      </c>
      <c r="F11" t="n">
        <v>88114.64999999999</v>
      </c>
      <c r="G11" t="n">
        <v>3.44</v>
      </c>
      <c r="H11" t="inlineStr">
        <is>
          <t>Mid Cap</t>
        </is>
      </c>
    </row>
    <row r="12">
      <c r="B12" t="inlineStr">
        <is>
          <t>Bharat Electronics Ltd</t>
        </is>
      </c>
      <c r="C12" t="inlineStr">
        <is>
          <t>INE263A01024</t>
        </is>
      </c>
      <c r="D12" t="inlineStr">
        <is>
          <t>Aerospace &amp; Defense</t>
        </is>
      </c>
      <c r="E12" t="n">
        <v>21816345</v>
      </c>
      <c r="F12" t="n">
        <v>87178.11</v>
      </c>
      <c r="G12" t="n">
        <v>3.4</v>
      </c>
      <c r="H12" t="inlineStr">
        <is>
          <t>Large Cap</t>
        </is>
      </c>
    </row>
    <row r="13">
      <c r="B13" t="inlineStr">
        <is>
          <t>KPIT Technologies Ltd</t>
        </is>
      </c>
      <c r="C13" t="inlineStr">
        <is>
          <t>INE04I401011</t>
        </is>
      </c>
      <c r="D13" t="inlineStr">
        <is>
          <t>IT - Software</t>
        </is>
      </c>
      <c r="E13" t="n">
        <v>7418728</v>
      </c>
      <c r="F13" t="n">
        <v>86984.59</v>
      </c>
      <c r="G13" t="n">
        <v>3.39</v>
      </c>
      <c r="H13" t="inlineStr">
        <is>
          <t>Small Cap</t>
        </is>
      </c>
      <c r="L13" t="inlineStr">
        <is>
          <t>Benchmark: Nifty Large Midcap 250 TRI</t>
        </is>
      </c>
    </row>
    <row r="14">
      <c r="B14" t="inlineStr">
        <is>
          <t>Eternal Ltd</t>
        </is>
      </c>
      <c r="C14" t="inlineStr">
        <is>
          <t>INE758T01015</t>
        </is>
      </c>
      <c r="D14" t="inlineStr">
        <is>
          <t>Retailing</t>
        </is>
      </c>
      <c r="E14" t="n">
        <v>27688057</v>
      </c>
      <c r="F14" t="n">
        <v>76986.64</v>
      </c>
      <c r="G14" t="n">
        <v>3</v>
      </c>
      <c r="H14" t="inlineStr">
        <is>
          <t>Large Cap</t>
        </is>
      </c>
    </row>
    <row r="15">
      <c r="B15" t="inlineStr">
        <is>
          <t>Mahindra &amp; Mahindra Ltd</t>
        </is>
      </c>
      <c r="C15" t="inlineStr">
        <is>
          <t>INE101A01026</t>
        </is>
      </c>
      <c r="D15" t="inlineStr">
        <is>
          <t>Automobiles</t>
        </is>
      </c>
      <c r="E15" t="n">
        <v>1929314</v>
      </c>
      <c r="F15" t="n">
        <v>71562.11</v>
      </c>
      <c r="G15" t="n">
        <v>2.79</v>
      </c>
      <c r="H15" t="inlineStr">
        <is>
          <t>Large Cap</t>
        </is>
      </c>
    </row>
    <row r="16">
      <c r="B16" t="inlineStr">
        <is>
          <t>Trent Ltd</t>
        </is>
      </c>
      <c r="C16" t="inlineStr">
        <is>
          <t>INE849A01020</t>
        </is>
      </c>
      <c r="D16" t="inlineStr">
        <is>
          <t>Retailing</t>
        </is>
      </c>
      <c r="E16" t="n">
        <v>1486620</v>
      </c>
      <c r="F16" t="n">
        <v>63612.47</v>
      </c>
      <c r="G16" t="n">
        <v>2.48</v>
      </c>
      <c r="H16" t="inlineStr">
        <is>
          <t>Large Cap</t>
        </is>
      </c>
    </row>
    <row r="17">
      <c r="B17" t="inlineStr">
        <is>
          <t>Dixon Technologies (India) Ltd</t>
        </is>
      </c>
      <c r="C17" t="inlineStr">
        <is>
          <t>INE935N01020</t>
        </is>
      </c>
      <c r="D17" t="inlineStr">
        <is>
          <t>Consumer Durables</t>
        </is>
      </c>
      <c r="E17" t="n">
        <v>511809</v>
      </c>
      <c r="F17" t="n">
        <v>61939.13</v>
      </c>
      <c r="G17" t="n">
        <v>2.42</v>
      </c>
      <c r="H17" t="inlineStr">
        <is>
          <t>Mid Cap</t>
        </is>
      </c>
    </row>
    <row r="18">
      <c r="B18" t="inlineStr">
        <is>
          <t>Tata Consumer Products Ltd</t>
        </is>
      </c>
      <c r="C18" t="inlineStr">
        <is>
          <t>INE192A01025</t>
        </is>
      </c>
      <c r="D18" t="inlineStr">
        <is>
          <t>Agricultural Food &amp; Other Products</t>
        </is>
      </c>
      <c r="E18" t="n">
        <v>4150637</v>
      </c>
      <c r="F18" t="n">
        <v>49475.59</v>
      </c>
      <c r="G18" t="n">
        <v>1.93</v>
      </c>
      <c r="H18" t="inlineStr">
        <is>
          <t>Large Cap</t>
        </is>
      </c>
    </row>
    <row r="19">
      <c r="B19" t="inlineStr">
        <is>
          <t>Max Healthcare Institute Ltd</t>
        </is>
      </c>
      <c r="C19" t="inlineStr">
        <is>
          <t>INE027H01010</t>
        </is>
      </c>
      <c r="D19" t="inlineStr">
        <is>
          <t>Healthcare Services</t>
        </is>
      </c>
      <c r="E19" t="n">
        <v>4239096</v>
      </c>
      <c r="F19" t="n">
        <v>44302.79</v>
      </c>
      <c r="G19" t="n">
        <v>1.73</v>
      </c>
      <c r="H19" t="inlineStr">
        <is>
          <t>Large Cap</t>
        </is>
      </c>
    </row>
    <row r="20">
      <c r="B20" t="inlineStr">
        <is>
          <t>Bharti Airtel Ltd</t>
        </is>
      </c>
      <c r="C20" t="inlineStr">
        <is>
          <t>INE397D01024</t>
        </is>
      </c>
      <c r="D20" t="inlineStr">
        <is>
          <t>Telecom - Services</t>
        </is>
      </c>
      <c r="E20" t="n">
        <v>2032532</v>
      </c>
      <c r="F20" t="n">
        <v>42796.99</v>
      </c>
      <c r="G20" t="n">
        <v>1.67</v>
      </c>
      <c r="H20" t="inlineStr">
        <is>
          <t>Large Cap</t>
        </is>
      </c>
    </row>
    <row r="21">
      <c r="B21" t="inlineStr">
        <is>
          <t>Abbott India Ltd</t>
        </is>
      </c>
      <c r="C21" t="inlineStr">
        <is>
          <t>INE358A01014</t>
        </is>
      </c>
      <c r="D21" t="inlineStr">
        <is>
          <t>Pharmaceuticals &amp; Biotechnology</t>
        </is>
      </c>
      <c r="E21" t="n">
        <v>145836</v>
      </c>
      <c r="F21" t="n">
        <v>42328.9</v>
      </c>
      <c r="G21" t="n">
        <v>1.65</v>
      </c>
      <c r="H21" t="inlineStr">
        <is>
          <t>Mid Cap</t>
        </is>
      </c>
    </row>
    <row r="22">
      <c r="B22" t="inlineStr">
        <is>
          <t>EIH Ltd</t>
        </is>
      </c>
      <c r="C22" t="inlineStr">
        <is>
          <t>INE230A01023</t>
        </is>
      </c>
      <c r="D22" t="inlineStr">
        <is>
          <t>Leisure Services</t>
        </is>
      </c>
      <c r="E22" t="n">
        <v>11301547</v>
      </c>
      <c r="F22" t="n">
        <v>41617.95</v>
      </c>
      <c r="G22" t="n">
        <v>1.62</v>
      </c>
      <c r="H22" t="inlineStr">
        <is>
          <t>Small Cap</t>
        </is>
      </c>
    </row>
    <row r="23">
      <c r="B23" t="inlineStr">
        <is>
          <t>Cholamandalam Investment and Finance Co Ltd</t>
        </is>
      </c>
      <c r="C23" t="inlineStr">
        <is>
          <t>INE121A01024</t>
        </is>
      </c>
      <c r="D23" t="inlineStr">
        <is>
          <t>Finance</t>
        </is>
      </c>
      <c r="E23" t="n">
        <v>2440770</v>
      </c>
      <c r="F23" t="n">
        <v>41546.79</v>
      </c>
      <c r="G23" t="n">
        <v>1.62</v>
      </c>
      <c r="H23" t="inlineStr">
        <is>
          <t>Large Cap</t>
        </is>
      </c>
    </row>
    <row r="24">
      <c r="B24" t="inlineStr">
        <is>
          <t>Tata Power Co Ltd</t>
        </is>
      </c>
      <c r="C24" t="inlineStr">
        <is>
          <t>INE245A01021</t>
        </is>
      </c>
      <c r="D24" t="inlineStr">
        <is>
          <t>Power</t>
        </is>
      </c>
      <c r="E24" t="n">
        <v>10396495</v>
      </c>
      <c r="F24" t="n">
        <v>39465.1</v>
      </c>
      <c r="G24" t="n">
        <v>1.54</v>
      </c>
      <c r="H24" t="inlineStr">
        <is>
          <t>Large Cap</t>
        </is>
      </c>
    </row>
    <row r="25">
      <c r="B25" t="inlineStr">
        <is>
          <t>Torrent Power Ltd</t>
        </is>
      </c>
      <c r="C25" t="inlineStr">
        <is>
          <t>INE813H01021</t>
        </is>
      </c>
      <c r="D25" t="inlineStr">
        <is>
          <t>Power</t>
        </is>
      </c>
      <c r="E25" t="n">
        <v>2970124</v>
      </c>
      <c r="F25" t="n">
        <v>38810.61</v>
      </c>
      <c r="G25" t="n">
        <v>1.51</v>
      </c>
      <c r="H25" t="inlineStr">
        <is>
          <t>Mid Cap</t>
        </is>
      </c>
    </row>
    <row r="26">
      <c r="B26" t="inlineStr">
        <is>
          <t>J.K. Cement Ltd</t>
        </is>
      </c>
      <c r="C26" t="inlineStr">
        <is>
          <t>INE823G01014</t>
        </is>
      </c>
      <c r="D26" t="inlineStr">
        <is>
          <t>Cement &amp; Cement Products</t>
        </is>
      </c>
      <c r="E26" t="n">
        <v>646862</v>
      </c>
      <c r="F26" t="n">
        <v>35777.94</v>
      </c>
      <c r="G26" t="n">
        <v>1.4</v>
      </c>
      <c r="H26" t="inlineStr">
        <is>
          <t>Mid Cap</t>
        </is>
      </c>
    </row>
    <row r="27">
      <c r="B27" t="inlineStr">
        <is>
          <t>PI Industries Ltd</t>
        </is>
      </c>
      <c r="C27" t="inlineStr">
        <is>
          <t>INE603J01030</t>
        </is>
      </c>
      <c r="D27" t="inlineStr">
        <is>
          <t>Fertilizers &amp; Agrochemicals</t>
        </is>
      </c>
      <c r="E27" t="n">
        <v>1012395</v>
      </c>
      <c r="F27" t="n">
        <v>32783.37</v>
      </c>
      <c r="G27" t="n">
        <v>1.28</v>
      </c>
      <c r="H27" t="inlineStr">
        <is>
          <t>Mid Cap</t>
        </is>
      </c>
    </row>
    <row r="28">
      <c r="B28" t="inlineStr">
        <is>
          <t>Vishal Mega Mart Ltd</t>
        </is>
      </c>
      <c r="C28" t="inlineStr">
        <is>
          <t>INE01EA01019</t>
        </is>
      </c>
      <c r="D28" t="inlineStr">
        <is>
          <t>Retailing</t>
        </is>
      </c>
      <c r="E28" t="n">
        <v>23781416</v>
      </c>
      <c r="F28" t="n">
        <v>32430.72</v>
      </c>
      <c r="G28" t="n">
        <v>1.27</v>
      </c>
      <c r="H28" t="inlineStr">
        <is>
          <t>Mid Cap</t>
        </is>
      </c>
    </row>
    <row r="29">
      <c r="B29" t="inlineStr">
        <is>
          <t>Bajaj Finance Ltd</t>
        </is>
      </c>
      <c r="C29" t="inlineStr">
        <is>
          <t>INE296A01032</t>
        </is>
      </c>
      <c r="D29" t="inlineStr">
        <is>
          <t>Finance</t>
        </is>
      </c>
      <c r="E29" t="n">
        <v>3025780</v>
      </c>
      <c r="F29" t="n">
        <v>29858.4</v>
      </c>
      <c r="G29" t="n">
        <v>1.17</v>
      </c>
      <c r="H29" t="inlineStr">
        <is>
          <t>Large Cap</t>
        </is>
      </c>
    </row>
    <row r="30">
      <c r="B30" t="inlineStr">
        <is>
          <t>Oberoi Realty Ltd</t>
        </is>
      </c>
      <c r="C30" t="inlineStr">
        <is>
          <t>INE093I01010</t>
        </is>
      </c>
      <c r="D30" t="inlineStr">
        <is>
          <t>Realty</t>
        </is>
      </c>
      <c r="E30" t="n">
        <v>1706479</v>
      </c>
      <c r="F30" t="n">
        <v>28508.44</v>
      </c>
      <c r="G30" t="n">
        <v>1.11</v>
      </c>
      <c r="H30" t="inlineStr">
        <is>
          <t>Mid Cap</t>
        </is>
      </c>
    </row>
    <row r="31">
      <c r="B31" t="inlineStr">
        <is>
          <t>Multi Commodity Exchange Of India Ltd</t>
        </is>
      </c>
      <c r="C31" t="inlineStr">
        <is>
          <t>INE745G01035</t>
        </is>
      </c>
      <c r="D31" t="inlineStr">
        <is>
          <t>Capital Markets</t>
        </is>
      </c>
      <c r="E31" t="n">
        <v>251100</v>
      </c>
      <c r="F31" t="n">
        <v>27962.5</v>
      </c>
      <c r="G31" t="n">
        <v>1.09</v>
      </c>
      <c r="H31" t="inlineStr">
        <is>
          <t>Mid Cap</t>
        </is>
      </c>
    </row>
    <row r="32">
      <c r="B32" t="inlineStr">
        <is>
          <t>Global Health Ltd</t>
        </is>
      </c>
      <c r="C32" t="inlineStr">
        <is>
          <t>INE474Q01031</t>
        </is>
      </c>
      <c r="D32" t="inlineStr">
        <is>
          <t>Healthcare Services</t>
        </is>
      </c>
      <c r="E32" t="n">
        <v>2312524</v>
      </c>
      <c r="F32" t="n">
        <v>27435.78</v>
      </c>
      <c r="G32" t="n">
        <v>1.07</v>
      </c>
      <c r="H32" t="inlineStr">
        <is>
          <t>Mid Cap</t>
        </is>
      </c>
    </row>
    <row r="33">
      <c r="B33" t="inlineStr">
        <is>
          <t>Coforge Ltd</t>
        </is>
      </c>
      <c r="C33" t="inlineStr">
        <is>
          <t>INE591G01025</t>
        </is>
      </c>
      <c r="D33" t="inlineStr">
        <is>
          <t>IT - Software</t>
        </is>
      </c>
      <c r="E33" t="n">
        <v>1583405</v>
      </c>
      <c r="F33" t="n">
        <v>26332.03</v>
      </c>
      <c r="G33" t="n">
        <v>1.03</v>
      </c>
      <c r="H33" t="inlineStr">
        <is>
          <t>Mid Cap</t>
        </is>
      </c>
    </row>
    <row r="34">
      <c r="B34" t="inlineStr">
        <is>
          <t>APL Apollo Tubes Ltd</t>
        </is>
      </c>
      <c r="C34" t="inlineStr">
        <is>
          <t>INE702C01027</t>
        </is>
      </c>
      <c r="D34" t="inlineStr">
        <is>
          <t>Industrial Products</t>
        </is>
      </c>
      <c r="E34" t="n">
        <v>1353923</v>
      </c>
      <c r="F34" t="n">
        <v>25914.09</v>
      </c>
      <c r="G34" t="n">
        <v>1.01</v>
      </c>
      <c r="H34" t="inlineStr">
        <is>
          <t>Mid Cap</t>
        </is>
      </c>
    </row>
    <row r="35">
      <c r="B35" t="inlineStr">
        <is>
          <t>Persistent Systems Ltd</t>
        </is>
      </c>
      <c r="C35" t="inlineStr">
        <is>
          <t>INE262H01021</t>
        </is>
      </c>
      <c r="D35" t="inlineStr">
        <is>
          <t>IT - Software</t>
        </is>
      </c>
      <c r="E35" t="n">
        <v>406927</v>
      </c>
      <c r="F35" t="n">
        <v>25522.46</v>
      </c>
      <c r="G35" t="n">
        <v>1</v>
      </c>
      <c r="H35" t="inlineStr">
        <is>
          <t>Mid Cap</t>
        </is>
      </c>
    </row>
    <row r="36">
      <c r="B36" t="inlineStr">
        <is>
          <t>United Breweries Ltd</t>
        </is>
      </c>
      <c r="C36" t="inlineStr">
        <is>
          <t>INE686F01025</t>
        </is>
      </c>
      <c r="D36" t="inlineStr">
        <is>
          <t>Beverages</t>
        </is>
      </c>
      <c r="E36" t="n">
        <v>1560790</v>
      </c>
      <c r="F36" t="n">
        <v>25311.33</v>
      </c>
      <c r="G36" t="n">
        <v>0.99</v>
      </c>
      <c r="H36" t="inlineStr">
        <is>
          <t>Mid Cap</t>
        </is>
      </c>
    </row>
    <row r="37">
      <c r="B37" t="inlineStr">
        <is>
          <t>ABB India Ltd</t>
        </is>
      </c>
      <c r="C37" t="inlineStr">
        <is>
          <t>INE117A01022</t>
        </is>
      </c>
      <c r="D37" t="inlineStr">
        <is>
          <t>Electrical Equipment</t>
        </is>
      </c>
      <c r="E37" t="n">
        <v>484288</v>
      </c>
      <c r="F37" t="n">
        <v>25037.69</v>
      </c>
      <c r="G37" t="n">
        <v>0.98</v>
      </c>
      <c r="H37" t="inlineStr">
        <is>
          <t>Large Cap</t>
        </is>
      </c>
    </row>
    <row r="38">
      <c r="B38" t="inlineStr">
        <is>
          <t>Suzlon Energy Ltd</t>
        </is>
      </c>
      <c r="C38" t="inlineStr">
        <is>
          <t>INE040H01021</t>
        </is>
      </c>
      <c r="D38" t="inlineStr">
        <is>
          <t>Electrical Equipment</t>
        </is>
      </c>
      <c r="E38" t="n">
        <v>47375464</v>
      </c>
      <c r="F38" t="n">
        <v>24952.66</v>
      </c>
      <c r="G38" t="n">
        <v>0.97</v>
      </c>
      <c r="H38" t="inlineStr">
        <is>
          <t>Mid Cap</t>
        </is>
      </c>
    </row>
    <row r="39">
      <c r="B39" t="inlineStr">
        <is>
          <t>Praj Industries Ltd</t>
        </is>
      </c>
      <c r="C39" t="inlineStr">
        <is>
          <t>INE074A01025</t>
        </is>
      </c>
      <c r="D39" t="inlineStr">
        <is>
          <t>Industrial Manufacturing</t>
        </is>
      </c>
      <c r="E39" t="n">
        <v>7719311</v>
      </c>
      <c r="F39" t="n">
        <v>24902.5</v>
      </c>
      <c r="G39" t="n">
        <v>0.97</v>
      </c>
      <c r="H39" t="inlineStr">
        <is>
          <t>Small Cap</t>
        </is>
      </c>
    </row>
    <row r="40">
      <c r="B40" t="inlineStr">
        <is>
          <t>PB Fintech Ltd</t>
        </is>
      </c>
      <c r="C40" t="inlineStr">
        <is>
          <t>INE417T01026</t>
        </is>
      </c>
      <c r="D40" t="inlineStr">
        <is>
          <t>Financial Technology (Fintech)</t>
        </is>
      </c>
      <c r="E40" t="n">
        <v>1360646</v>
      </c>
      <c r="F40" t="n">
        <v>24839.95</v>
      </c>
      <c r="G40" t="n">
        <v>0.97</v>
      </c>
      <c r="H40" t="inlineStr">
        <is>
          <t>Mid Cap</t>
        </is>
      </c>
    </row>
    <row r="41">
      <c r="B41" t="inlineStr">
        <is>
          <t>Aditya Birla Real Estate Ltd</t>
        </is>
      </c>
      <c r="C41" t="inlineStr">
        <is>
          <t>INE055A01016</t>
        </is>
      </c>
      <c r="D41" t="inlineStr">
        <is>
          <t>Paper, Forest &amp; Jute Products</t>
        </is>
      </c>
      <c r="E41" t="n">
        <v>1475242</v>
      </c>
      <c r="F41" t="n">
        <v>24707.35</v>
      </c>
      <c r="G41" t="n">
        <v>0.96</v>
      </c>
      <c r="H41" t="inlineStr">
        <is>
          <t>Small Cap</t>
        </is>
      </c>
    </row>
    <row r="42">
      <c r="B42" t="inlineStr">
        <is>
          <t>3M India Ltd</t>
        </is>
      </c>
      <c r="C42" t="inlineStr">
        <is>
          <t>INE470A01017</t>
        </is>
      </c>
      <c r="D42" t="inlineStr">
        <is>
          <t>Diversified</t>
        </is>
      </c>
      <c r="E42" t="n">
        <v>70109</v>
      </c>
      <c r="F42" t="n">
        <v>24618.78</v>
      </c>
      <c r="G42" t="n">
        <v>0.96</v>
      </c>
      <c r="H42" t="inlineStr">
        <is>
          <t>Mid Cap</t>
        </is>
      </c>
    </row>
    <row r="43">
      <c r="B43" t="inlineStr">
        <is>
          <t>Ajanta Pharma Ltd</t>
        </is>
      </c>
      <c r="C43" t="inlineStr">
        <is>
          <t>INE031B01049</t>
        </is>
      </c>
      <c r="D43" t="inlineStr">
        <is>
          <t>Pharmaceuticals &amp; Biotechnology</t>
        </is>
      </c>
      <c r="E43" t="n">
        <v>878506</v>
      </c>
      <c r="F43" t="n">
        <v>24324.95</v>
      </c>
      <c r="G43" t="n">
        <v>0.95</v>
      </c>
      <c r="H43" t="inlineStr">
        <is>
          <t>Small Cap</t>
        </is>
      </c>
    </row>
    <row r="44">
      <c r="B44" t="inlineStr">
        <is>
          <t>Ge Vernova T&amp;D India Ltd</t>
        </is>
      </c>
      <c r="C44" t="inlineStr">
        <is>
          <t>INE200A01026</t>
        </is>
      </c>
      <c r="D44" t="inlineStr">
        <is>
          <t>Electrical Equipment</t>
        </is>
      </c>
      <c r="E44" t="n">
        <v>742866</v>
      </c>
      <c r="F44" t="n">
        <v>23270.28</v>
      </c>
      <c r="G44" t="n">
        <v>0.91</v>
      </c>
      <c r="H44" t="inlineStr">
        <is>
          <t>Mid Cap</t>
        </is>
      </c>
    </row>
    <row r="45">
      <c r="B45" t="inlineStr">
        <is>
          <t>Divi's Laboratories Ltd</t>
        </is>
      </c>
      <c r="C45" t="inlineStr">
        <is>
          <t>INE361B01024</t>
        </is>
      </c>
      <c r="D45" t="inlineStr">
        <is>
          <t>Pharmaceuticals &amp; Biotechnology</t>
        </is>
      </c>
      <c r="E45" t="n">
        <v>361165</v>
      </c>
      <c r="F45" t="n">
        <v>23087.47</v>
      </c>
      <c r="G45" t="n">
        <v>0.9</v>
      </c>
      <c r="H45" t="inlineStr">
        <is>
          <t>Large Cap</t>
        </is>
      </c>
    </row>
    <row r="46">
      <c r="B46" t="inlineStr">
        <is>
          <t>Bharat Forge Ltd</t>
        </is>
      </c>
      <c r="C46" t="inlineStr">
        <is>
          <t>INE465A01025</t>
        </is>
      </c>
      <c r="D46" t="inlineStr">
        <is>
          <t>Auto Components</t>
        </is>
      </c>
      <c r="E46" t="n">
        <v>1569047</v>
      </c>
      <c r="F46" t="n">
        <v>23071.27</v>
      </c>
      <c r="G46" t="n">
        <v>0.9</v>
      </c>
      <c r="H46" t="inlineStr">
        <is>
          <t>Mid Cap</t>
        </is>
      </c>
    </row>
    <row r="47">
      <c r="B47" t="inlineStr">
        <is>
          <t>Solar Industries India Ltd</t>
        </is>
      </c>
      <c r="C47" t="inlineStr">
        <is>
          <t>INE343H01029</t>
        </is>
      </c>
      <c r="D47" t="inlineStr">
        <is>
          <t>Chemicals &amp; Petrochemicals</t>
        </is>
      </c>
      <c r="E47" t="n">
        <v>183604</v>
      </c>
      <c r="F47" t="n">
        <v>22495.16</v>
      </c>
      <c r="G47" t="n">
        <v>0.88</v>
      </c>
      <c r="H47" t="inlineStr">
        <is>
          <t>Large Cap</t>
        </is>
      </c>
    </row>
    <row r="48">
      <c r="B48" t="inlineStr">
        <is>
          <t>Sona Blw Precision Forgings Ltd</t>
        </is>
      </c>
      <c r="C48" t="inlineStr">
        <is>
          <t>INE073K01018</t>
        </is>
      </c>
      <c r="D48" t="inlineStr">
        <is>
          <t>Auto Components</t>
        </is>
      </c>
      <c r="E48" t="n">
        <v>4663446</v>
      </c>
      <c r="F48" t="n">
        <v>22356.56</v>
      </c>
      <c r="G48" t="n">
        <v>0.87</v>
      </c>
      <c r="H48" t="inlineStr">
        <is>
          <t>Small Cap</t>
        </is>
      </c>
    </row>
    <row r="49">
      <c r="B49" t="inlineStr">
        <is>
          <t>ITC Hotels Ltd</t>
        </is>
      </c>
      <c r="C49" t="inlineStr">
        <is>
          <t>INE379A01028</t>
        </is>
      </c>
      <c r="D49" t="inlineStr">
        <is>
          <t>Leisure Services</t>
        </is>
      </c>
      <c r="E49" t="n">
        <v>10294293</v>
      </c>
      <c r="F49" t="n">
        <v>20324.02</v>
      </c>
      <c r="G49" t="n">
        <v>0.79</v>
      </c>
      <c r="H49" t="inlineStr">
        <is>
          <t>Mid Cap</t>
        </is>
      </c>
    </row>
    <row r="50">
      <c r="B50" t="inlineStr">
        <is>
          <t>Sun Pharmaceutical Industries Ltd</t>
        </is>
      </c>
      <c r="C50" t="inlineStr">
        <is>
          <t>INE044A01036</t>
        </is>
      </c>
      <c r="D50" t="inlineStr">
        <is>
          <t>Pharmaceuticals &amp; Biotechnology</t>
        </is>
      </c>
      <c r="E50" t="n">
        <v>1149202</v>
      </c>
      <c r="F50" t="n">
        <v>19762.83</v>
      </c>
      <c r="G50" t="n">
        <v>0.77</v>
      </c>
      <c r="H50" t="inlineStr">
        <is>
          <t>Large Cap</t>
        </is>
      </c>
    </row>
    <row r="51">
      <c r="B51" t="inlineStr">
        <is>
          <t>Vinati Organics Ltd</t>
        </is>
      </c>
      <c r="C51" t="inlineStr">
        <is>
          <t>INE410B01037</t>
        </is>
      </c>
      <c r="D51" t="inlineStr">
        <is>
          <t>Chemicals &amp; Petrochemicals</t>
        </is>
      </c>
      <c r="E51" t="n">
        <v>1232048</v>
      </c>
      <c r="F51" t="n">
        <v>19579.71</v>
      </c>
      <c r="G51" t="n">
        <v>0.76</v>
      </c>
      <c r="H51" t="inlineStr">
        <is>
          <t>Small Cap</t>
        </is>
      </c>
    </row>
    <row r="52">
      <c r="B52" t="inlineStr">
        <is>
          <t>Varun Beverages Ltd</t>
        </is>
      </c>
      <c r="C52" t="inlineStr">
        <is>
          <t>INE200M01039</t>
        </is>
      </c>
      <c r="D52" t="inlineStr">
        <is>
          <t>Beverages</t>
        </is>
      </c>
      <c r="E52" t="n">
        <v>3983695</v>
      </c>
      <c r="F52" t="n">
        <v>19514.13</v>
      </c>
      <c r="G52" t="n">
        <v>0.76</v>
      </c>
      <c r="H52" t="inlineStr">
        <is>
          <t>Large Cap</t>
        </is>
      </c>
    </row>
    <row r="53">
      <c r="B53" t="inlineStr">
        <is>
          <t>Bata India Ltd</t>
        </is>
      </c>
      <c r="C53" t="inlineStr">
        <is>
          <t>INE176A01028</t>
        </is>
      </c>
      <c r="D53" t="inlineStr">
        <is>
          <t>Consumer Durables</t>
        </is>
      </c>
      <c r="E53" t="n">
        <v>2043454</v>
      </c>
      <c r="F53" t="n">
        <v>19269.77</v>
      </c>
      <c r="G53" t="n">
        <v>0.75</v>
      </c>
      <c r="H53" t="inlineStr">
        <is>
          <t>Small Cap</t>
        </is>
      </c>
    </row>
    <row r="54">
      <c r="B54" t="inlineStr">
        <is>
          <t>Radico Khaitan Ltd</t>
        </is>
      </c>
      <c r="C54" t="inlineStr">
        <is>
          <t>INE944F01028</t>
        </is>
      </c>
      <c r="D54" t="inlineStr">
        <is>
          <t>Beverages</t>
        </is>
      </c>
      <c r="E54" t="n">
        <v>574249</v>
      </c>
      <c r="F54" t="n">
        <v>18941.03</v>
      </c>
      <c r="G54" t="n">
        <v>0.74</v>
      </c>
      <c r="H54" t="inlineStr">
        <is>
          <t>Mid Cap</t>
        </is>
      </c>
    </row>
    <row r="55">
      <c r="B55" t="inlineStr">
        <is>
          <t>Bharti Hexacom Ltd</t>
        </is>
      </c>
      <c r="C55" t="inlineStr">
        <is>
          <t>INE343G01021</t>
        </is>
      </c>
      <c r="D55" t="inlineStr">
        <is>
          <t>Telecom - Services</t>
        </is>
      </c>
      <c r="E55" t="n">
        <v>1030381</v>
      </c>
      <c r="F55" t="n">
        <v>18770.45</v>
      </c>
      <c r="G55" t="n">
        <v>0.73</v>
      </c>
      <c r="H55" t="inlineStr">
        <is>
          <t>Mid Cap</t>
        </is>
      </c>
    </row>
    <row r="56">
      <c r="B56" t="inlineStr">
        <is>
          <t>Crompton Greaves Consumer Electricals Ltd</t>
        </is>
      </c>
      <c r="C56" t="inlineStr">
        <is>
          <t>INE299U01018</t>
        </is>
      </c>
      <c r="D56" t="inlineStr">
        <is>
          <t>Consumer Durables</t>
        </is>
      </c>
      <c r="E56" t="n">
        <v>7333838</v>
      </c>
      <c r="F56" t="n">
        <v>18499.61</v>
      </c>
      <c r="G56" t="n">
        <v>0.72</v>
      </c>
      <c r="H56" t="inlineStr">
        <is>
          <t>Small Cap</t>
        </is>
      </c>
    </row>
    <row r="57">
      <c r="B57" t="inlineStr">
        <is>
          <t>Lupin Ltd</t>
        </is>
      </c>
      <c r="C57" t="inlineStr">
        <is>
          <t>INE326A01037</t>
        </is>
      </c>
      <c r="D57" t="inlineStr">
        <is>
          <t>Pharmaceuticals &amp; Biotechnology</t>
        </is>
      </c>
      <c r="E57" t="n">
        <v>823988</v>
      </c>
      <c r="F57" t="n">
        <v>17382.03</v>
      </c>
      <c r="G57" t="n">
        <v>0.68</v>
      </c>
      <c r="H57" t="inlineStr">
        <is>
          <t>Mid Cap</t>
        </is>
      </c>
    </row>
    <row r="58">
      <c r="B58" t="inlineStr">
        <is>
          <t>ZF Commercial Vehicle Control Systems India Ltd</t>
        </is>
      </c>
      <c r="C58" t="inlineStr">
        <is>
          <t>INE342J01019</t>
        </is>
      </c>
      <c r="D58" t="inlineStr">
        <is>
          <t>Auto Components</t>
        </is>
      </c>
      <c r="E58" t="n">
        <v>109496</v>
      </c>
      <c r="F58" t="n">
        <v>16290.81</v>
      </c>
      <c r="G58" t="n">
        <v>0.64</v>
      </c>
      <c r="H58" t="inlineStr">
        <is>
          <t>Small Cap</t>
        </is>
      </c>
    </row>
    <row r="59">
      <c r="B59" t="inlineStr">
        <is>
          <t>Britannia Industries Ltd</t>
        </is>
      </c>
      <c r="C59" t="inlineStr">
        <is>
          <t>INE216A01030</t>
        </is>
      </c>
      <c r="D59" t="inlineStr">
        <is>
          <t>Food Products</t>
        </is>
      </c>
      <c r="E59" t="n">
        <v>264368</v>
      </c>
      <c r="F59" t="n">
        <v>15944.03</v>
      </c>
      <c r="G59" t="n">
        <v>0.62</v>
      </c>
      <c r="H59" t="inlineStr">
        <is>
          <t>Large Cap</t>
        </is>
      </c>
    </row>
    <row r="60">
      <c r="B60" t="inlineStr">
        <is>
          <t>Hindustan Aeronautics Ltd</t>
        </is>
      </c>
      <c r="C60" t="inlineStr">
        <is>
          <t>INE066F01020</t>
        </is>
      </c>
      <c r="D60" t="inlineStr">
        <is>
          <t>Aerospace &amp; Defense</t>
        </is>
      </c>
      <c r="E60" t="n">
        <v>314126</v>
      </c>
      <c r="F60" t="n">
        <v>13786.05</v>
      </c>
      <c r="G60" t="n">
        <v>0.54</v>
      </c>
      <c r="H60" t="inlineStr">
        <is>
          <t>Large Cap</t>
        </is>
      </c>
    </row>
    <row r="61">
      <c r="B61" t="inlineStr">
        <is>
          <t>LG Electronics India Ltd</t>
        </is>
      </c>
      <c r="C61" t="inlineStr">
        <is>
          <t>INE324D01010</t>
        </is>
      </c>
      <c r="D61" t="inlineStr">
        <is>
          <t>Consumer Durables</t>
        </is>
      </c>
      <c r="E61" t="n">
        <v>902271</v>
      </c>
      <c r="F61" t="n">
        <v>13727.15</v>
      </c>
      <c r="G61" t="n">
        <v>0.54</v>
      </c>
      <c r="H61" t="inlineStr">
        <is>
          <t>Large Cap</t>
        </is>
      </c>
    </row>
    <row r="62">
      <c r="B62" t="inlineStr">
        <is>
          <t>K.P.R. Mill Ltd</t>
        </is>
      </c>
      <c r="C62" t="inlineStr">
        <is>
          <t>INE930H01031</t>
        </is>
      </c>
      <c r="D62" t="inlineStr">
        <is>
          <t>Textiles &amp; Apparels</t>
        </is>
      </c>
      <c r="E62" t="n">
        <v>1439514</v>
      </c>
      <c r="F62" t="n">
        <v>13565.98</v>
      </c>
      <c r="G62" t="n">
        <v>0.53</v>
      </c>
      <c r="H62" t="inlineStr">
        <is>
          <t>Mid Cap</t>
        </is>
      </c>
    </row>
    <row r="63">
      <c r="B63" t="inlineStr">
        <is>
          <t>United Spirits Ltd</t>
        </is>
      </c>
      <c r="C63" t="inlineStr">
        <is>
          <t>INE854D01024</t>
        </is>
      </c>
      <c r="D63" t="inlineStr">
        <is>
          <t>Beverages</t>
        </is>
      </c>
      <c r="E63" t="n">
        <v>936882</v>
      </c>
      <c r="F63" t="n">
        <v>13525.77</v>
      </c>
      <c r="G63" t="n">
        <v>0.53</v>
      </c>
      <c r="H63" t="inlineStr">
        <is>
          <t>Mid Cap</t>
        </is>
      </c>
    </row>
    <row r="64">
      <c r="B64" t="inlineStr">
        <is>
          <t>Creditaccess Grameen Ltd</t>
        </is>
      </c>
      <c r="C64" t="inlineStr">
        <is>
          <t>INE741K01010</t>
        </is>
      </c>
      <c r="D64" t="inlineStr">
        <is>
          <t>Finance</t>
        </is>
      </c>
      <c r="E64" t="n">
        <v>1054497</v>
      </c>
      <c r="F64" t="n">
        <v>13430.07</v>
      </c>
      <c r="G64" t="n">
        <v>0.52</v>
      </c>
      <c r="H64" t="inlineStr">
        <is>
          <t>Small Cap</t>
        </is>
      </c>
    </row>
    <row r="65">
      <c r="B65" t="inlineStr">
        <is>
          <t>CG Power and Industrial Solutions Ltd</t>
        </is>
      </c>
      <c r="C65" t="inlineStr">
        <is>
          <t>INE067A01029</t>
        </is>
      </c>
      <c r="D65" t="inlineStr">
        <is>
          <t>Electrical Equipment</t>
        </is>
      </c>
      <c r="E65" t="n">
        <v>1961573</v>
      </c>
      <c r="F65" t="n">
        <v>12709.03</v>
      </c>
      <c r="G65" t="n">
        <v>0.5</v>
      </c>
      <c r="H65" t="inlineStr">
        <is>
          <t>Large Cap</t>
        </is>
      </c>
    </row>
    <row r="66">
      <c r="B66" t="inlineStr">
        <is>
          <t>Blue Dart Express Ltd</t>
        </is>
      </c>
      <c r="C66" t="inlineStr">
        <is>
          <t>INE233B01017</t>
        </is>
      </c>
      <c r="D66" t="inlineStr">
        <is>
          <t>Transport Services</t>
        </is>
      </c>
      <c r="E66" t="n">
        <v>229682</v>
      </c>
      <c r="F66" t="n">
        <v>12680.74</v>
      </c>
      <c r="G66" t="n">
        <v>0.49</v>
      </c>
      <c r="H66" t="inlineStr">
        <is>
          <t>Small Cap</t>
        </is>
      </c>
    </row>
    <row r="67">
      <c r="B67" t="inlineStr">
        <is>
          <t>Jubilant Foodworks Ltd</t>
        </is>
      </c>
      <c r="C67" t="inlineStr">
        <is>
          <t>INE797F01020</t>
        </is>
      </c>
      <c r="D67" t="inlineStr">
        <is>
          <t>Leisure Services</t>
        </is>
      </c>
      <c r="E67" t="n">
        <v>2128153</v>
      </c>
      <c r="F67" t="n">
        <v>11887.86</v>
      </c>
      <c r="G67" t="n">
        <v>0.46</v>
      </c>
      <c r="H67" t="inlineStr">
        <is>
          <t>Mid Cap</t>
        </is>
      </c>
    </row>
    <row r="68">
      <c r="B68" t="inlineStr">
        <is>
          <t>Central Depository Services (India) Ltd</t>
        </is>
      </c>
      <c r="C68" t="inlineStr">
        <is>
          <t>INE736A01011</t>
        </is>
      </c>
      <c r="D68" t="inlineStr">
        <is>
          <t>Capital Markets</t>
        </is>
      </c>
      <c r="E68" t="n">
        <v>790562</v>
      </c>
      <c r="F68" t="n">
        <v>11412.55</v>
      </c>
      <c r="G68" t="n">
        <v>0.45</v>
      </c>
      <c r="H68" t="inlineStr">
        <is>
          <t>Small Cap</t>
        </is>
      </c>
    </row>
    <row r="69">
      <c r="B69" t="inlineStr">
        <is>
          <t>Swiggy Ltd</t>
        </is>
      </c>
      <c r="C69" t="inlineStr">
        <is>
          <t>INE00H001014</t>
        </is>
      </c>
      <c r="D69" t="inlineStr">
        <is>
          <t>Retailing</t>
        </is>
      </c>
      <c r="E69" t="n">
        <v>2912980</v>
      </c>
      <c r="F69" t="n">
        <v>11251.39</v>
      </c>
      <c r="G69" t="n">
        <v>0.44</v>
      </c>
      <c r="H69" t="inlineStr">
        <is>
          <t>Mid Cap</t>
        </is>
      </c>
    </row>
    <row r="70">
      <c r="B70" t="inlineStr">
        <is>
          <t>Tech Mahindra Ltd</t>
        </is>
      </c>
      <c r="C70" t="inlineStr">
        <is>
          <t>INE669C01036</t>
        </is>
      </c>
      <c r="D70" t="inlineStr">
        <is>
          <t>IT - Software</t>
        </is>
      </c>
      <c r="E70" t="n">
        <v>686480</v>
      </c>
      <c r="F70" t="n">
        <v>10921.21</v>
      </c>
      <c r="G70" t="n">
        <v>0.43</v>
      </c>
      <c r="H70" t="inlineStr">
        <is>
          <t>Large Cap</t>
        </is>
      </c>
    </row>
    <row r="71">
      <c r="B71" t="inlineStr">
        <is>
          <t>Schaeffler India Ltd</t>
        </is>
      </c>
      <c r="C71" t="inlineStr">
        <is>
          <t>INE513A01022</t>
        </is>
      </c>
      <c r="D71" t="inlineStr">
        <is>
          <t>Auto Components</t>
        </is>
      </c>
      <c r="E71" t="n">
        <v>275593</v>
      </c>
      <c r="F71" t="n">
        <v>10690.25</v>
      </c>
      <c r="G71" t="n">
        <v>0.42</v>
      </c>
      <c r="H71" t="inlineStr">
        <is>
          <t>Mid Cap</t>
        </is>
      </c>
    </row>
    <row r="72">
      <c r="B72" t="inlineStr">
        <is>
          <t>Titan Co Ltd</t>
        </is>
      </c>
      <c r="C72" t="inlineStr">
        <is>
          <t>INE280A01028</t>
        </is>
      </c>
      <c r="D72" t="inlineStr">
        <is>
          <t>Consumer Durables</t>
        </is>
      </c>
      <c r="E72" t="n">
        <v>244286</v>
      </c>
      <c r="F72" t="n">
        <v>9897.25</v>
      </c>
      <c r="G72" t="n">
        <v>0.39</v>
      </c>
      <c r="H72" t="inlineStr">
        <is>
          <t>Large Cap</t>
        </is>
      </c>
    </row>
    <row r="73">
      <c r="B73" t="inlineStr">
        <is>
          <t>Indian Bank</t>
        </is>
      </c>
      <c r="C73" t="inlineStr">
        <is>
          <t>INE562A01011</t>
        </is>
      </c>
      <c r="D73" t="inlineStr">
        <is>
          <t>Banks</t>
        </is>
      </c>
      <c r="E73" t="n">
        <v>1136770</v>
      </c>
      <c r="F73" t="n">
        <v>9517.610000000001</v>
      </c>
      <c r="G73" t="n">
        <v>0.37</v>
      </c>
      <c r="H73" t="inlineStr">
        <is>
          <t>Mid Cap</t>
        </is>
      </c>
    </row>
    <row r="74">
      <c r="B74" t="inlineStr">
        <is>
          <t>Bajaj Auto Ltd</t>
        </is>
      </c>
      <c r="C74" t="inlineStr">
        <is>
          <t>INE917I01010</t>
        </is>
      </c>
      <c r="D74" t="inlineStr">
        <is>
          <t>Automobiles</t>
        </is>
      </c>
      <c r="E74" t="n">
        <v>100285</v>
      </c>
      <c r="F74" t="n">
        <v>9369.629999999999</v>
      </c>
      <c r="G74" t="n">
        <v>0.37</v>
      </c>
      <c r="H74" t="inlineStr">
        <is>
          <t>Large Cap</t>
        </is>
      </c>
    </row>
    <row r="75">
      <c r="B75" t="inlineStr">
        <is>
          <t>Container Corporation Of India Ltd</t>
        </is>
      </c>
      <c r="C75" t="inlineStr">
        <is>
          <t>INE111A01025</t>
        </is>
      </c>
      <c r="D75" t="inlineStr">
        <is>
          <t>Transport Services</t>
        </is>
      </c>
      <c r="E75" t="n">
        <v>1778951</v>
      </c>
      <c r="F75" t="n">
        <v>9338.6</v>
      </c>
      <c r="G75" t="n">
        <v>0.36</v>
      </c>
      <c r="H75" t="inlineStr">
        <is>
          <t>Mid Cap</t>
        </is>
      </c>
    </row>
    <row r="76">
      <c r="B76" t="inlineStr">
        <is>
          <t>Navin Fluorine International Ltd</t>
        </is>
      </c>
      <c r="C76" t="inlineStr">
        <is>
          <t>INE048G01026</t>
        </is>
      </c>
      <c r="D76" t="inlineStr">
        <is>
          <t>Chemicals &amp; Petrochemicals</t>
        </is>
      </c>
      <c r="E76" t="n">
        <v>153299</v>
      </c>
      <c r="F76" t="n">
        <v>9075.299999999999</v>
      </c>
      <c r="G76" t="n">
        <v>0.35</v>
      </c>
      <c r="H76" t="inlineStr">
        <is>
          <t>Small Cap</t>
        </is>
      </c>
    </row>
    <row r="77">
      <c r="B77" t="inlineStr">
        <is>
          <t>Mrs Bectors Food Specialities Ltd</t>
        </is>
      </c>
      <c r="C77" t="inlineStr">
        <is>
          <t>INE495P01020</t>
        </is>
      </c>
      <c r="D77" t="inlineStr">
        <is>
          <t>Food Products</t>
        </is>
      </c>
      <c r="E77" t="n">
        <v>3931940</v>
      </c>
      <c r="F77" t="n">
        <v>9059.190000000001</v>
      </c>
      <c r="G77" t="n">
        <v>0.35</v>
      </c>
      <c r="H77" t="inlineStr">
        <is>
          <t>Small Cap</t>
        </is>
      </c>
    </row>
    <row r="78">
      <c r="B78" t="inlineStr">
        <is>
          <t>Linde India Ltd</t>
        </is>
      </c>
      <c r="C78" t="inlineStr">
        <is>
          <t>INE473A01011</t>
        </is>
      </c>
      <c r="D78" t="inlineStr">
        <is>
          <t>Chemicals &amp; Petrochemicals</t>
        </is>
      </c>
      <c r="E78" t="n">
        <v>149452</v>
      </c>
      <c r="F78" t="n">
        <v>8900.610000000001</v>
      </c>
      <c r="G78" t="n">
        <v>0.35</v>
      </c>
      <c r="H78" t="inlineStr">
        <is>
          <t>Mid Cap</t>
        </is>
      </c>
    </row>
    <row r="79">
      <c r="B79" t="inlineStr">
        <is>
          <t>Bajaj Finserv Ltd</t>
        </is>
      </c>
      <c r="C79" t="inlineStr">
        <is>
          <t>INE918I01026</t>
        </is>
      </c>
      <c r="D79" t="inlineStr">
        <is>
          <t>Finance</t>
        </is>
      </c>
      <c r="E79" t="n">
        <v>414880</v>
      </c>
      <c r="F79" t="n">
        <v>8463.139999999999</v>
      </c>
      <c r="G79" t="n">
        <v>0.33</v>
      </c>
      <c r="H79" t="inlineStr">
        <is>
          <t>Large Cap</t>
        </is>
      </c>
    </row>
    <row r="80">
      <c r="B80" t="inlineStr">
        <is>
          <t>Shree Cement Ltd</t>
        </is>
      </c>
      <c r="C80" t="inlineStr">
        <is>
          <t>INE070A01015</t>
        </is>
      </c>
      <c r="D80" t="inlineStr">
        <is>
          <t>Cement &amp; Cement Products</t>
        </is>
      </c>
      <c r="E80" t="n">
        <v>31805</v>
      </c>
      <c r="F80" t="n">
        <v>8452.18</v>
      </c>
      <c r="G80" t="n">
        <v>0.33</v>
      </c>
      <c r="H80" t="inlineStr">
        <is>
          <t>Mid Cap</t>
        </is>
      </c>
    </row>
    <row r="81">
      <c r="B81" t="inlineStr">
        <is>
          <t>Cello World Ltd</t>
        </is>
      </c>
      <c r="C81" t="inlineStr">
        <is>
          <t>INE0LMW01024</t>
        </is>
      </c>
      <c r="D81" t="inlineStr">
        <is>
          <t>Consumer Durables</t>
        </is>
      </c>
      <c r="E81" t="n">
        <v>1556153</v>
      </c>
      <c r="F81" t="n">
        <v>8436.68</v>
      </c>
      <c r="G81" t="n">
        <v>0.33</v>
      </c>
      <c r="H81" t="inlineStr">
        <is>
          <t>Small Cap</t>
        </is>
      </c>
    </row>
    <row r="82">
      <c r="B82" t="inlineStr">
        <is>
          <t>SRF Ltd</t>
        </is>
      </c>
      <c r="C82" t="inlineStr">
        <is>
          <t>INE647A01010</t>
        </is>
      </c>
      <c r="D82" t="inlineStr">
        <is>
          <t>Chemicals &amp; Petrochemicals</t>
        </is>
      </c>
      <c r="E82" t="n">
        <v>211889</v>
      </c>
      <c r="F82" t="n">
        <v>6515.59</v>
      </c>
      <c r="G82" t="n">
        <v>0.25</v>
      </c>
      <c r="H82" t="inlineStr">
        <is>
          <t>Mid Cap</t>
        </is>
      </c>
    </row>
    <row r="83">
      <c r="B83" t="inlineStr">
        <is>
          <t>Kajaria Ceramics Ltd</t>
        </is>
      </c>
      <c r="C83" t="inlineStr">
        <is>
          <t>INE217B01036</t>
        </is>
      </c>
      <c r="D83" t="inlineStr">
        <is>
          <t>Consumer Durables</t>
        </is>
      </c>
      <c r="E83" t="n">
        <v>590361</v>
      </c>
      <c r="F83" t="n">
        <v>5717.65</v>
      </c>
      <c r="G83" t="n">
        <v>0.22</v>
      </c>
      <c r="H83" t="inlineStr">
        <is>
          <t>Small Cap</t>
        </is>
      </c>
    </row>
    <row r="84">
      <c r="B84" t="inlineStr">
        <is>
          <t>Computer Age Management Services Ltd</t>
        </is>
      </c>
      <c r="C84" t="inlineStr">
        <is>
          <t>INE596I01020</t>
        </is>
      </c>
      <c r="D84" t="inlineStr">
        <is>
          <t>Capital Markets</t>
        </is>
      </c>
      <c r="E84" t="n">
        <v>740200</v>
      </c>
      <c r="F84" t="n">
        <v>5484.14</v>
      </c>
      <c r="G84" t="n">
        <v>0.21</v>
      </c>
      <c r="H84" t="inlineStr">
        <is>
          <t>Small Cap</t>
        </is>
      </c>
    </row>
    <row r="85">
      <c r="B85" t="inlineStr">
        <is>
          <t>Carborundum Universal Ltd</t>
        </is>
      </c>
      <c r="C85" t="inlineStr">
        <is>
          <t>INE120A01034</t>
        </is>
      </c>
      <c r="D85" t="inlineStr">
        <is>
          <t>Industrial Products</t>
        </is>
      </c>
      <c r="E85" t="n">
        <v>636406</v>
      </c>
      <c r="F85" t="n">
        <v>5447</v>
      </c>
      <c r="G85" t="n">
        <v>0.21</v>
      </c>
      <c r="H85" t="inlineStr">
        <is>
          <t>Small Cap</t>
        </is>
      </c>
    </row>
    <row r="86">
      <c r="B86" t="inlineStr">
        <is>
          <t>ICICI Lombard General Insurance Co Ltd</t>
        </is>
      </c>
      <c r="C86" t="inlineStr">
        <is>
          <t>INE765G01017</t>
        </is>
      </c>
      <c r="D86" t="inlineStr">
        <is>
          <t>Insurance</t>
        </is>
      </c>
      <c r="E86" t="n">
        <v>270047</v>
      </c>
      <c r="F86" t="n">
        <v>5298.59</v>
      </c>
      <c r="G86" t="n">
        <v>0.21</v>
      </c>
      <c r="H86" t="inlineStr">
        <is>
          <t>Mid Cap</t>
        </is>
      </c>
    </row>
    <row r="87">
      <c r="B87" t="inlineStr">
        <is>
          <t>KNR Constructions Ltd</t>
        </is>
      </c>
      <c r="C87" t="inlineStr">
        <is>
          <t>INE634I01029</t>
        </is>
      </c>
      <c r="D87" t="inlineStr">
        <is>
          <t>Construction</t>
        </is>
      </c>
      <c r="E87" t="n">
        <v>2757146</v>
      </c>
      <c r="F87" t="n">
        <v>4488.08</v>
      </c>
      <c r="G87" t="n">
        <v>0.18</v>
      </c>
      <c r="H87" t="inlineStr">
        <is>
          <t>Small Cap</t>
        </is>
      </c>
    </row>
    <row r="88">
      <c r="B88" t="inlineStr">
        <is>
          <t>Berger Paints India Ltd</t>
        </is>
      </c>
      <c r="C88" t="inlineStr">
        <is>
          <t>INE463A01038</t>
        </is>
      </c>
      <c r="D88" t="inlineStr">
        <is>
          <t>Consumer Durables</t>
        </is>
      </c>
      <c r="E88" t="n">
        <v>786289</v>
      </c>
      <c r="F88" t="n">
        <v>4218.83</v>
      </c>
      <c r="G88" t="n">
        <v>0.16</v>
      </c>
      <c r="H88" t="inlineStr">
        <is>
          <t>Mid Cap</t>
        </is>
      </c>
    </row>
    <row r="89">
      <c r="B89" t="inlineStr">
        <is>
          <t>Thermax Ltd</t>
        </is>
      </c>
      <c r="C89" t="inlineStr">
        <is>
          <t>INE152A01029</t>
        </is>
      </c>
      <c r="D89" t="inlineStr">
        <is>
          <t>Electrical Equipment</t>
        </is>
      </c>
      <c r="E89" t="n">
        <v>139104</v>
      </c>
      <c r="F89" t="n">
        <v>4204.56</v>
      </c>
      <c r="G89" t="n">
        <v>0.16</v>
      </c>
      <c r="H89" t="inlineStr">
        <is>
          <t>Mid Cap</t>
        </is>
      </c>
    </row>
    <row r="90">
      <c r="B90" t="inlineStr">
        <is>
          <t>TCI Express Ltd</t>
        </is>
      </c>
      <c r="C90" t="inlineStr">
        <is>
          <t>INE586V01016</t>
        </is>
      </c>
      <c r="D90" t="inlineStr">
        <is>
          <t>Transport Services</t>
        </is>
      </c>
      <c r="E90" t="n">
        <v>584273</v>
      </c>
      <c r="F90" t="n">
        <v>3360.15</v>
      </c>
      <c r="G90" t="n">
        <v>0.13</v>
      </c>
      <c r="H90" t="inlineStr">
        <is>
          <t>Small Cap</t>
        </is>
      </c>
    </row>
    <row r="91">
      <c r="B91" t="inlineStr">
        <is>
          <t>Tips Music Ltd</t>
        </is>
      </c>
      <c r="C91" t="inlineStr">
        <is>
          <t>INE716B01029</t>
        </is>
      </c>
      <c r="D91" t="inlineStr">
        <is>
          <t>Entertainment</t>
        </is>
      </c>
      <c r="E91" t="n">
        <v>596719</v>
      </c>
      <c r="F91" t="n">
        <v>3295.38</v>
      </c>
      <c r="G91" t="n">
        <v>0.13</v>
      </c>
      <c r="H91" t="inlineStr">
        <is>
          <t>Small Cap</t>
        </is>
      </c>
    </row>
    <row r="92">
      <c r="B92" t="inlineStr">
        <is>
          <t>Deepak Nitrite Ltd</t>
        </is>
      </c>
      <c r="C92" t="inlineStr">
        <is>
          <t>INE288B01029</t>
        </is>
      </c>
      <c r="D92" t="inlineStr">
        <is>
          <t>Chemicals &amp; Petrochemicals</t>
        </is>
      </c>
      <c r="E92" t="n">
        <v>188818</v>
      </c>
      <c r="F92" t="n">
        <v>3269.76</v>
      </c>
      <c r="G92" t="n">
        <v>0.13</v>
      </c>
      <c r="H92" t="inlineStr">
        <is>
          <t>Small Cap</t>
        </is>
      </c>
    </row>
    <row r="93">
      <c r="B93" t="inlineStr">
        <is>
          <t>Zee Entertainment Enterprises Ltd</t>
        </is>
      </c>
      <c r="C93" t="inlineStr">
        <is>
          <t>INE256A01028</t>
        </is>
      </c>
      <c r="D93" t="inlineStr">
        <is>
          <t>Entertainment</t>
        </is>
      </c>
      <c r="E93" t="n">
        <v>3500000</v>
      </c>
      <c r="F93" t="n">
        <v>3148.6</v>
      </c>
      <c r="G93" t="n">
        <v>0.12</v>
      </c>
      <c r="H93" t="inlineStr">
        <is>
          <t>Small Cap</t>
        </is>
      </c>
    </row>
    <row r="94">
      <c r="B94" t="inlineStr">
        <is>
          <t>Premier Energies Ltd</t>
        </is>
      </c>
      <c r="C94" t="inlineStr">
        <is>
          <t>INE0BS701011</t>
        </is>
      </c>
      <c r="D94" t="inlineStr">
        <is>
          <t>Electrical Equipment</t>
        </is>
      </c>
      <c r="E94" t="n">
        <v>323797</v>
      </c>
      <c r="F94" t="n">
        <v>2726.86</v>
      </c>
      <c r="G94" t="n">
        <v>0.11</v>
      </c>
      <c r="H94" t="inlineStr">
        <is>
          <t>Mid Cap</t>
        </is>
      </c>
    </row>
    <row r="95">
      <c r="B95" t="inlineStr">
        <is>
          <t>HDB Financial Services Ltd</t>
        </is>
      </c>
      <c r="C95" t="inlineStr">
        <is>
          <t>INE756I01012</t>
        </is>
      </c>
      <c r="D95" t="inlineStr">
        <is>
          <t>Finance</t>
        </is>
      </c>
      <c r="E95" t="n">
        <v>338792</v>
      </c>
      <c r="F95" t="n">
        <v>2593.62</v>
      </c>
      <c r="G95" t="n">
        <v>0.1</v>
      </c>
      <c r="H95" t="inlineStr">
        <is>
          <t>Mid Cap</t>
        </is>
      </c>
    </row>
    <row r="96">
      <c r="B96" t="inlineStr">
        <is>
          <t>Doms Industries Ltd</t>
        </is>
      </c>
      <c r="C96" t="inlineStr">
        <is>
          <t>INE321T01012</t>
        </is>
      </c>
      <c r="D96" t="inlineStr">
        <is>
          <t>Household Products</t>
        </is>
      </c>
      <c r="E96" t="n">
        <v>97776</v>
      </c>
      <c r="F96" t="n">
        <v>2557.23</v>
      </c>
      <c r="G96" t="n">
        <v>0.1</v>
      </c>
      <c r="H96" t="inlineStr">
        <is>
          <t>Small Cap</t>
        </is>
      </c>
    </row>
    <row r="97">
      <c r="B97" t="inlineStr">
        <is>
          <t>Mankind Pharma Ltd</t>
        </is>
      </c>
      <c r="C97" t="inlineStr">
        <is>
          <t>INE634S01028</t>
        </is>
      </c>
      <c r="D97" t="inlineStr">
        <is>
          <t>Pharmaceuticals &amp; Biotechnology</t>
        </is>
      </c>
      <c r="E97" t="n">
        <v>88572</v>
      </c>
      <c r="F97" t="n">
        <v>1945.48</v>
      </c>
      <c r="G97" t="n">
        <v>0.08</v>
      </c>
      <c r="H97" t="inlineStr">
        <is>
          <t>Mid Cap</t>
        </is>
      </c>
    </row>
    <row r="98">
      <c r="B98" t="inlineStr">
        <is>
          <t>Cochin Shipyard Ltd</t>
        </is>
      </c>
      <c r="C98" t="inlineStr">
        <is>
          <t>INE704P01025</t>
        </is>
      </c>
      <c r="D98" t="inlineStr">
        <is>
          <t>Industrial Manufacturing</t>
        </is>
      </c>
      <c r="E98" t="n">
        <v>98600</v>
      </c>
      <c r="F98" t="n">
        <v>1597.42</v>
      </c>
      <c r="G98" t="n">
        <v>0.06</v>
      </c>
      <c r="H98" t="inlineStr">
        <is>
          <t>Mid Cap</t>
        </is>
      </c>
    </row>
    <row r="99">
      <c r="B99" t="inlineStr">
        <is>
          <t>Escorts Kubota Ltd</t>
        </is>
      </c>
      <c r="C99" t="inlineStr">
        <is>
          <t>INE042A01014</t>
        </is>
      </c>
      <c r="D99" t="inlineStr">
        <is>
          <t>Agricultural, Commercial &amp; Construction Vehicles</t>
        </is>
      </c>
      <c r="E99" t="n">
        <v>23900</v>
      </c>
      <c r="F99" t="n">
        <v>889.03</v>
      </c>
      <c r="G99" t="n">
        <v>0.03</v>
      </c>
      <c r="H99" t="inlineStr">
        <is>
          <t>Mid Cap</t>
        </is>
      </c>
    </row>
    <row r="100">
      <c r="B100" t="inlineStr">
        <is>
          <t>HDFC Bank Ltd</t>
        </is>
      </c>
      <c r="C100" t="inlineStr">
        <is>
          <t>INE040A01034</t>
        </is>
      </c>
      <c r="D100" t="inlineStr">
        <is>
          <t>Banks</t>
        </is>
      </c>
      <c r="E100" t="n">
        <v>22244</v>
      </c>
      <c r="F100" t="n">
        <v>220.48</v>
      </c>
      <c r="G100" t="n">
        <v>0.01</v>
      </c>
      <c r="H100" t="inlineStr">
        <is>
          <t>Large Cap</t>
        </is>
      </c>
    </row>
    <row r="101">
      <c r="B101" t="inlineStr">
        <is>
          <t>Sub Total</t>
        </is>
      </c>
      <c r="F101">
        <f>SUM(F7:F100)</f>
        <v/>
      </c>
      <c r="G101">
        <f>SUM(G7:G100)</f>
        <v/>
      </c>
    </row>
    <row r="102">
      <c r="B102" t="inlineStr">
        <is>
          <t>Total</t>
        </is>
      </c>
      <c r="F102">
        <f>F101</f>
        <v/>
      </c>
      <c r="G102">
        <f>G101</f>
        <v/>
      </c>
    </row>
    <row r="103">
      <c r="B103" t="inlineStr">
        <is>
          <t>Debt Instruments</t>
        </is>
      </c>
    </row>
    <row r="104">
      <c r="B104" t="inlineStr">
        <is>
          <t>(a) Listed / awaiting listing on Stock Exchanges</t>
        </is>
      </c>
    </row>
    <row r="105">
      <c r="B105" t="inlineStr">
        <is>
          <t>6.00% TVS Motor Co Ltd NCRPS **</t>
        </is>
      </c>
      <c r="C105" t="inlineStr">
        <is>
          <t>INE494B04019</t>
        </is>
      </c>
      <c r="D105" t="inlineStr">
        <is>
          <t>CARE A1+</t>
        </is>
      </c>
      <c r="E105" t="n">
        <v>12181844</v>
      </c>
      <c r="F105" t="n">
        <v>1240.84</v>
      </c>
      <c r="G105" t="n">
        <v>0.05</v>
      </c>
      <c r="I105" t="n">
        <v>6.105</v>
      </c>
    </row>
    <row r="106">
      <c r="B106" t="inlineStr">
        <is>
          <t>Sub Total</t>
        </is>
      </c>
      <c r="F106" t="n">
        <v>1240.84</v>
      </c>
      <c r="G106" t="n">
        <v>0.05</v>
      </c>
    </row>
    <row r="107">
      <c r="B107" t="inlineStr">
        <is>
          <t>Total</t>
        </is>
      </c>
      <c r="F107" t="n">
        <v>1240.84</v>
      </c>
      <c r="G107" t="n">
        <v>0.05</v>
      </c>
    </row>
    <row r="108">
      <c r="B108" t="inlineStr">
        <is>
          <t>TREPS</t>
        </is>
      </c>
    </row>
    <row r="109">
      <c r="B109" t="inlineStr">
        <is>
          <t>TREPS</t>
        </is>
      </c>
      <c r="F109" t="n">
        <v>72993.10000000001</v>
      </c>
      <c r="G109" t="n">
        <v>2.85</v>
      </c>
    </row>
    <row r="110">
      <c r="B110" t="inlineStr">
        <is>
          <t>Sub Total</t>
        </is>
      </c>
      <c r="F110">
        <f>SUM(F108:F109)</f>
        <v/>
      </c>
      <c r="G110">
        <f>SUM(G108:G109)</f>
        <v/>
      </c>
    </row>
    <row r="111">
      <c r="B111" t="inlineStr">
        <is>
          <t>Total</t>
        </is>
      </c>
      <c r="F111">
        <f>F110</f>
        <v/>
      </c>
      <c r="G111">
        <f>G110</f>
        <v/>
      </c>
    </row>
    <row r="112">
      <c r="B112" t="inlineStr">
        <is>
          <t>Net Receivables / (Payables)</t>
        </is>
      </c>
      <c r="F112">
        <f>F113-(+F102+F111+F107)</f>
        <v/>
      </c>
      <c r="G112">
        <f>G113-(+G102+G111+G107)</f>
        <v/>
      </c>
    </row>
    <row r="113">
      <c r="B113" t="inlineStr">
        <is>
          <t>Grand Total</t>
        </is>
      </c>
      <c r="F113" t="n">
        <v>2562607.14</v>
      </c>
      <c r="G113" t="n">
        <v>100</v>
      </c>
    </row>
    <row r="116">
      <c r="B116" t="inlineStr">
        <is>
          <t>Residual Maturity</t>
        </is>
      </c>
      <c r="C116" t="inlineStr">
        <is>
          <t>0.0027 Years</t>
        </is>
      </c>
    </row>
    <row r="118">
      <c r="B118" t="inlineStr">
        <is>
          <t>** Non Traded Security</t>
        </is>
      </c>
    </row>
    <row r="120">
      <c r="B120" t="inlineStr">
        <is>
          <t>Please refer the below link for the performance of the Schemes managed by Canara Robeco Mutual Fund</t>
        </is>
      </c>
    </row>
    <row r="122">
      <c r="B122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N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ELSS TAX SAVER</t>
        </is>
      </c>
    </row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7125168</v>
      </c>
      <c r="F7" t="n">
        <v>70624.67</v>
      </c>
      <c r="G7" t="n">
        <v>7.83</v>
      </c>
      <c r="H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4311000</v>
      </c>
      <c r="F8" t="n">
        <v>57892.42</v>
      </c>
      <c r="G8" t="n">
        <v>6.42</v>
      </c>
      <c r="H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2512000</v>
      </c>
      <c r="F9" t="n">
        <v>39448.45</v>
      </c>
      <c r="G9" t="n">
        <v>4.37</v>
      </c>
      <c r="H9" t="inlineStr">
        <is>
          <t>Large Cap</t>
        </is>
      </c>
    </row>
    <row r="10">
      <c r="B10" t="inlineStr">
        <is>
          <t>Infosys Ltd</t>
        </is>
      </c>
      <c r="C10" t="inlineStr">
        <is>
          <t>INE009A01021</t>
        </is>
      </c>
      <c r="D10" t="inlineStr">
        <is>
          <t>IT - Software</t>
        </is>
      </c>
      <c r="E10" t="n">
        <v>2181159</v>
      </c>
      <c r="F10" t="n">
        <v>35234.44</v>
      </c>
      <c r="G10" t="n">
        <v>3.91</v>
      </c>
      <c r="H10" t="inlineStr">
        <is>
          <t>Large Cap</t>
        </is>
      </c>
    </row>
    <row r="11">
      <c r="B11" t="inlineStr">
        <is>
          <t>Bharti Airtel Ltd</t>
        </is>
      </c>
      <c r="C11" t="inlineStr">
        <is>
          <t>INE397D01024</t>
        </is>
      </c>
      <c r="D11" t="inlineStr">
        <is>
          <t>Telecom - Services</t>
        </is>
      </c>
      <c r="E11" t="n">
        <v>1460000</v>
      </c>
      <c r="F11" t="n">
        <v>30741.76</v>
      </c>
      <c r="G11" t="n">
        <v>3.41</v>
      </c>
      <c r="H11" t="inlineStr">
        <is>
          <t>Large Cap</t>
        </is>
      </c>
    </row>
    <row r="12">
      <c r="B12" t="inlineStr">
        <is>
          <t>State Bank of India</t>
        </is>
      </c>
      <c r="C12" t="inlineStr">
        <is>
          <t>INE062A01020</t>
        </is>
      </c>
      <c r="D12" t="inlineStr">
        <is>
          <t>Banks</t>
        </is>
      </c>
      <c r="E12" t="n">
        <v>3000000</v>
      </c>
      <c r="F12" t="n">
        <v>29466</v>
      </c>
      <c r="G12" t="n">
        <v>3.27</v>
      </c>
      <c r="H12" t="inlineStr">
        <is>
          <t>Large Cap</t>
        </is>
      </c>
    </row>
    <row r="13">
      <c r="B13" t="inlineStr">
        <is>
          <t>Larsen &amp; Toubro Ltd</t>
        </is>
      </c>
      <c r="C13" t="inlineStr">
        <is>
          <t>INE018A01030</t>
        </is>
      </c>
      <c r="D13" t="inlineStr">
        <is>
          <t>Construction</t>
        </is>
      </c>
      <c r="E13" t="n">
        <v>704369</v>
      </c>
      <c r="F13" t="n">
        <v>28762.91</v>
      </c>
      <c r="G13" t="n">
        <v>3.19</v>
      </c>
      <c r="H13" t="inlineStr">
        <is>
          <t>Large Cap</t>
        </is>
      </c>
      <c r="L13" t="inlineStr">
        <is>
          <t>Benchmark: BSE 500 TRI</t>
        </is>
      </c>
    </row>
    <row r="14">
      <c r="B14" t="inlineStr">
        <is>
          <t>Bajaj Finance Ltd</t>
        </is>
      </c>
      <c r="C14" t="inlineStr">
        <is>
          <t>INE296A01032</t>
        </is>
      </c>
      <c r="D14" t="inlineStr">
        <is>
          <t>Finance</t>
        </is>
      </c>
      <c r="E14" t="n">
        <v>2329500</v>
      </c>
      <c r="F14" t="n">
        <v>22987.51</v>
      </c>
      <c r="G14" t="n">
        <v>2.55</v>
      </c>
      <c r="H14" t="inlineStr">
        <is>
          <t>Large Cap</t>
        </is>
      </c>
    </row>
    <row r="15">
      <c r="B15" t="inlineStr">
        <is>
          <t>Axis Bank Ltd</t>
        </is>
      </c>
      <c r="C15" t="inlineStr">
        <is>
          <t>INE238A01034</t>
        </is>
      </c>
      <c r="D15" t="inlineStr">
        <is>
          <t>Banks</t>
        </is>
      </c>
      <c r="E15" t="n">
        <v>1753000</v>
      </c>
      <c r="F15" t="n">
        <v>22252.58</v>
      </c>
      <c r="G15" t="n">
        <v>2.47</v>
      </c>
      <c r="H15" t="inlineStr">
        <is>
          <t>Large Cap</t>
        </is>
      </c>
    </row>
    <row r="16">
      <c r="B16" t="inlineStr">
        <is>
          <t>Ge Vernova T&amp;D India Ltd</t>
        </is>
      </c>
      <c r="C16" t="inlineStr">
        <is>
          <t>INE200A01026</t>
        </is>
      </c>
      <c r="D16" t="inlineStr">
        <is>
          <t>Electrical Equipment</t>
        </is>
      </c>
      <c r="E16" t="n">
        <v>594923</v>
      </c>
      <c r="F16" t="n">
        <v>18635.96</v>
      </c>
      <c r="G16" t="n">
        <v>2.07</v>
      </c>
      <c r="H16" t="inlineStr">
        <is>
          <t>Mid Cap</t>
        </is>
      </c>
    </row>
    <row r="17">
      <c r="B17" t="inlineStr">
        <is>
          <t>Eternal Ltd</t>
        </is>
      </c>
      <c r="C17" t="inlineStr">
        <is>
          <t>INE758T01015</t>
        </is>
      </c>
      <c r="D17" t="inlineStr">
        <is>
          <t>Retailing</t>
        </is>
      </c>
      <c r="E17" t="n">
        <v>5825000</v>
      </c>
      <c r="F17" t="n">
        <v>16196.41</v>
      </c>
      <c r="G17" t="n">
        <v>1.8</v>
      </c>
      <c r="H17" t="inlineStr">
        <is>
          <t>Large Cap</t>
        </is>
      </c>
    </row>
    <row r="18">
      <c r="B18" t="inlineStr">
        <is>
          <t>Divi's Laboratories Ltd</t>
        </is>
      </c>
      <c r="C18" t="inlineStr">
        <is>
          <t>INE361B01024</t>
        </is>
      </c>
      <c r="D18" t="inlineStr">
        <is>
          <t>Pharmaceuticals &amp; Biotechnology</t>
        </is>
      </c>
      <c r="E18" t="n">
        <v>250000</v>
      </c>
      <c r="F18" t="n">
        <v>15981.25</v>
      </c>
      <c r="G18" t="n">
        <v>1.77</v>
      </c>
      <c r="H18" t="inlineStr">
        <is>
          <t>Large Cap</t>
        </is>
      </c>
    </row>
    <row r="19">
      <c r="B19" t="inlineStr">
        <is>
          <t>Samvardhana Motherson International Ltd</t>
        </is>
      </c>
      <c r="C19" t="inlineStr">
        <is>
          <t>INE775A01035</t>
        </is>
      </c>
      <c r="D19" t="inlineStr">
        <is>
          <t>Auto Components</t>
        </is>
      </c>
      <c r="E19" t="n">
        <v>12077901</v>
      </c>
      <c r="F19" t="n">
        <v>14486.23</v>
      </c>
      <c r="G19" t="n">
        <v>1.61</v>
      </c>
      <c r="H19" t="inlineStr">
        <is>
          <t>Large Cap</t>
        </is>
      </c>
    </row>
    <row r="20">
      <c r="B20" t="inlineStr">
        <is>
          <t>Ultratech Cement Ltd</t>
        </is>
      </c>
      <c r="C20" t="inlineStr">
        <is>
          <t>INE481G01011</t>
        </is>
      </c>
      <c r="D20" t="inlineStr">
        <is>
          <t>Cement &amp; Cement Products</t>
        </is>
      </c>
      <c r="E20" t="n">
        <v>122500</v>
      </c>
      <c r="F20" t="n">
        <v>14435.4</v>
      </c>
      <c r="G20" t="n">
        <v>1.6</v>
      </c>
      <c r="H20" t="inlineStr">
        <is>
          <t>Large Cap</t>
        </is>
      </c>
    </row>
    <row r="21">
      <c r="B21" t="inlineStr">
        <is>
          <t>Interglobe Aviation Ltd</t>
        </is>
      </c>
      <c r="C21" t="inlineStr">
        <is>
          <t>INE646L01027</t>
        </is>
      </c>
      <c r="D21" t="inlineStr">
        <is>
          <t>Transport Services</t>
        </is>
      </c>
      <c r="E21" t="n">
        <v>263000</v>
      </c>
      <c r="F21" t="n">
        <v>13306.49</v>
      </c>
      <c r="G21" t="n">
        <v>1.47</v>
      </c>
      <c r="H21" t="inlineStr">
        <is>
          <t>Large Cap</t>
        </is>
      </c>
    </row>
    <row r="22">
      <c r="B22" t="inlineStr">
        <is>
          <t>ITC Ltd</t>
        </is>
      </c>
      <c r="C22" t="inlineStr">
        <is>
          <t>INE154A01025</t>
        </is>
      </c>
      <c r="D22" t="inlineStr">
        <is>
          <t>Diversified Fmcg</t>
        </is>
      </c>
      <c r="E22" t="n">
        <v>3125000</v>
      </c>
      <c r="F22" t="n">
        <v>12593.75</v>
      </c>
      <c r="G22" t="n">
        <v>1.4</v>
      </c>
      <c r="H22" t="inlineStr">
        <is>
          <t>Large Cap</t>
        </is>
      </c>
    </row>
    <row r="23">
      <c r="B23" t="inlineStr">
        <is>
          <t>TVS Motor Co Ltd</t>
        </is>
      </c>
      <c r="C23" t="inlineStr">
        <is>
          <t>INE494B01023</t>
        </is>
      </c>
      <c r="D23" t="inlineStr">
        <is>
          <t>Automobiles</t>
        </is>
      </c>
      <c r="E23" t="n">
        <v>335000</v>
      </c>
      <c r="F23" t="n">
        <v>12461.33</v>
      </c>
      <c r="G23" t="n">
        <v>1.38</v>
      </c>
      <c r="H23" t="inlineStr">
        <is>
          <t>Large Cap</t>
        </is>
      </c>
    </row>
    <row r="24">
      <c r="B24" t="inlineStr">
        <is>
          <t>Mahindra &amp; Mahindra Ltd</t>
        </is>
      </c>
      <c r="C24" t="inlineStr">
        <is>
          <t>INE101A01026</t>
        </is>
      </c>
      <c r="D24" t="inlineStr">
        <is>
          <t>Automobiles</t>
        </is>
      </c>
      <c r="E24" t="n">
        <v>320000</v>
      </c>
      <c r="F24" t="n">
        <v>11869.44</v>
      </c>
      <c r="G24" t="n">
        <v>1.32</v>
      </c>
      <c r="H24" t="inlineStr">
        <is>
          <t>Large Cap</t>
        </is>
      </c>
    </row>
    <row r="25">
      <c r="B25" t="inlineStr">
        <is>
          <t>NTPC Ltd</t>
        </is>
      </c>
      <c r="C25" t="inlineStr">
        <is>
          <t>INE733E01010</t>
        </is>
      </c>
      <c r="D25" t="inlineStr">
        <is>
          <t>Power</t>
        </is>
      </c>
      <c r="E25" t="n">
        <v>3524449</v>
      </c>
      <c r="F25" t="n">
        <v>11614.82</v>
      </c>
      <c r="G25" t="n">
        <v>1.29</v>
      </c>
      <c r="H25" t="inlineStr">
        <is>
          <t>Large Cap</t>
        </is>
      </c>
    </row>
    <row r="26">
      <c r="B26" t="inlineStr">
        <is>
          <t>BSE Ltd</t>
        </is>
      </c>
      <c r="C26" t="inlineStr">
        <is>
          <t>INE118H01025</t>
        </is>
      </c>
      <c r="D26" t="inlineStr">
        <is>
          <t>Capital Markets</t>
        </is>
      </c>
      <c r="E26" t="n">
        <v>438000</v>
      </c>
      <c r="F26" t="n">
        <v>11529.04</v>
      </c>
      <c r="G26" t="n">
        <v>1.28</v>
      </c>
      <c r="H26" t="inlineStr">
        <is>
          <t>Mid Cap</t>
        </is>
      </c>
    </row>
    <row r="27">
      <c r="B27" t="inlineStr">
        <is>
          <t>Coal India Ltd</t>
        </is>
      </c>
      <c r="C27" t="inlineStr">
        <is>
          <t>INE522F01014</t>
        </is>
      </c>
      <c r="D27" t="inlineStr">
        <is>
          <t>Consumable Fuels</t>
        </is>
      </c>
      <c r="E27" t="n">
        <v>2850000</v>
      </c>
      <c r="F27" t="n">
        <v>11371.5</v>
      </c>
      <c r="G27" t="n">
        <v>1.26</v>
      </c>
      <c r="H27" t="inlineStr">
        <is>
          <t>Large Cap</t>
        </is>
      </c>
    </row>
    <row r="28">
      <c r="B28" t="inlineStr">
        <is>
          <t>Sun Pharmaceutical Industries Ltd</t>
        </is>
      </c>
      <c r="C28" t="inlineStr">
        <is>
          <t>INE044A01036</t>
        </is>
      </c>
      <c r="D28" t="inlineStr">
        <is>
          <t>Pharmaceuticals &amp; Biotechnology</t>
        </is>
      </c>
      <c r="E28" t="n">
        <v>650286</v>
      </c>
      <c r="F28" t="n">
        <v>11182.97</v>
      </c>
      <c r="G28" t="n">
        <v>1.24</v>
      </c>
      <c r="H28" t="inlineStr">
        <is>
          <t>Large Cap</t>
        </is>
      </c>
    </row>
    <row r="29">
      <c r="B29" t="inlineStr">
        <is>
          <t>Max Financial Services Ltd</t>
        </is>
      </c>
      <c r="C29" t="inlineStr">
        <is>
          <t>INE180A01020</t>
        </is>
      </c>
      <c r="D29" t="inlineStr">
        <is>
          <t>Insurance</t>
        </is>
      </c>
      <c r="E29" t="n">
        <v>660005</v>
      </c>
      <c r="F29" t="n">
        <v>11033.96</v>
      </c>
      <c r="G29" t="n">
        <v>1.22</v>
      </c>
      <c r="H29" t="inlineStr">
        <is>
          <t>Mid Cap</t>
        </is>
      </c>
    </row>
    <row r="30">
      <c r="B30" t="inlineStr">
        <is>
          <t>Maruti Suzuki India Ltd</t>
        </is>
      </c>
      <c r="C30" t="inlineStr">
        <is>
          <t>INE585B01010</t>
        </is>
      </c>
      <c r="D30" t="inlineStr">
        <is>
          <t>Automobiles</t>
        </is>
      </c>
      <c r="E30" t="n">
        <v>65000</v>
      </c>
      <c r="F30" t="n">
        <v>10853.05</v>
      </c>
      <c r="G30" t="n">
        <v>1.2</v>
      </c>
      <c r="H30" t="inlineStr">
        <is>
          <t>Large Cap</t>
        </is>
      </c>
    </row>
    <row r="31">
      <c r="B31" t="inlineStr">
        <is>
          <t>CG Power and Industrial Solutions Ltd</t>
        </is>
      </c>
      <c r="C31" t="inlineStr">
        <is>
          <t>INE067A01029</t>
        </is>
      </c>
      <c r="D31" t="inlineStr">
        <is>
          <t>Electrical Equipment</t>
        </is>
      </c>
      <c r="E31" t="n">
        <v>1633637</v>
      </c>
      <c r="F31" t="n">
        <v>10584.33</v>
      </c>
      <c r="G31" t="n">
        <v>1.17</v>
      </c>
      <c r="H31" t="inlineStr">
        <is>
          <t>Large Cap</t>
        </is>
      </c>
    </row>
    <row r="32">
      <c r="B32" t="inlineStr">
        <is>
          <t>Varun Beverages Ltd</t>
        </is>
      </c>
      <c r="C32" t="inlineStr">
        <is>
          <t>INE200M01039</t>
        </is>
      </c>
      <c r="D32" t="inlineStr">
        <is>
          <t>Beverages</t>
        </is>
      </c>
      <c r="E32" t="n">
        <v>2134021</v>
      </c>
      <c r="F32" t="n">
        <v>10453.5</v>
      </c>
      <c r="G32" t="n">
        <v>1.16</v>
      </c>
      <c r="H32" t="inlineStr">
        <is>
          <t>Large Cap</t>
        </is>
      </c>
    </row>
    <row r="33">
      <c r="B33" t="inlineStr">
        <is>
          <t>J.B. Chemicals &amp; Pharmaceuticals Ltd</t>
        </is>
      </c>
      <c r="C33" t="inlineStr">
        <is>
          <t>INE572A01036</t>
        </is>
      </c>
      <c r="D33" t="inlineStr">
        <is>
          <t>Pharmaceuticals &amp; Biotechnology</t>
        </is>
      </c>
      <c r="E33" t="n">
        <v>574213</v>
      </c>
      <c r="F33" t="n">
        <v>10448.95</v>
      </c>
      <c r="G33" t="n">
        <v>1.16</v>
      </c>
      <c r="H33" t="inlineStr">
        <is>
          <t>Small Cap</t>
        </is>
      </c>
    </row>
    <row r="34">
      <c r="B34" t="inlineStr">
        <is>
          <t>PNB Housing Finance Ltd</t>
        </is>
      </c>
      <c r="C34" t="inlineStr">
        <is>
          <t>INE572E01012</t>
        </is>
      </c>
      <c r="D34" t="inlineStr">
        <is>
          <t>Finance</t>
        </is>
      </c>
      <c r="E34" t="n">
        <v>1041412</v>
      </c>
      <c r="F34" t="n">
        <v>9909.040000000001</v>
      </c>
      <c r="G34" t="n">
        <v>1.1</v>
      </c>
      <c r="H34" t="inlineStr">
        <is>
          <t>Small Cap</t>
        </is>
      </c>
    </row>
    <row r="35">
      <c r="B35" t="inlineStr">
        <is>
          <t>KEI Industries Ltd</t>
        </is>
      </c>
      <c r="C35" t="inlineStr">
        <is>
          <t>INE878B01027</t>
        </is>
      </c>
      <c r="D35" t="inlineStr">
        <is>
          <t>Industrial Products</t>
        </is>
      </c>
      <c r="E35" t="n">
        <v>222083</v>
      </c>
      <c r="F35" t="n">
        <v>9905.35</v>
      </c>
      <c r="G35" t="n">
        <v>1.1</v>
      </c>
      <c r="H35" t="inlineStr">
        <is>
          <t>Mid Cap</t>
        </is>
      </c>
    </row>
    <row r="36">
      <c r="B36" t="inlineStr">
        <is>
          <t>Doms Industries Ltd</t>
        </is>
      </c>
      <c r="C36" t="inlineStr">
        <is>
          <t>INE321T01012</t>
        </is>
      </c>
      <c r="D36" t="inlineStr">
        <is>
          <t>Household Products</t>
        </is>
      </c>
      <c r="E36" t="n">
        <v>360575</v>
      </c>
      <c r="F36" t="n">
        <v>9430.48</v>
      </c>
      <c r="G36" t="n">
        <v>1.05</v>
      </c>
      <c r="H36" t="inlineStr">
        <is>
          <t>Small Cap</t>
        </is>
      </c>
    </row>
    <row r="37">
      <c r="B37" t="inlineStr">
        <is>
          <t>Titan Co Ltd</t>
        </is>
      </c>
      <c r="C37" t="inlineStr">
        <is>
          <t>INE280A01028</t>
        </is>
      </c>
      <c r="D37" t="inlineStr">
        <is>
          <t>Consumer Durables</t>
        </is>
      </c>
      <c r="E37" t="n">
        <v>232500</v>
      </c>
      <c r="F37" t="n">
        <v>9419.74</v>
      </c>
      <c r="G37" t="n">
        <v>1.04</v>
      </c>
      <c r="H37" t="inlineStr">
        <is>
          <t>Large Cap</t>
        </is>
      </c>
    </row>
    <row r="38">
      <c r="B38" t="inlineStr">
        <is>
          <t>Tata Consultancy Services Ltd</t>
        </is>
      </c>
      <c r="C38" t="inlineStr">
        <is>
          <t>INE467B01029</t>
        </is>
      </c>
      <c r="D38" t="inlineStr">
        <is>
          <t>IT - Software</t>
        </is>
      </c>
      <c r="E38" t="n">
        <v>288073</v>
      </c>
      <c r="F38" t="n">
        <v>9236.200000000001</v>
      </c>
      <c r="G38" t="n">
        <v>1.02</v>
      </c>
      <c r="H38" t="inlineStr">
        <is>
          <t>Large Cap</t>
        </is>
      </c>
    </row>
    <row r="39">
      <c r="B39" t="inlineStr">
        <is>
          <t>Uno Minda Ltd</t>
        </is>
      </c>
      <c r="C39" t="inlineStr">
        <is>
          <t>INE405E01023</t>
        </is>
      </c>
      <c r="D39" t="inlineStr">
        <is>
          <t>Auto Components</t>
        </is>
      </c>
      <c r="E39" t="n">
        <v>717699</v>
      </c>
      <c r="F39" t="n">
        <v>9228.17</v>
      </c>
      <c r="G39" t="n">
        <v>1.02</v>
      </c>
      <c r="H39" t="inlineStr">
        <is>
          <t>Mid Cap</t>
        </is>
      </c>
    </row>
    <row r="40">
      <c r="B40" t="inlineStr">
        <is>
          <t>Phoenix Mills Ltd</t>
        </is>
      </c>
      <c r="C40" t="inlineStr">
        <is>
          <t>INE211B01039</t>
        </is>
      </c>
      <c r="D40" t="inlineStr">
        <is>
          <t>Realty</t>
        </is>
      </c>
      <c r="E40" t="n">
        <v>480077</v>
      </c>
      <c r="F40" t="n">
        <v>8898.23</v>
      </c>
      <c r="G40" t="n">
        <v>0.99</v>
      </c>
      <c r="H40" t="inlineStr">
        <is>
          <t>Mid Cap</t>
        </is>
      </c>
    </row>
    <row r="41">
      <c r="B41" t="inlineStr">
        <is>
          <t>Schaeffler India Ltd</t>
        </is>
      </c>
      <c r="C41" t="inlineStr">
        <is>
          <t>INE513A01022</t>
        </is>
      </c>
      <c r="D41" t="inlineStr">
        <is>
          <t>Auto Components</t>
        </is>
      </c>
      <c r="E41" t="n">
        <v>227865</v>
      </c>
      <c r="F41" t="n">
        <v>8838.879999999999</v>
      </c>
      <c r="G41" t="n">
        <v>0.98</v>
      </c>
      <c r="H41" t="inlineStr">
        <is>
          <t>Mid Cap</t>
        </is>
      </c>
    </row>
    <row r="42">
      <c r="B42" t="inlineStr">
        <is>
          <t>Cummins India Ltd</t>
        </is>
      </c>
      <c r="C42" t="inlineStr">
        <is>
          <t>INE298A01020</t>
        </is>
      </c>
      <c r="D42" t="inlineStr">
        <is>
          <t>Industrial Products</t>
        </is>
      </c>
      <c r="E42" t="n">
        <v>196200</v>
      </c>
      <c r="F42" t="n">
        <v>8700.290000000001</v>
      </c>
      <c r="G42" t="n">
        <v>0.96</v>
      </c>
      <c r="H42" t="inlineStr">
        <is>
          <t>Large Cap</t>
        </is>
      </c>
    </row>
    <row r="43">
      <c r="B43" t="inlineStr">
        <is>
          <t>Oberoi Realty Ltd</t>
        </is>
      </c>
      <c r="C43" t="inlineStr">
        <is>
          <t>INE093I01010</t>
        </is>
      </c>
      <c r="D43" t="inlineStr">
        <is>
          <t>Realty</t>
        </is>
      </c>
      <c r="E43" t="n">
        <v>518758</v>
      </c>
      <c r="F43" t="n">
        <v>8666.370000000001</v>
      </c>
      <c r="G43" t="n">
        <v>0.96</v>
      </c>
      <c r="H43" t="inlineStr">
        <is>
          <t>Mid Cap</t>
        </is>
      </c>
    </row>
    <row r="44">
      <c r="B44" t="inlineStr">
        <is>
          <t>Tata Power Co Ltd</t>
        </is>
      </c>
      <c r="C44" t="inlineStr">
        <is>
          <t>INE245A01021</t>
        </is>
      </c>
      <c r="D44" t="inlineStr">
        <is>
          <t>Power</t>
        </is>
      </c>
      <c r="E44" t="n">
        <v>2275000</v>
      </c>
      <c r="F44" t="n">
        <v>8635.9</v>
      </c>
      <c r="G44" t="n">
        <v>0.96</v>
      </c>
      <c r="H44" t="inlineStr">
        <is>
          <t>Large Cap</t>
        </is>
      </c>
    </row>
    <row r="45">
      <c r="B45" t="inlineStr">
        <is>
          <t>HCL Technologies Ltd</t>
        </is>
      </c>
      <c r="C45" t="inlineStr">
        <is>
          <t>INE860A01027</t>
        </is>
      </c>
      <c r="D45" t="inlineStr">
        <is>
          <t>IT - Software</t>
        </is>
      </c>
      <c r="E45" t="n">
        <v>530000</v>
      </c>
      <c r="F45" t="n">
        <v>8603.49</v>
      </c>
      <c r="G45" t="n">
        <v>0.95</v>
      </c>
      <c r="H45" t="inlineStr">
        <is>
          <t>Large Cap</t>
        </is>
      </c>
    </row>
    <row r="46">
      <c r="B46" t="inlineStr">
        <is>
          <t>Bharat Electronics Ltd</t>
        </is>
      </c>
      <c r="C46" t="inlineStr">
        <is>
          <t>INE263A01024</t>
        </is>
      </c>
      <c r="D46" t="inlineStr">
        <is>
          <t>Aerospace &amp; Defense</t>
        </is>
      </c>
      <c r="E46" t="n">
        <v>2125000</v>
      </c>
      <c r="F46" t="n">
        <v>8491.5</v>
      </c>
      <c r="G46" t="n">
        <v>0.9399999999999999</v>
      </c>
      <c r="H46" t="inlineStr">
        <is>
          <t>Large Cap</t>
        </is>
      </c>
    </row>
    <row r="47">
      <c r="B47" t="inlineStr">
        <is>
          <t>Hindustan Aeronautics Ltd</t>
        </is>
      </c>
      <c r="C47" t="inlineStr">
        <is>
          <t>INE066F01020</t>
        </is>
      </c>
      <c r="D47" t="inlineStr">
        <is>
          <t>Aerospace &amp; Defense</t>
        </is>
      </c>
      <c r="E47" t="n">
        <v>192000</v>
      </c>
      <c r="F47" t="n">
        <v>8426.299999999999</v>
      </c>
      <c r="G47" t="n">
        <v>0.93</v>
      </c>
      <c r="H47" t="inlineStr">
        <is>
          <t>Large Cap</t>
        </is>
      </c>
    </row>
    <row r="48">
      <c r="B48" t="inlineStr">
        <is>
          <t>J.K. Cement Ltd</t>
        </is>
      </c>
      <c r="C48" t="inlineStr">
        <is>
          <t>INE823G01014</t>
        </is>
      </c>
      <c r="D48" t="inlineStr">
        <is>
          <t>Cement &amp; Cement Products</t>
        </is>
      </c>
      <c r="E48" t="n">
        <v>152261</v>
      </c>
      <c r="F48" t="n">
        <v>8421.559999999999</v>
      </c>
      <c r="G48" t="n">
        <v>0.93</v>
      </c>
      <c r="H48" t="inlineStr">
        <is>
          <t>Mid Cap</t>
        </is>
      </c>
    </row>
    <row r="49">
      <c r="B49" t="inlineStr">
        <is>
          <t>Godrej Consumer Products Ltd</t>
        </is>
      </c>
      <c r="C49" t="inlineStr">
        <is>
          <t>INE102D01028</t>
        </is>
      </c>
      <c r="D49" t="inlineStr">
        <is>
          <t>Personal Products</t>
        </is>
      </c>
      <c r="E49" t="n">
        <v>680640</v>
      </c>
      <c r="F49" t="n">
        <v>8318.780000000001</v>
      </c>
      <c r="G49" t="n">
        <v>0.92</v>
      </c>
      <c r="H49" t="inlineStr">
        <is>
          <t>Large Cap</t>
        </is>
      </c>
    </row>
    <row r="50">
      <c r="B50" t="inlineStr">
        <is>
          <t>Medi Assist Healthcare Services Ltd</t>
        </is>
      </c>
      <c r="C50" t="inlineStr">
        <is>
          <t>INE456Z01021</t>
        </is>
      </c>
      <c r="D50" t="inlineStr">
        <is>
          <t>Insurance</t>
        </is>
      </c>
      <c r="E50" t="n">
        <v>1805019</v>
      </c>
      <c r="F50" t="n">
        <v>8293.16</v>
      </c>
      <c r="G50" t="n">
        <v>0.92</v>
      </c>
      <c r="H50" t="inlineStr">
        <is>
          <t>Small Cap</t>
        </is>
      </c>
    </row>
    <row r="51">
      <c r="B51" t="inlineStr">
        <is>
          <t>United Spirits Ltd</t>
        </is>
      </c>
      <c r="C51" t="inlineStr">
        <is>
          <t>INE854D01024</t>
        </is>
      </c>
      <c r="D51" t="inlineStr">
        <is>
          <t>Beverages</t>
        </is>
      </c>
      <c r="E51" t="n">
        <v>566000</v>
      </c>
      <c r="F51" t="n">
        <v>8171.34</v>
      </c>
      <c r="G51" t="n">
        <v>0.91</v>
      </c>
      <c r="H51" t="inlineStr">
        <is>
          <t>Mid Cap</t>
        </is>
      </c>
    </row>
    <row r="52">
      <c r="B52" t="inlineStr">
        <is>
          <t>FSN E-Commerce Ventures Ltd</t>
        </is>
      </c>
      <c r="C52" t="inlineStr">
        <is>
          <t>INE388Y01029</t>
        </is>
      </c>
      <c r="D52" t="inlineStr">
        <is>
          <t>Retailing</t>
        </is>
      </c>
      <c r="E52" t="n">
        <v>2988966</v>
      </c>
      <c r="F52" t="n">
        <v>7925.24</v>
      </c>
      <c r="G52" t="n">
        <v>0.88</v>
      </c>
      <c r="H52" t="inlineStr">
        <is>
          <t>Mid Cap</t>
        </is>
      </c>
    </row>
    <row r="53">
      <c r="B53" t="inlineStr">
        <is>
          <t>HDFC Life Insurance Co Ltd</t>
        </is>
      </c>
      <c r="C53" t="inlineStr">
        <is>
          <t>INE795G01014</t>
        </is>
      </c>
      <c r="D53" t="inlineStr">
        <is>
          <t>Insurance</t>
        </is>
      </c>
      <c r="E53" t="n">
        <v>1040000</v>
      </c>
      <c r="F53" t="n">
        <v>7798.44</v>
      </c>
      <c r="G53" t="n">
        <v>0.86</v>
      </c>
      <c r="H53" t="inlineStr">
        <is>
          <t>Large Cap</t>
        </is>
      </c>
    </row>
    <row r="54">
      <c r="B54" t="inlineStr">
        <is>
          <t>Vinati Organics Ltd</t>
        </is>
      </c>
      <c r="C54" t="inlineStr">
        <is>
          <t>INE410B01037</t>
        </is>
      </c>
      <c r="D54" t="inlineStr">
        <is>
          <t>Chemicals &amp; Petrochemicals</t>
        </is>
      </c>
      <c r="E54" t="n">
        <v>490300</v>
      </c>
      <c r="F54" t="n">
        <v>7791.85</v>
      </c>
      <c r="G54" t="n">
        <v>0.86</v>
      </c>
      <c r="H54" t="inlineStr">
        <is>
          <t>Small Cap</t>
        </is>
      </c>
    </row>
    <row r="55">
      <c r="B55" t="inlineStr">
        <is>
          <t>CCL Products (India) Ltd</t>
        </is>
      </c>
      <c r="C55" t="inlineStr">
        <is>
          <t>INE421D01022</t>
        </is>
      </c>
      <c r="D55" t="inlineStr">
        <is>
          <t>Agricultural Food &amp; Other Products</t>
        </is>
      </c>
      <c r="E55" t="n">
        <v>808294</v>
      </c>
      <c r="F55" t="n">
        <v>7631.91</v>
      </c>
      <c r="G55" t="n">
        <v>0.85</v>
      </c>
      <c r="H55" t="inlineStr">
        <is>
          <t>Small Cap</t>
        </is>
      </c>
    </row>
    <row r="56">
      <c r="B56" t="inlineStr">
        <is>
          <t>Info Edge (India) Ltd</t>
        </is>
      </c>
      <c r="C56" t="inlineStr">
        <is>
          <t>INE663F01032</t>
        </is>
      </c>
      <c r="D56" t="inlineStr">
        <is>
          <t>Retailing</t>
        </is>
      </c>
      <c r="E56" t="n">
        <v>569833</v>
      </c>
      <c r="F56" t="n">
        <v>7599.29</v>
      </c>
      <c r="G56" t="n">
        <v>0.84</v>
      </c>
      <c r="H56" t="inlineStr">
        <is>
          <t>Mid Cap</t>
        </is>
      </c>
    </row>
    <row r="57">
      <c r="B57" t="inlineStr">
        <is>
          <t>Power Finance Corporation Ltd</t>
        </is>
      </c>
      <c r="C57" t="inlineStr">
        <is>
          <t>INE134E01011</t>
        </is>
      </c>
      <c r="D57" t="inlineStr">
        <is>
          <t>Finance</t>
        </is>
      </c>
      <c r="E57" t="n">
        <v>2050000</v>
      </c>
      <c r="F57" t="n">
        <v>7285.7</v>
      </c>
      <c r="G57" t="n">
        <v>0.8100000000000001</v>
      </c>
      <c r="H57" t="inlineStr">
        <is>
          <t>Large Cap</t>
        </is>
      </c>
    </row>
    <row r="58">
      <c r="B58" t="inlineStr">
        <is>
          <t>Tech Mahindra Ltd</t>
        </is>
      </c>
      <c r="C58" t="inlineStr">
        <is>
          <t>INE669C01036</t>
        </is>
      </c>
      <c r="D58" t="inlineStr">
        <is>
          <t>IT - Software</t>
        </is>
      </c>
      <c r="E58" t="n">
        <v>455000</v>
      </c>
      <c r="F58" t="n">
        <v>7238.6</v>
      </c>
      <c r="G58" t="n">
        <v>0.8</v>
      </c>
      <c r="H58" t="inlineStr">
        <is>
          <t>Large Cap</t>
        </is>
      </c>
    </row>
    <row r="59">
      <c r="B59" t="inlineStr">
        <is>
          <t>Deepak Nitrite Ltd</t>
        </is>
      </c>
      <c r="C59" t="inlineStr">
        <is>
          <t>INE288B01029</t>
        </is>
      </c>
      <c r="D59" t="inlineStr">
        <is>
          <t>Chemicals &amp; Petrochemicals</t>
        </is>
      </c>
      <c r="E59" t="n">
        <v>410000</v>
      </c>
      <c r="F59" t="n">
        <v>7099.97</v>
      </c>
      <c r="G59" t="n">
        <v>0.79</v>
      </c>
      <c r="H59" t="inlineStr">
        <is>
          <t>Small Cap</t>
        </is>
      </c>
    </row>
    <row r="60">
      <c r="B60" t="inlineStr">
        <is>
          <t>Bajaj Auto Ltd</t>
        </is>
      </c>
      <c r="C60" t="inlineStr">
        <is>
          <t>INE917I01010</t>
        </is>
      </c>
      <c r="D60" t="inlineStr">
        <is>
          <t>Automobiles</t>
        </is>
      </c>
      <c r="E60" t="n">
        <v>72979</v>
      </c>
      <c r="F60" t="n">
        <v>6818.43</v>
      </c>
      <c r="G60" t="n">
        <v>0.76</v>
      </c>
      <c r="H60" t="inlineStr">
        <is>
          <t>Large Cap</t>
        </is>
      </c>
    </row>
    <row r="61">
      <c r="B61" t="inlineStr">
        <is>
          <t>Cholamandalam Investment and Finance Co Ltd</t>
        </is>
      </c>
      <c r="C61" t="inlineStr">
        <is>
          <t>INE121A01024</t>
        </is>
      </c>
      <c r="D61" t="inlineStr">
        <is>
          <t>Finance</t>
        </is>
      </c>
      <c r="E61" t="n">
        <v>383000</v>
      </c>
      <c r="F61" t="n">
        <v>6519.43</v>
      </c>
      <c r="G61" t="n">
        <v>0.72</v>
      </c>
      <c r="H61" t="inlineStr">
        <is>
          <t>Large Cap</t>
        </is>
      </c>
    </row>
    <row r="62">
      <c r="B62" t="inlineStr">
        <is>
          <t>Vishal Mega Mart Ltd</t>
        </is>
      </c>
      <c r="C62" t="inlineStr">
        <is>
          <t>INE01EA01019</t>
        </is>
      </c>
      <c r="D62" t="inlineStr">
        <is>
          <t>Retailing</t>
        </is>
      </c>
      <c r="E62" t="n">
        <v>4606179</v>
      </c>
      <c r="F62" t="n">
        <v>6281.45</v>
      </c>
      <c r="G62" t="n">
        <v>0.7</v>
      </c>
      <c r="H62" t="inlineStr">
        <is>
          <t>Mid Cap</t>
        </is>
      </c>
    </row>
    <row r="63">
      <c r="B63" t="inlineStr">
        <is>
          <t>Linde India Ltd</t>
        </is>
      </c>
      <c r="C63" t="inlineStr">
        <is>
          <t>INE473A01011</t>
        </is>
      </c>
      <c r="D63" t="inlineStr">
        <is>
          <t>Chemicals &amp; Petrochemicals</t>
        </is>
      </c>
      <c r="E63" t="n">
        <v>100761</v>
      </c>
      <c r="F63" t="n">
        <v>6000.82</v>
      </c>
      <c r="G63" t="n">
        <v>0.67</v>
      </c>
      <c r="H63" t="inlineStr">
        <is>
          <t>Mid Cap</t>
        </is>
      </c>
    </row>
    <row r="64">
      <c r="B64" t="inlineStr">
        <is>
          <t>Max Healthcare Institute Ltd</t>
        </is>
      </c>
      <c r="C64" t="inlineStr">
        <is>
          <t>INE027H01010</t>
        </is>
      </c>
      <c r="D64" t="inlineStr">
        <is>
          <t>Healthcare Services</t>
        </is>
      </c>
      <c r="E64" t="n">
        <v>564549</v>
      </c>
      <c r="F64" t="n">
        <v>5900.1</v>
      </c>
      <c r="G64" t="n">
        <v>0.65</v>
      </c>
      <c r="H64" t="inlineStr">
        <is>
          <t>Large Cap</t>
        </is>
      </c>
    </row>
    <row r="65">
      <c r="B65" t="inlineStr">
        <is>
          <t>K.P.R. Mill Ltd</t>
        </is>
      </c>
      <c r="C65" t="inlineStr">
        <is>
          <t>INE930H01031</t>
        </is>
      </c>
      <c r="D65" t="inlineStr">
        <is>
          <t>Textiles &amp; Apparels</t>
        </is>
      </c>
      <c r="E65" t="n">
        <v>597737</v>
      </c>
      <c r="F65" t="n">
        <v>5633.07</v>
      </c>
      <c r="G65" t="n">
        <v>0.62</v>
      </c>
      <c r="H65" t="inlineStr">
        <is>
          <t>Mid Cap</t>
        </is>
      </c>
    </row>
    <row r="66">
      <c r="B66" t="inlineStr">
        <is>
          <t>Solar Industries India Ltd</t>
        </is>
      </c>
      <c r="C66" t="inlineStr">
        <is>
          <t>INE343H01029</t>
        </is>
      </c>
      <c r="D66" t="inlineStr">
        <is>
          <t>Chemicals &amp; Petrochemicals</t>
        </is>
      </c>
      <c r="E66" t="n">
        <v>44483</v>
      </c>
      <c r="F66" t="n">
        <v>5450.06</v>
      </c>
      <c r="G66" t="n">
        <v>0.6</v>
      </c>
      <c r="H66" t="inlineStr">
        <is>
          <t>Large Cap</t>
        </is>
      </c>
    </row>
    <row r="67">
      <c r="B67" t="inlineStr">
        <is>
          <t>Crompton Greaves Consumer Electricals Ltd</t>
        </is>
      </c>
      <c r="C67" t="inlineStr">
        <is>
          <t>INE299U01018</t>
        </is>
      </c>
      <c r="D67" t="inlineStr">
        <is>
          <t>Consumer Durables</t>
        </is>
      </c>
      <c r="E67" t="n">
        <v>2150000</v>
      </c>
      <c r="F67" t="n">
        <v>5423.38</v>
      </c>
      <c r="G67" t="n">
        <v>0.6</v>
      </c>
      <c r="H67" t="inlineStr">
        <is>
          <t>Small Cap</t>
        </is>
      </c>
    </row>
    <row r="68">
      <c r="B68" t="inlineStr">
        <is>
          <t>Jyothy Labs Ltd</t>
        </is>
      </c>
      <c r="C68" t="inlineStr">
        <is>
          <t>INE668F01031</t>
        </is>
      </c>
      <c r="D68" t="inlineStr">
        <is>
          <t>Household Products</t>
        </is>
      </c>
      <c r="E68" t="n">
        <v>1896100</v>
      </c>
      <c r="F68" t="n">
        <v>5359.33</v>
      </c>
      <c r="G68" t="n">
        <v>0.59</v>
      </c>
      <c r="H68" t="inlineStr">
        <is>
          <t>Small Cap</t>
        </is>
      </c>
    </row>
    <row r="69">
      <c r="B69" t="inlineStr">
        <is>
          <t>NTPC Green Energy Ltd</t>
        </is>
      </c>
      <c r="C69" t="inlineStr">
        <is>
          <t>INE0ONG01011</t>
        </is>
      </c>
      <c r="D69" t="inlineStr">
        <is>
          <t>Power</t>
        </is>
      </c>
      <c r="E69" t="n">
        <v>5662942</v>
      </c>
      <c r="F69" t="n">
        <v>5354.31</v>
      </c>
      <c r="G69" t="n">
        <v>0.59</v>
      </c>
      <c r="H69" t="inlineStr">
        <is>
          <t>Mid Cap</t>
        </is>
      </c>
    </row>
    <row r="70">
      <c r="B70" t="inlineStr">
        <is>
          <t>Piramal Pharma Ltd</t>
        </is>
      </c>
      <c r="C70" t="inlineStr">
        <is>
          <t>INE0DK501011</t>
        </is>
      </c>
      <c r="D70" t="inlineStr">
        <is>
          <t>Pharmaceuticals &amp; Biotechnology</t>
        </is>
      </c>
      <c r="E70" t="n">
        <v>2900000</v>
      </c>
      <c r="F70" t="n">
        <v>4994.09</v>
      </c>
      <c r="G70" t="n">
        <v>0.55</v>
      </c>
      <c r="H70" t="inlineStr">
        <is>
          <t>Small Cap</t>
        </is>
      </c>
    </row>
    <row r="71">
      <c r="B71" t="inlineStr">
        <is>
          <t>Karur Vysya Bank Ltd</t>
        </is>
      </c>
      <c r="C71" t="inlineStr">
        <is>
          <t>INE036D01028</t>
        </is>
      </c>
      <c r="D71" t="inlineStr">
        <is>
          <t>Banks</t>
        </is>
      </c>
      <c r="E71" t="n">
        <v>1812897</v>
      </c>
      <c r="F71" t="n">
        <v>4782.97</v>
      </c>
      <c r="G71" t="n">
        <v>0.53</v>
      </c>
      <c r="H71" t="inlineStr">
        <is>
          <t>Small Cap</t>
        </is>
      </c>
    </row>
    <row r="72">
      <c r="B72" t="inlineStr">
        <is>
          <t>WeWork India Management Ltd</t>
        </is>
      </c>
      <c r="C72" t="inlineStr">
        <is>
          <t>INE085001019</t>
        </is>
      </c>
      <c r="D72" t="inlineStr">
        <is>
          <t>Commercial Services &amp; Supplies</t>
        </is>
      </c>
      <c r="E72" t="n">
        <v>769475</v>
      </c>
      <c r="F72" t="n">
        <v>4652.63</v>
      </c>
      <c r="G72" t="n">
        <v>0.52</v>
      </c>
      <c r="H72" t="inlineStr">
        <is>
          <t>Small Cap</t>
        </is>
      </c>
    </row>
    <row r="73">
      <c r="B73" t="inlineStr">
        <is>
          <t>Trent Ltd</t>
        </is>
      </c>
      <c r="C73" t="inlineStr">
        <is>
          <t>INE849A01020</t>
        </is>
      </c>
      <c r="D73" t="inlineStr">
        <is>
          <t>Retailing</t>
        </is>
      </c>
      <c r="E73" t="n">
        <v>107470</v>
      </c>
      <c r="F73" t="n">
        <v>4598.64</v>
      </c>
      <c r="G73" t="n">
        <v>0.51</v>
      </c>
      <c r="H73" t="inlineStr">
        <is>
          <t>Large Cap</t>
        </is>
      </c>
    </row>
    <row r="74">
      <c r="B74" t="inlineStr">
        <is>
          <t>ICICI Prudential Asset Management Co Ltd</t>
        </is>
      </c>
      <c r="C74" t="inlineStr">
        <is>
          <t>INE346A01027</t>
        </is>
      </c>
      <c r="D74" t="inlineStr">
        <is>
          <t>Capital Markets</t>
        </is>
      </c>
      <c r="E74" t="n">
        <v>170108</v>
      </c>
      <c r="F74" t="n">
        <v>4526.74</v>
      </c>
      <c r="G74" t="n">
        <v>0.5</v>
      </c>
      <c r="H74" t="inlineStr">
        <is>
          <t>Large Cap</t>
        </is>
      </c>
    </row>
    <row r="75">
      <c r="B75" t="inlineStr">
        <is>
          <t>Britannia Industries Ltd</t>
        </is>
      </c>
      <c r="C75" t="inlineStr">
        <is>
          <t>INE216A01030</t>
        </is>
      </c>
      <c r="D75" t="inlineStr">
        <is>
          <t>Food Products</t>
        </is>
      </c>
      <c r="E75" t="n">
        <v>71151</v>
      </c>
      <c r="F75" t="n">
        <v>4291.12</v>
      </c>
      <c r="G75" t="n">
        <v>0.48</v>
      </c>
      <c r="H75" t="inlineStr">
        <is>
          <t>Large Cap</t>
        </is>
      </c>
    </row>
    <row r="76">
      <c r="B76" t="inlineStr">
        <is>
          <t>Jubilant Foodworks Ltd</t>
        </is>
      </c>
      <c r="C76" t="inlineStr">
        <is>
          <t>INE797F01020</t>
        </is>
      </c>
      <c r="D76" t="inlineStr">
        <is>
          <t>Leisure Services</t>
        </is>
      </c>
      <c r="E76" t="n">
        <v>310000</v>
      </c>
      <c r="F76" t="n">
        <v>1731.66</v>
      </c>
      <c r="G76" t="n">
        <v>0.19</v>
      </c>
      <c r="H76" t="inlineStr">
        <is>
          <t>Mid Cap</t>
        </is>
      </c>
    </row>
    <row r="77">
      <c r="B77" t="inlineStr">
        <is>
          <t>Sub Total</t>
        </is>
      </c>
      <c r="F77">
        <f>SUM(F7:F76)</f>
        <v/>
      </c>
      <c r="G77">
        <f>SUM(G7:G76)</f>
        <v/>
      </c>
    </row>
    <row r="78">
      <c r="B78" t="inlineStr">
        <is>
          <t>Total</t>
        </is>
      </c>
      <c r="F78">
        <f>F77</f>
        <v/>
      </c>
      <c r="G78">
        <f>G77</f>
        <v/>
      </c>
    </row>
    <row r="79">
      <c r="B79" t="inlineStr">
        <is>
          <t>Debt Instruments</t>
        </is>
      </c>
    </row>
    <row r="80">
      <c r="B80" t="inlineStr">
        <is>
          <t>(a) Listed / awaiting listing on Stock Exchanges</t>
        </is>
      </c>
    </row>
    <row r="81">
      <c r="B81" t="inlineStr">
        <is>
          <t>6.00% TVS Motor Co Ltd NCRPS **</t>
        </is>
      </c>
      <c r="C81" t="inlineStr">
        <is>
          <t>INE494B04019</t>
        </is>
      </c>
      <c r="D81" t="inlineStr">
        <is>
          <t>CARE A1+</t>
        </is>
      </c>
      <c r="E81" t="n">
        <v>1340000</v>
      </c>
      <c r="F81" t="n">
        <v>136.49</v>
      </c>
      <c r="G81" t="n">
        <v>0.02</v>
      </c>
      <c r="I81" t="n">
        <v>6.105</v>
      </c>
    </row>
    <row r="82">
      <c r="B82" t="inlineStr">
        <is>
          <t>Sub Total</t>
        </is>
      </c>
      <c r="F82" t="n">
        <v>136.49</v>
      </c>
      <c r="G82" t="n">
        <v>0.02</v>
      </c>
    </row>
    <row r="83">
      <c r="B83" t="inlineStr">
        <is>
          <t>Total</t>
        </is>
      </c>
      <c r="F83" t="n">
        <v>136.49</v>
      </c>
      <c r="G83" t="n">
        <v>0.02</v>
      </c>
    </row>
    <row r="84">
      <c r="B84" t="inlineStr">
        <is>
          <t>TREPS</t>
        </is>
      </c>
    </row>
    <row r="85">
      <c r="B85" t="inlineStr">
        <is>
          <t>TREPS</t>
        </is>
      </c>
      <c r="F85" t="n">
        <v>28309.48</v>
      </c>
      <c r="G85" t="n">
        <v>3.14</v>
      </c>
    </row>
    <row r="86">
      <c r="B86" t="inlineStr">
        <is>
          <t>Sub Total</t>
        </is>
      </c>
      <c r="F86">
        <f>SUM(F84:F85)</f>
        <v/>
      </c>
      <c r="G86">
        <f>SUM(G84:G85)</f>
        <v/>
      </c>
    </row>
    <row r="87">
      <c r="B87" t="inlineStr">
        <is>
          <t>Total</t>
        </is>
      </c>
      <c r="F87">
        <f>F86</f>
        <v/>
      </c>
      <c r="G87">
        <f>G86</f>
        <v/>
      </c>
    </row>
    <row r="88">
      <c r="B88" t="inlineStr">
        <is>
          <t>Net Receivables / (Payables)</t>
        </is>
      </c>
      <c r="F88">
        <f>F89-(+F78+F87+F83)</f>
        <v/>
      </c>
      <c r="G88">
        <f>G89-(+G78+G87+G83)</f>
        <v/>
      </c>
    </row>
    <row r="89">
      <c r="B89" t="inlineStr">
        <is>
          <t>Grand Total</t>
        </is>
      </c>
      <c r="F89" t="n">
        <v>902160.79</v>
      </c>
      <c r="G89" t="n">
        <v>100</v>
      </c>
    </row>
    <row r="92">
      <c r="B92" t="inlineStr">
        <is>
          <t>Residual Maturity</t>
        </is>
      </c>
      <c r="C92" t="inlineStr">
        <is>
          <t>0.0027 Years</t>
        </is>
      </c>
    </row>
    <row r="94">
      <c r="B94" t="inlineStr">
        <is>
          <t>** Non Traded Security</t>
        </is>
      </c>
    </row>
    <row r="96">
      <c r="B96" t="inlineStr">
        <is>
          <t>Please refer the below link for the performance of the Schemes managed by Canara Robeco Mutual Fund</t>
        </is>
      </c>
    </row>
    <row r="98">
      <c r="B98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N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FOCUSED FUND</t>
        </is>
      </c>
    </row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ICICI Bank Ltd</t>
        </is>
      </c>
      <c r="C7" t="inlineStr">
        <is>
          <t>INE090A01021</t>
        </is>
      </c>
      <c r="D7" t="inlineStr">
        <is>
          <t>Banks</t>
        </is>
      </c>
      <c r="E7" t="n">
        <v>1715000</v>
      </c>
      <c r="F7" t="n">
        <v>23030.74</v>
      </c>
      <c r="G7" t="n">
        <v>8.029999999999999</v>
      </c>
      <c r="H7" t="inlineStr">
        <is>
          <t>Large Cap</t>
        </is>
      </c>
    </row>
    <row r="8">
      <c r="B8" t="inlineStr">
        <is>
          <t>HDFC Bank Ltd</t>
        </is>
      </c>
      <c r="C8" t="inlineStr">
        <is>
          <t>INE040A01034</t>
        </is>
      </c>
      <c r="D8" t="inlineStr">
        <is>
          <t>Banks</t>
        </is>
      </c>
      <c r="E8" t="n">
        <v>2255000</v>
      </c>
      <c r="F8" t="n">
        <v>22351.56</v>
      </c>
      <c r="G8" t="n">
        <v>7.79</v>
      </c>
      <c r="H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1029800</v>
      </c>
      <c r="F9" t="n">
        <v>16171.98</v>
      </c>
      <c r="G9" t="n">
        <v>5.64</v>
      </c>
      <c r="H9" t="inlineStr">
        <is>
          <t>Large Cap</t>
        </is>
      </c>
    </row>
    <row r="10">
      <c r="B10" t="inlineStr">
        <is>
          <t>Infosys Ltd</t>
        </is>
      </c>
      <c r="C10" t="inlineStr">
        <is>
          <t>INE009A01021</t>
        </is>
      </c>
      <c r="D10" t="inlineStr">
        <is>
          <t>IT - Software</t>
        </is>
      </c>
      <c r="E10" t="n">
        <v>817455</v>
      </c>
      <c r="F10" t="n">
        <v>13205.17</v>
      </c>
      <c r="G10" t="n">
        <v>4.6</v>
      </c>
      <c r="H10" t="inlineStr">
        <is>
          <t>Large Cap</t>
        </is>
      </c>
    </row>
    <row r="11">
      <c r="B11" t="inlineStr">
        <is>
          <t>Larsen &amp; Toubro Ltd</t>
        </is>
      </c>
      <c r="C11" t="inlineStr">
        <is>
          <t>INE018A01030</t>
        </is>
      </c>
      <c r="D11" t="inlineStr">
        <is>
          <t>Construction</t>
        </is>
      </c>
      <c r="E11" t="n">
        <v>319261</v>
      </c>
      <c r="F11" t="n">
        <v>13037.02</v>
      </c>
      <c r="G11" t="n">
        <v>4.54</v>
      </c>
      <c r="H11" t="inlineStr">
        <is>
          <t>Large Cap</t>
        </is>
      </c>
    </row>
    <row r="12">
      <c r="B12" t="inlineStr">
        <is>
          <t>Bajaj Finance Ltd</t>
        </is>
      </c>
      <c r="C12" t="inlineStr">
        <is>
          <t>INE296A01032</t>
        </is>
      </c>
      <c r="D12" t="inlineStr">
        <is>
          <t>Finance</t>
        </is>
      </c>
      <c r="E12" t="n">
        <v>1185000</v>
      </c>
      <c r="F12" t="n">
        <v>11693.58</v>
      </c>
      <c r="G12" t="n">
        <v>4.08</v>
      </c>
      <c r="H12" t="inlineStr">
        <is>
          <t>Large Cap</t>
        </is>
      </c>
    </row>
    <row r="13">
      <c r="B13" t="inlineStr">
        <is>
          <t>TVS Motor Co Ltd</t>
        </is>
      </c>
      <c r="C13" t="inlineStr">
        <is>
          <t>INE494B01023</t>
        </is>
      </c>
      <c r="D13" t="inlineStr">
        <is>
          <t>Automobiles</t>
        </is>
      </c>
      <c r="E13" t="n">
        <v>310383</v>
      </c>
      <c r="F13" t="n">
        <v>11545.63</v>
      </c>
      <c r="G13" t="n">
        <v>4.02</v>
      </c>
      <c r="H13" t="inlineStr">
        <is>
          <t>Large Cap</t>
        </is>
      </c>
      <c r="L13" t="inlineStr">
        <is>
          <t>Benchmark: BSE 500 TRI</t>
        </is>
      </c>
    </row>
    <row r="14">
      <c r="B14" t="inlineStr">
        <is>
          <t>Bharti Airtel Ltd</t>
        </is>
      </c>
      <c r="C14" t="inlineStr">
        <is>
          <t>INE397D01024</t>
        </is>
      </c>
      <c r="D14" t="inlineStr">
        <is>
          <t>Telecom - Services</t>
        </is>
      </c>
      <c r="E14" t="n">
        <v>539800</v>
      </c>
      <c r="F14" t="n">
        <v>11366.03</v>
      </c>
      <c r="G14" t="n">
        <v>3.96</v>
      </c>
      <c r="H14" t="inlineStr">
        <is>
          <t>Large Cap</t>
        </is>
      </c>
    </row>
    <row r="15">
      <c r="B15" t="inlineStr">
        <is>
          <t>Divi's Laboratories Ltd</t>
        </is>
      </c>
      <c r="C15" t="inlineStr">
        <is>
          <t>INE361B01024</t>
        </is>
      </c>
      <c r="D15" t="inlineStr">
        <is>
          <t>Pharmaceuticals &amp; Biotechnology</t>
        </is>
      </c>
      <c r="E15" t="n">
        <v>162500</v>
      </c>
      <c r="F15" t="n">
        <v>10387.81</v>
      </c>
      <c r="G15" t="n">
        <v>3.62</v>
      </c>
      <c r="H15" t="inlineStr">
        <is>
          <t>Large Cap</t>
        </is>
      </c>
    </row>
    <row r="16">
      <c r="B16" t="inlineStr">
        <is>
          <t>State Bank of India</t>
        </is>
      </c>
      <c r="C16" t="inlineStr">
        <is>
          <t>INE062A01020</t>
        </is>
      </c>
      <c r="D16" t="inlineStr">
        <is>
          <t>Banks</t>
        </is>
      </c>
      <c r="E16" t="n">
        <v>1031500</v>
      </c>
      <c r="F16" t="n">
        <v>10131.39</v>
      </c>
      <c r="G16" t="n">
        <v>3.53</v>
      </c>
      <c r="H16" t="inlineStr">
        <is>
          <t>Large Cap</t>
        </is>
      </c>
    </row>
    <row r="17">
      <c r="B17" t="inlineStr">
        <is>
          <t>Eternal Ltd</t>
        </is>
      </c>
      <c r="C17" t="inlineStr">
        <is>
          <t>INE758T01015</t>
        </is>
      </c>
      <c r="D17" t="inlineStr">
        <is>
          <t>Retailing</t>
        </is>
      </c>
      <c r="E17" t="n">
        <v>3400000</v>
      </c>
      <c r="F17" t="n">
        <v>9453.700000000001</v>
      </c>
      <c r="G17" t="n">
        <v>3.3</v>
      </c>
      <c r="H17" t="inlineStr">
        <is>
          <t>Large Cap</t>
        </is>
      </c>
    </row>
    <row r="18">
      <c r="B18" t="inlineStr">
        <is>
          <t>SBI Life Insurance Co Ltd</t>
        </is>
      </c>
      <c r="C18" t="inlineStr">
        <is>
          <t>INE123W01016</t>
        </is>
      </c>
      <c r="D18" t="inlineStr">
        <is>
          <t>Insurance</t>
        </is>
      </c>
      <c r="E18" t="n">
        <v>425443</v>
      </c>
      <c r="F18" t="n">
        <v>8657.34</v>
      </c>
      <c r="G18" t="n">
        <v>3.02</v>
      </c>
      <c r="H18" t="inlineStr">
        <is>
          <t>Large Cap</t>
        </is>
      </c>
    </row>
    <row r="19">
      <c r="B19" t="inlineStr">
        <is>
          <t>Max Healthcare Institute Ltd</t>
        </is>
      </c>
      <c r="C19" t="inlineStr">
        <is>
          <t>INE027H01010</t>
        </is>
      </c>
      <c r="D19" t="inlineStr">
        <is>
          <t>Healthcare Services</t>
        </is>
      </c>
      <c r="E19" t="n">
        <v>820059</v>
      </c>
      <c r="F19" t="n">
        <v>8570.440000000001</v>
      </c>
      <c r="G19" t="n">
        <v>2.99</v>
      </c>
      <c r="H19" t="inlineStr">
        <is>
          <t>Large Cap</t>
        </is>
      </c>
    </row>
    <row r="20">
      <c r="B20" t="inlineStr">
        <is>
          <t>Mahindra &amp; Mahindra Ltd</t>
        </is>
      </c>
      <c r="C20" t="inlineStr">
        <is>
          <t>INE101A01026</t>
        </is>
      </c>
      <c r="D20" t="inlineStr">
        <is>
          <t>Automobiles</t>
        </is>
      </c>
      <c r="E20" t="n">
        <v>225500</v>
      </c>
      <c r="F20" t="n">
        <v>8364.25</v>
      </c>
      <c r="G20" t="n">
        <v>2.92</v>
      </c>
      <c r="H20" t="inlineStr">
        <is>
          <t>Large Cap</t>
        </is>
      </c>
    </row>
    <row r="21">
      <c r="B21" t="inlineStr">
        <is>
          <t>Bharat Electronics Ltd</t>
        </is>
      </c>
      <c r="C21" t="inlineStr">
        <is>
          <t>INE263A01024</t>
        </is>
      </c>
      <c r="D21" t="inlineStr">
        <is>
          <t>Aerospace &amp; Defense</t>
        </is>
      </c>
      <c r="E21" t="n">
        <v>2005307</v>
      </c>
      <c r="F21" t="n">
        <v>8013.21</v>
      </c>
      <c r="G21" t="n">
        <v>2.79</v>
      </c>
      <c r="H21" t="inlineStr">
        <is>
          <t>Large Cap</t>
        </is>
      </c>
    </row>
    <row r="22">
      <c r="B22" t="inlineStr">
        <is>
          <t>Torrent Pharmaceuticals Ltd</t>
        </is>
      </c>
      <c r="C22" t="inlineStr">
        <is>
          <t>INE685A01028</t>
        </is>
      </c>
      <c r="D22" t="inlineStr">
        <is>
          <t>Pharmaceuticals &amp; Biotechnology</t>
        </is>
      </c>
      <c r="E22" t="n">
        <v>195569</v>
      </c>
      <c r="F22" t="n">
        <v>7529.41</v>
      </c>
      <c r="G22" t="n">
        <v>2.62</v>
      </c>
      <c r="H22" t="inlineStr">
        <is>
          <t>Large Cap</t>
        </is>
      </c>
    </row>
    <row r="23">
      <c r="B23" t="inlineStr">
        <is>
          <t>Varun Beverages Ltd</t>
        </is>
      </c>
      <c r="C23" t="inlineStr">
        <is>
          <t>INE200M01039</t>
        </is>
      </c>
      <c r="D23" t="inlineStr">
        <is>
          <t>Beverages</t>
        </is>
      </c>
      <c r="E23" t="n">
        <v>1511542</v>
      </c>
      <c r="F23" t="n">
        <v>7404.29</v>
      </c>
      <c r="G23" t="n">
        <v>2.58</v>
      </c>
      <c r="H23" t="inlineStr">
        <is>
          <t>Large Cap</t>
        </is>
      </c>
    </row>
    <row r="24">
      <c r="B24" t="inlineStr">
        <is>
          <t>Ge Vernova T&amp;D India Ltd</t>
        </is>
      </c>
      <c r="C24" t="inlineStr">
        <is>
          <t>INE200A01026</t>
        </is>
      </c>
      <c r="D24" t="inlineStr">
        <is>
          <t>Electrical Equipment</t>
        </is>
      </c>
      <c r="E24" t="n">
        <v>235672</v>
      </c>
      <c r="F24" t="n">
        <v>7382.43</v>
      </c>
      <c r="G24" t="n">
        <v>2.57</v>
      </c>
      <c r="H24" t="inlineStr">
        <is>
          <t>Mid Cap</t>
        </is>
      </c>
    </row>
    <row r="25">
      <c r="B25" t="inlineStr">
        <is>
          <t>Axis Bank Ltd</t>
        </is>
      </c>
      <c r="C25" t="inlineStr">
        <is>
          <t>INE238A01034</t>
        </is>
      </c>
      <c r="D25" t="inlineStr">
        <is>
          <t>Banks</t>
        </is>
      </c>
      <c r="E25" t="n">
        <v>570000</v>
      </c>
      <c r="F25" t="n">
        <v>7235.58</v>
      </c>
      <c r="G25" t="n">
        <v>2.52</v>
      </c>
      <c r="H25" t="inlineStr">
        <is>
          <t>Large Cap</t>
        </is>
      </c>
    </row>
    <row r="26">
      <c r="B26" t="inlineStr">
        <is>
          <t>Ultratech Cement Ltd</t>
        </is>
      </c>
      <c r="C26" t="inlineStr">
        <is>
          <t>INE481G01011</t>
        </is>
      </c>
      <c r="D26" t="inlineStr">
        <is>
          <t>Cement &amp; Cement Products</t>
        </is>
      </c>
      <c r="E26" t="n">
        <v>61000</v>
      </c>
      <c r="F26" t="n">
        <v>7188.24</v>
      </c>
      <c r="G26" t="n">
        <v>2.51</v>
      </c>
      <c r="H26" t="inlineStr">
        <is>
          <t>Large Cap</t>
        </is>
      </c>
    </row>
    <row r="27">
      <c r="B27" t="inlineStr">
        <is>
          <t>Interglobe Aviation Ltd</t>
        </is>
      </c>
      <c r="C27" t="inlineStr">
        <is>
          <t>INE646L01027</t>
        </is>
      </c>
      <c r="D27" t="inlineStr">
        <is>
          <t>Transport Services</t>
        </is>
      </c>
      <c r="E27" t="n">
        <v>138760</v>
      </c>
      <c r="F27" t="n">
        <v>7020.56</v>
      </c>
      <c r="G27" t="n">
        <v>2.45</v>
      </c>
      <c r="H27" t="inlineStr">
        <is>
          <t>Large Cap</t>
        </is>
      </c>
    </row>
    <row r="28">
      <c r="B28" t="inlineStr">
        <is>
          <t>Uno Minda Ltd</t>
        </is>
      </c>
      <c r="C28" t="inlineStr">
        <is>
          <t>INE405E01023</t>
        </is>
      </c>
      <c r="D28" t="inlineStr">
        <is>
          <t>Auto Components</t>
        </is>
      </c>
      <c r="E28" t="n">
        <v>535351</v>
      </c>
      <c r="F28" t="n">
        <v>6883.54</v>
      </c>
      <c r="G28" t="n">
        <v>2.4</v>
      </c>
      <c r="H28" t="inlineStr">
        <is>
          <t>Mid Cap</t>
        </is>
      </c>
    </row>
    <row r="29">
      <c r="B29" t="inlineStr">
        <is>
          <t>Indian Hotels Co Ltd</t>
        </is>
      </c>
      <c r="C29" t="inlineStr">
        <is>
          <t>INE053A01029</t>
        </is>
      </c>
      <c r="D29" t="inlineStr">
        <is>
          <t>Leisure Services</t>
        </is>
      </c>
      <c r="E29" t="n">
        <v>929372</v>
      </c>
      <c r="F29" t="n">
        <v>6866.67</v>
      </c>
      <c r="G29" t="n">
        <v>2.39</v>
      </c>
      <c r="H29" t="inlineStr">
        <is>
          <t>Large Cap</t>
        </is>
      </c>
    </row>
    <row r="30">
      <c r="B30" t="inlineStr">
        <is>
          <t>Info Edge (India) Ltd</t>
        </is>
      </c>
      <c r="C30" t="inlineStr">
        <is>
          <t>INE663F01032</t>
        </is>
      </c>
      <c r="D30" t="inlineStr">
        <is>
          <t>Retailing</t>
        </is>
      </c>
      <c r="E30" t="n">
        <v>424124</v>
      </c>
      <c r="F30" t="n">
        <v>5656.12</v>
      </c>
      <c r="G30" t="n">
        <v>1.97</v>
      </c>
      <c r="H30" t="inlineStr">
        <is>
          <t>Mid Cap</t>
        </is>
      </c>
    </row>
    <row r="31">
      <c r="B31" t="inlineStr">
        <is>
          <t>Vishal Mega Mart Ltd</t>
        </is>
      </c>
      <c r="C31" t="inlineStr">
        <is>
          <t>INE01EA01019</t>
        </is>
      </c>
      <c r="D31" t="inlineStr">
        <is>
          <t>Retailing</t>
        </is>
      </c>
      <c r="E31" t="n">
        <v>3933319</v>
      </c>
      <c r="F31" t="n">
        <v>5363.87</v>
      </c>
      <c r="G31" t="n">
        <v>1.87</v>
      </c>
      <c r="H31" t="inlineStr">
        <is>
          <t>Mid Cap</t>
        </is>
      </c>
    </row>
    <row r="32">
      <c r="B32" t="inlineStr">
        <is>
          <t>Mankind Pharma Ltd</t>
        </is>
      </c>
      <c r="C32" t="inlineStr">
        <is>
          <t>INE634S01028</t>
        </is>
      </c>
      <c r="D32" t="inlineStr">
        <is>
          <t>Pharmaceuticals &amp; Biotechnology</t>
        </is>
      </c>
      <c r="E32" t="n">
        <v>243306</v>
      </c>
      <c r="F32" t="n">
        <v>5344.22</v>
      </c>
      <c r="G32" t="n">
        <v>1.86</v>
      </c>
      <c r="H32" t="inlineStr">
        <is>
          <t>Mid Cap</t>
        </is>
      </c>
    </row>
    <row r="33">
      <c r="B33" t="inlineStr">
        <is>
          <t>Aditya Birla Real Estate Ltd</t>
        </is>
      </c>
      <c r="C33" t="inlineStr">
        <is>
          <t>INE055A01016</t>
        </is>
      </c>
      <c r="D33" t="inlineStr">
        <is>
          <t>Paper, Forest &amp; Jute Products</t>
        </is>
      </c>
      <c r="E33" t="n">
        <v>311428</v>
      </c>
      <c r="F33" t="n">
        <v>5215.8</v>
      </c>
      <c r="G33" t="n">
        <v>1.82</v>
      </c>
      <c r="H33" t="inlineStr">
        <is>
          <t>Small Cap</t>
        </is>
      </c>
    </row>
    <row r="34">
      <c r="B34" t="inlineStr">
        <is>
          <t>Trent Ltd</t>
        </is>
      </c>
      <c r="C34" t="inlineStr">
        <is>
          <t>INE849A01020</t>
        </is>
      </c>
      <c r="D34" t="inlineStr">
        <is>
          <t>Retailing</t>
        </is>
      </c>
      <c r="E34" t="n">
        <v>110998</v>
      </c>
      <c r="F34" t="n">
        <v>4749.6</v>
      </c>
      <c r="G34" t="n">
        <v>1.66</v>
      </c>
      <c r="H34" t="inlineStr">
        <is>
          <t>Large Cap</t>
        </is>
      </c>
    </row>
    <row r="35">
      <c r="B35" t="inlineStr">
        <is>
          <t>CRISIL Ltd</t>
        </is>
      </c>
      <c r="C35" t="inlineStr">
        <is>
          <t>INE007A01025</t>
        </is>
      </c>
      <c r="D35" t="inlineStr">
        <is>
          <t>Finance</t>
        </is>
      </c>
      <c r="E35" t="n">
        <v>97037</v>
      </c>
      <c r="F35" t="n">
        <v>4193.55</v>
      </c>
      <c r="G35" t="n">
        <v>1.46</v>
      </c>
      <c r="H35" t="inlineStr">
        <is>
          <t>Mid Cap</t>
        </is>
      </c>
    </row>
    <row r="36">
      <c r="B36" t="inlineStr">
        <is>
          <t>Dr. Agarwals Health Care Ltd</t>
        </is>
      </c>
      <c r="C36" t="inlineStr">
        <is>
          <t>INE943P01029</t>
        </is>
      </c>
      <c r="D36" t="inlineStr">
        <is>
          <t>Healthcare Services</t>
        </is>
      </c>
      <c r="E36" t="n">
        <v>487159</v>
      </c>
      <c r="F36" t="n">
        <v>2476.47</v>
      </c>
      <c r="G36" t="n">
        <v>0.86</v>
      </c>
      <c r="H36" t="inlineStr">
        <is>
          <t>Small Cap</t>
        </is>
      </c>
    </row>
    <row r="37">
      <c r="B37" t="inlineStr">
        <is>
          <t>Sub Total</t>
        </is>
      </c>
      <c r="F37">
        <f>SUM(F7:F36)</f>
        <v/>
      </c>
      <c r="G37">
        <f>SUM(G7:G36)</f>
        <v/>
      </c>
    </row>
    <row r="38">
      <c r="B38" t="inlineStr">
        <is>
          <t>Total</t>
        </is>
      </c>
      <c r="F38">
        <f>F37</f>
        <v/>
      </c>
      <c r="G38">
        <f>G37</f>
        <v/>
      </c>
    </row>
    <row r="39">
      <c r="B39" t="inlineStr">
        <is>
          <t>Debt Instruments</t>
        </is>
      </c>
    </row>
    <row r="40">
      <c r="B40" t="inlineStr">
        <is>
          <t>(a) Listed / awaiting listing on Stock Exchanges</t>
        </is>
      </c>
    </row>
    <row r="41">
      <c r="B41" t="inlineStr">
        <is>
          <t>6.00% TVS Motor Co Ltd NCRPS **</t>
        </is>
      </c>
      <c r="C41" t="inlineStr">
        <is>
          <t>INE494B04019</t>
        </is>
      </c>
      <c r="D41" t="inlineStr">
        <is>
          <t>CARE A1+</t>
        </is>
      </c>
      <c r="E41" t="n">
        <v>1493532</v>
      </c>
      <c r="F41" t="n">
        <v>152.13</v>
      </c>
      <c r="G41" t="n">
        <v>0.05</v>
      </c>
      <c r="I41" t="n">
        <v>6.105</v>
      </c>
    </row>
    <row r="42">
      <c r="B42" t="inlineStr">
        <is>
          <t>Sub Total</t>
        </is>
      </c>
      <c r="F42" t="n">
        <v>152.13</v>
      </c>
      <c r="G42" t="n">
        <v>0.05</v>
      </c>
    </row>
    <row r="43">
      <c r="B43" t="inlineStr">
        <is>
          <t>Total</t>
        </is>
      </c>
      <c r="F43" t="n">
        <v>152.13</v>
      </c>
      <c r="G43" t="n">
        <v>0.05</v>
      </c>
    </row>
    <row r="44">
      <c r="B44" t="inlineStr">
        <is>
          <t>TREPS</t>
        </is>
      </c>
    </row>
    <row r="45">
      <c r="B45" t="inlineStr">
        <is>
          <t>TREPS</t>
        </is>
      </c>
      <c r="F45" t="n">
        <v>10703.11</v>
      </c>
      <c r="G45" t="n">
        <v>3.73</v>
      </c>
    </row>
    <row r="46">
      <c r="B46" t="inlineStr">
        <is>
          <t>Sub Total</t>
        </is>
      </c>
      <c r="F46">
        <f>SUM(F44:F45)</f>
        <v/>
      </c>
      <c r="G46">
        <f>SUM(G44:G45)</f>
        <v/>
      </c>
    </row>
    <row r="47">
      <c r="B47" t="inlineStr">
        <is>
          <t>Total</t>
        </is>
      </c>
      <c r="F47">
        <f>F46</f>
        <v/>
      </c>
      <c r="G47">
        <f>G46</f>
        <v/>
      </c>
    </row>
    <row r="48">
      <c r="B48" t="inlineStr">
        <is>
          <t>Net Receivables / (Payables)</t>
        </is>
      </c>
      <c r="F48">
        <f>F49-(+F38+F47+F43)</f>
        <v/>
      </c>
      <c r="G48">
        <f>G49-(+G38+G47+G43)</f>
        <v/>
      </c>
    </row>
    <row r="49">
      <c r="B49" t="inlineStr">
        <is>
          <t>Grand Total</t>
        </is>
      </c>
      <c r="F49" t="n">
        <v>286905.13</v>
      </c>
      <c r="G49" t="n">
        <v>100</v>
      </c>
    </row>
    <row r="52">
      <c r="B52" t="inlineStr">
        <is>
          <t>Residual Maturity</t>
        </is>
      </c>
      <c r="C52" t="inlineStr">
        <is>
          <t>0.0027 Years</t>
        </is>
      </c>
    </row>
    <row r="54">
      <c r="B54" t="inlineStr">
        <is>
          <t>** Non Traded Security</t>
        </is>
      </c>
    </row>
    <row r="56">
      <c r="B56" t="inlineStr">
        <is>
          <t>Please refer the below link for the performance of the Schemes managed by Canara Robeco Mutual Fund</t>
        </is>
      </c>
    </row>
    <row r="58">
      <c r="B58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S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SAVINGS FUND</t>
        </is>
      </c>
    </row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  <c r="P4" t="inlineStr">
        <is>
          <t>Potential Risk Class (PRC) Matrix</t>
        </is>
      </c>
    </row>
    <row r="5">
      <c r="B5" t="inlineStr">
        <is>
          <t>Debt Instruments</t>
        </is>
      </c>
      <c r="K5" t="e">
        <v>#VALUE!</v>
      </c>
      <c r="L5" t="e">
        <v>#VALUE!</v>
      </c>
      <c r="M5" t="e">
        <v>#VALUE!</v>
      </c>
      <c r="N5" t="e">
        <v>#VALUE!</v>
      </c>
      <c r="P5" t="inlineStr">
        <is>
          <t>Credit Risk →</t>
        </is>
      </c>
      <c r="Q5" t="inlineStr">
        <is>
          <t>Relatively Low (Class A)</t>
        </is>
      </c>
      <c r="R5" t="inlineStr">
        <is>
          <t>Moderate (Class B)</t>
        </is>
      </c>
      <c r="S5" t="inlineStr">
        <is>
          <t>Relatively High (Class C)</t>
        </is>
      </c>
    </row>
    <row r="6">
      <c r="B6" t="inlineStr">
        <is>
          <t>(a) Listed / awaiting listing on Stock Exchanges</t>
        </is>
      </c>
      <c r="P6" t="inlineStr">
        <is>
          <t>Interest Rate Risk ↓</t>
        </is>
      </c>
    </row>
    <row r="7">
      <c r="B7" t="inlineStr">
        <is>
          <t>7.70% REC Ltd (31/08/2026)</t>
        </is>
      </c>
      <c r="C7" t="inlineStr">
        <is>
          <t>INE020B08FC8</t>
        </is>
      </c>
      <c r="D7" t="inlineStr">
        <is>
          <t>ICRA AAA</t>
        </is>
      </c>
      <c r="E7" t="n">
        <v>11000</v>
      </c>
      <c r="F7" t="n">
        <v>11050.49</v>
      </c>
      <c r="G7" t="n">
        <v>8.43</v>
      </c>
      <c r="H7" t="n">
        <v>6.8</v>
      </c>
      <c r="P7" t="inlineStr">
        <is>
          <t>Relatively Low (Class I)</t>
        </is>
      </c>
      <c r="R7" t="inlineStr">
        <is>
          <t>B-I</t>
        </is>
      </c>
    </row>
    <row r="8">
      <c r="B8" t="inlineStr">
        <is>
          <t>7.13% Power Finance Corporation Ltd (15/07/2026) **</t>
        </is>
      </c>
      <c r="C8" t="inlineStr">
        <is>
          <t>INE134E08LP1</t>
        </is>
      </c>
      <c r="D8" t="inlineStr">
        <is>
          <t>CRISIL AAA</t>
        </is>
      </c>
      <c r="E8" t="n">
        <v>750</v>
      </c>
      <c r="F8" t="n">
        <v>7508.27</v>
      </c>
      <c r="G8" t="n">
        <v>5.73</v>
      </c>
      <c r="H8" t="n">
        <v>6.75</v>
      </c>
    </row>
    <row r="9">
      <c r="B9" t="inlineStr">
        <is>
          <t>7.65% HDB Financial Services Ltd (10/09/2027)</t>
        </is>
      </c>
      <c r="C9" t="inlineStr">
        <is>
          <t>INE756I07EJ2</t>
        </is>
      </c>
      <c r="D9" t="inlineStr">
        <is>
          <t>CRISIL AAA</t>
        </is>
      </c>
      <c r="E9" t="n">
        <v>700</v>
      </c>
      <c r="F9" t="n">
        <v>7049.04</v>
      </c>
      <c r="G9" t="n">
        <v>5.38</v>
      </c>
      <c r="H9" t="n">
        <v>7.16</v>
      </c>
      <c r="P9" t="inlineStr">
        <is>
          <t>Moderate 
(Class II)</t>
        </is>
      </c>
    </row>
    <row r="10">
      <c r="B10" t="inlineStr">
        <is>
          <t>7.80% National Bank For Agriculture &amp; Rural Development (15/03/2027)</t>
        </is>
      </c>
      <c r="C10" t="inlineStr">
        <is>
          <t>INE261F08EF5</t>
        </is>
      </c>
      <c r="D10" t="inlineStr">
        <is>
          <t>ICRA AAA</t>
        </is>
      </c>
      <c r="E10" t="n">
        <v>5000</v>
      </c>
      <c r="F10" t="n">
        <v>5053.75</v>
      </c>
      <c r="G10" t="n">
        <v>3.86</v>
      </c>
      <c r="H10" t="n">
        <v>6.8</v>
      </c>
    </row>
    <row r="11">
      <c r="B11" t="inlineStr">
        <is>
          <t>6.90% LIC Housing Finance Ltd (17/09/2027) **</t>
        </is>
      </c>
      <c r="C11" t="inlineStr">
        <is>
          <t>INE115A07RH4</t>
        </is>
      </c>
      <c r="D11" t="inlineStr">
        <is>
          <t>CRISIL AAA</t>
        </is>
      </c>
      <c r="E11" t="n">
        <v>5000</v>
      </c>
      <c r="F11" t="n">
        <v>4991.77</v>
      </c>
      <c r="G11" t="n">
        <v>3.81</v>
      </c>
      <c r="H11" t="n">
        <v>6.98</v>
      </c>
      <c r="P11" t="inlineStr">
        <is>
          <t>Relatively High (Class III)</t>
        </is>
      </c>
    </row>
    <row r="12">
      <c r="B12" t="inlineStr">
        <is>
          <t>7.05% Kotak Mahindra Prime Ltd (10/04/2028) **</t>
        </is>
      </c>
      <c r="C12" t="inlineStr">
        <is>
          <t>INE916DA7TB2</t>
        </is>
      </c>
      <c r="D12" t="inlineStr">
        <is>
          <t>CRISIL AAA</t>
        </is>
      </c>
      <c r="E12" t="n">
        <v>5000</v>
      </c>
      <c r="F12" t="n">
        <v>4980.53</v>
      </c>
      <c r="G12" t="n">
        <v>3.8</v>
      </c>
      <c r="H12" t="n">
        <v>7.24</v>
      </c>
    </row>
    <row r="13">
      <c r="B13" t="inlineStr">
        <is>
          <t>7.77% National Housing Bank (02/04/2026)</t>
        </is>
      </c>
      <c r="C13" t="inlineStr">
        <is>
          <t>INE557F08FP2</t>
        </is>
      </c>
      <c r="D13" t="inlineStr">
        <is>
          <t>CRISIL AAA</t>
        </is>
      </c>
      <c r="E13" t="n">
        <v>4000</v>
      </c>
      <c r="F13" t="n">
        <v>4007.56</v>
      </c>
      <c r="G13" t="n">
        <v>3.06</v>
      </c>
      <c r="H13" t="n">
        <v>6.6</v>
      </c>
      <c r="L13" t="inlineStr">
        <is>
          <t>Benchmark: CRISIL Low Duration Debt A-I Index</t>
        </is>
      </c>
    </row>
    <row r="14">
      <c r="B14" t="inlineStr">
        <is>
          <t>7.58% National Bank For Agriculture &amp; Rural Development (31/07/2026)</t>
        </is>
      </c>
      <c r="C14" t="inlineStr">
        <is>
          <t>INE261F08DX0</t>
        </is>
      </c>
      <c r="D14" t="inlineStr">
        <is>
          <t>CRISIL AAA</t>
        </is>
      </c>
      <c r="E14" t="n">
        <v>2600</v>
      </c>
      <c r="F14" t="n">
        <v>2608.88</v>
      </c>
      <c r="G14" t="n">
        <v>1.99</v>
      </c>
      <c r="H14" t="n">
        <v>6.75</v>
      </c>
    </row>
    <row r="15">
      <c r="B15" t="inlineStr">
        <is>
          <t>7.44% National Bank For Agriculture &amp; Rural Development (24/02/2028)</t>
        </is>
      </c>
      <c r="C15" t="inlineStr">
        <is>
          <t>INE261F08EK5</t>
        </is>
      </c>
      <c r="D15" t="inlineStr">
        <is>
          <t>CRISIL AAA</t>
        </is>
      </c>
      <c r="E15" t="n">
        <v>2500</v>
      </c>
      <c r="F15" t="n">
        <v>2529.25</v>
      </c>
      <c r="G15" t="n">
        <v>1.93</v>
      </c>
      <c r="H15" t="n">
        <v>6.82</v>
      </c>
    </row>
    <row r="16">
      <c r="B16" t="inlineStr">
        <is>
          <t>7.66% Bajaj Housing Finance Ltd (20/03/2028) **</t>
        </is>
      </c>
      <c r="C16" t="inlineStr">
        <is>
          <t>INE377Y07532</t>
        </is>
      </c>
      <c r="D16" t="inlineStr">
        <is>
          <t>CRISIL AAA</t>
        </is>
      </c>
      <c r="E16" t="n">
        <v>2500</v>
      </c>
      <c r="F16" t="n">
        <v>2528.48</v>
      </c>
      <c r="G16" t="n">
        <v>1.93</v>
      </c>
      <c r="H16" t="n">
        <v>7.06</v>
      </c>
    </row>
    <row r="17">
      <c r="B17" t="inlineStr">
        <is>
          <t>7.86% LIC Housing Finance Ltd (17/05/2027)</t>
        </is>
      </c>
      <c r="C17" t="inlineStr">
        <is>
          <t>INE115A07LU0</t>
        </is>
      </c>
      <c r="D17" t="inlineStr">
        <is>
          <t>CRISIL AAA</t>
        </is>
      </c>
      <c r="E17" t="n">
        <v>250</v>
      </c>
      <c r="F17" t="n">
        <v>2527.62</v>
      </c>
      <c r="G17" t="n">
        <v>1.93</v>
      </c>
      <c r="H17" t="n">
        <v>6.94</v>
      </c>
    </row>
    <row r="18">
      <c r="B18" t="inlineStr">
        <is>
          <t>7.7951% BAJAJ FINANCE LTD 10-DEC-27 **</t>
        </is>
      </c>
      <c r="C18" t="inlineStr">
        <is>
          <t>INE296A07TF2</t>
        </is>
      </c>
      <c r="D18" t="inlineStr">
        <is>
          <t>CRISIL AAA</t>
        </is>
      </c>
      <c r="E18" t="n">
        <v>2500</v>
      </c>
      <c r="F18" t="n">
        <v>2527.46</v>
      </c>
      <c r="G18" t="n">
        <v>1.93</v>
      </c>
      <c r="H18" t="n">
        <v>7.16</v>
      </c>
    </row>
    <row r="19">
      <c r="B19" t="inlineStr">
        <is>
          <t>7.20% Power Grid Corporation of India Ltd (09/08/2027) **</t>
        </is>
      </c>
      <c r="C19" t="inlineStr">
        <is>
          <t>INE752E07OG5</t>
        </is>
      </c>
      <c r="D19" t="inlineStr">
        <is>
          <t>CRISIL AAA</t>
        </is>
      </c>
      <c r="E19" t="n">
        <v>250</v>
      </c>
      <c r="F19" t="n">
        <v>2518.25</v>
      </c>
      <c r="G19" t="n">
        <v>1.92</v>
      </c>
      <c r="H19" t="n">
        <v>6.67</v>
      </c>
    </row>
    <row r="20">
      <c r="B20" t="inlineStr">
        <is>
          <t>7.69% LIC Housing Finance Ltd (11/12/2026) **</t>
        </is>
      </c>
      <c r="C20" t="inlineStr">
        <is>
          <t>INE115A07RA9</t>
        </is>
      </c>
      <c r="D20" t="inlineStr">
        <is>
          <t>CRISIL AAA</t>
        </is>
      </c>
      <c r="E20" t="n">
        <v>2500</v>
      </c>
      <c r="F20" t="n">
        <v>2516.69</v>
      </c>
      <c r="G20" t="n">
        <v>1.92</v>
      </c>
      <c r="H20" t="n">
        <v>6.91</v>
      </c>
    </row>
    <row r="21">
      <c r="B21" t="inlineStr">
        <is>
          <t>7.98% Bajaj Housing Finance Ltd (09/09/2026) **</t>
        </is>
      </c>
      <c r="C21" t="inlineStr">
        <is>
          <t>INE377Y07490</t>
        </is>
      </c>
      <c r="D21" t="inlineStr">
        <is>
          <t>CRISIL AAA</t>
        </is>
      </c>
      <c r="E21" t="n">
        <v>2500</v>
      </c>
      <c r="F21" t="n">
        <v>2516.42</v>
      </c>
      <c r="G21" t="n">
        <v>1.92</v>
      </c>
      <c r="H21" t="n">
        <v>6.81</v>
      </c>
    </row>
    <row r="22">
      <c r="B22" t="inlineStr">
        <is>
          <t>7.50% National Bank For Agriculture &amp; Rural Development (31/08/2026) **</t>
        </is>
      </c>
      <c r="C22" t="inlineStr">
        <is>
          <t>INE261F08EA6</t>
        </is>
      </c>
      <c r="D22" t="inlineStr">
        <is>
          <t>CRISIL AAA</t>
        </is>
      </c>
      <c r="E22" t="n">
        <v>2500</v>
      </c>
      <c r="F22" t="n">
        <v>2509.19</v>
      </c>
      <c r="G22" t="n">
        <v>1.91</v>
      </c>
      <c r="H22" t="n">
        <v>6.75</v>
      </c>
    </row>
    <row r="23">
      <c r="B23" t="inlineStr">
        <is>
          <t>7.84% HDB Financial Services Ltd (14/07/2026) **</t>
        </is>
      </c>
      <c r="C23" t="inlineStr">
        <is>
          <t>INE756I07EN4</t>
        </is>
      </c>
      <c r="D23" t="inlineStr">
        <is>
          <t>CRISIL AAA</t>
        </is>
      </c>
      <c r="E23" t="n">
        <v>250</v>
      </c>
      <c r="F23" t="n">
        <v>2507.47</v>
      </c>
      <c r="G23" t="n">
        <v>1.91</v>
      </c>
      <c r="H23" t="n">
        <v>7</v>
      </c>
    </row>
    <row r="24">
      <c r="B24" t="inlineStr">
        <is>
          <t>7.51% REC Ltd (31/07/2026) **</t>
        </is>
      </c>
      <c r="C24" t="inlineStr">
        <is>
          <t>INE020B08EI8</t>
        </is>
      </c>
      <c r="D24" t="inlineStr">
        <is>
          <t>CRISIL AAA</t>
        </is>
      </c>
      <c r="E24" t="n">
        <v>2500</v>
      </c>
      <c r="F24" t="n">
        <v>2506.88</v>
      </c>
      <c r="G24" t="n">
        <v>1.91</v>
      </c>
      <c r="H24" t="n">
        <v>6.8</v>
      </c>
    </row>
    <row r="25">
      <c r="B25" t="inlineStr">
        <is>
          <t>7.3763% BAJAJ FINANCE LTD 26-JUN-28 **</t>
        </is>
      </c>
      <c r="C25" t="inlineStr">
        <is>
          <t>INE296A07TJ4</t>
        </is>
      </c>
      <c r="D25" t="inlineStr">
        <is>
          <t>CRISIL AAA</t>
        </is>
      </c>
      <c r="E25" t="n">
        <v>2500</v>
      </c>
      <c r="F25" t="n">
        <v>2503.61</v>
      </c>
      <c r="G25" t="n">
        <v>1.91</v>
      </c>
      <c r="H25" t="n">
        <v>7.26</v>
      </c>
    </row>
    <row r="26">
      <c r="B26" t="inlineStr">
        <is>
          <t>6.09% Power Finance Corporation Ltd (27/08/2026) **</t>
        </is>
      </c>
      <c r="C26" t="inlineStr">
        <is>
          <t>INE134E08LK2</t>
        </is>
      </c>
      <c r="D26" t="inlineStr">
        <is>
          <t>CRISIL AAA</t>
        </is>
      </c>
      <c r="E26" t="n">
        <v>250</v>
      </c>
      <c r="F26" t="n">
        <v>2487.54</v>
      </c>
      <c r="G26" t="n">
        <v>1.9</v>
      </c>
      <c r="H26" t="n">
        <v>6.75</v>
      </c>
    </row>
    <row r="27">
      <c r="B27" t="inlineStr">
        <is>
          <t>7.75% Sundaram Finance Ltd (08/08/2028) **</t>
        </is>
      </c>
      <c r="C27" t="inlineStr">
        <is>
          <t>INE660A07RN7</t>
        </is>
      </c>
      <c r="D27" t="inlineStr">
        <is>
          <t>CRISIL AAA</t>
        </is>
      </c>
      <c r="E27" t="n">
        <v>2000</v>
      </c>
      <c r="F27" t="n">
        <v>2024.67</v>
      </c>
      <c r="G27" t="n">
        <v>1.55</v>
      </c>
      <c r="H27" t="n">
        <v>7.19</v>
      </c>
    </row>
    <row r="28">
      <c r="B28" t="inlineStr">
        <is>
          <t>7.74% Power Finance Corporation Ltd (29/01/2028) **</t>
        </is>
      </c>
      <c r="C28" t="inlineStr">
        <is>
          <t>INE134E08JI0</t>
        </is>
      </c>
      <c r="D28" t="inlineStr">
        <is>
          <t>CRISIL AAA</t>
        </is>
      </c>
      <c r="E28" t="n">
        <v>150</v>
      </c>
      <c r="F28" t="n">
        <v>1526.09</v>
      </c>
      <c r="G28" t="n">
        <v>1.16</v>
      </c>
      <c r="H28" t="n">
        <v>6.8</v>
      </c>
    </row>
    <row r="29">
      <c r="B29" t="inlineStr">
        <is>
          <t>7.02% Bajaj Housing Finance Ltd (26/05/2028) **</t>
        </is>
      </c>
      <c r="C29" t="inlineStr">
        <is>
          <t>INE377Y07565</t>
        </is>
      </c>
      <c r="D29" t="inlineStr">
        <is>
          <t>CRISIL AAA</t>
        </is>
      </c>
      <c r="E29" t="n">
        <v>1000</v>
      </c>
      <c r="F29" t="n">
        <v>998.25</v>
      </c>
      <c r="G29" t="n">
        <v>0.76</v>
      </c>
      <c r="H29" t="n">
        <v>7.08</v>
      </c>
    </row>
    <row r="30">
      <c r="B30" t="inlineStr">
        <is>
          <t>7.64% Power Finance Corporation Ltd (25/08/2026) **</t>
        </is>
      </c>
      <c r="C30" t="inlineStr">
        <is>
          <t>INE134E08MT1</t>
        </is>
      </c>
      <c r="D30" t="inlineStr">
        <is>
          <t>CRISIL AAA</t>
        </is>
      </c>
      <c r="E30" t="n">
        <v>500</v>
      </c>
      <c r="F30" t="n">
        <v>502.21</v>
      </c>
      <c r="G30" t="n">
        <v>0.38</v>
      </c>
      <c r="H30" t="n">
        <v>6.75</v>
      </c>
    </row>
    <row r="31">
      <c r="B31" t="inlineStr">
        <is>
          <t>Sub Total</t>
        </is>
      </c>
      <c r="F31">
        <f>SUM(F6:F30)</f>
        <v/>
      </c>
      <c r="G31">
        <f>SUM(G6:G30)</f>
        <v/>
      </c>
    </row>
    <row r="32">
      <c r="B32" t="inlineStr">
        <is>
          <t>Total</t>
        </is>
      </c>
      <c r="F32">
        <f>F31</f>
        <v/>
      </c>
      <c r="G32">
        <f>G31</f>
        <v/>
      </c>
    </row>
    <row r="33">
      <c r="B33" t="inlineStr">
        <is>
          <t>Money Market Instruments</t>
        </is>
      </c>
    </row>
    <row r="34">
      <c r="B34" t="inlineStr">
        <is>
          <t>Certificate of Deposit</t>
        </is>
      </c>
    </row>
    <row r="35">
      <c r="B35" t="inlineStr">
        <is>
          <t>Bank of India (10/03/2026) ** #</t>
        </is>
      </c>
      <c r="C35" t="inlineStr">
        <is>
          <t>INE084A16EK5</t>
        </is>
      </c>
      <c r="D35" t="inlineStr">
        <is>
          <t>CRISIL A1+</t>
        </is>
      </c>
      <c r="E35" t="n">
        <v>1000</v>
      </c>
      <c r="F35" t="n">
        <v>4944.87</v>
      </c>
      <c r="G35" t="n">
        <v>3.77</v>
      </c>
      <c r="H35" t="n">
        <v>5.98</v>
      </c>
    </row>
    <row r="36">
      <c r="B36" t="inlineStr">
        <is>
          <t>HDFC Bank Ltd (11/09/2026) ** #</t>
        </is>
      </c>
      <c r="C36" t="inlineStr">
        <is>
          <t>INE040A16HN4</t>
        </is>
      </c>
      <c r="D36" t="inlineStr">
        <is>
          <t>CARE A1+</t>
        </is>
      </c>
      <c r="E36" t="n">
        <v>1000</v>
      </c>
      <c r="F36" t="n">
        <v>4782.85</v>
      </c>
      <c r="G36" t="n">
        <v>3.65</v>
      </c>
      <c r="H36" t="n">
        <v>6.55</v>
      </c>
    </row>
    <row r="37">
      <c r="B37" t="inlineStr">
        <is>
          <t>Union Bank of India (05/03/2026) ** #</t>
        </is>
      </c>
      <c r="C37" t="inlineStr">
        <is>
          <t>INE692A16IY7</t>
        </is>
      </c>
      <c r="D37" t="inlineStr">
        <is>
          <t>ICRA A1+</t>
        </is>
      </c>
      <c r="E37" t="n">
        <v>500</v>
      </c>
      <c r="F37" t="n">
        <v>2474.69</v>
      </c>
      <c r="G37" t="n">
        <v>1.89</v>
      </c>
      <c r="H37" t="n">
        <v>5.93</v>
      </c>
    </row>
    <row r="38">
      <c r="B38" t="inlineStr">
        <is>
          <t>Small Industries Development Bank of India (11/03/2026) ** #</t>
        </is>
      </c>
      <c r="C38" t="inlineStr">
        <is>
          <t>INE556F16BD2</t>
        </is>
      </c>
      <c r="D38" t="inlineStr">
        <is>
          <t>CARE A1+</t>
        </is>
      </c>
      <c r="E38" t="n">
        <v>500</v>
      </c>
      <c r="F38" t="n">
        <v>2471.99</v>
      </c>
      <c r="G38" t="n">
        <v>1.89</v>
      </c>
      <c r="H38" t="n">
        <v>6</v>
      </c>
    </row>
    <row r="39">
      <c r="B39" t="inlineStr">
        <is>
          <t>Kotak Mahindra Bank Ltd (13/03/2026) ** #</t>
        </is>
      </c>
      <c r="C39" t="inlineStr">
        <is>
          <t>INE237A167Z1</t>
        </is>
      </c>
      <c r="D39" t="inlineStr">
        <is>
          <t>CRISIL A1+</t>
        </is>
      </c>
      <c r="E39" t="n">
        <v>500</v>
      </c>
      <c r="F39" t="n">
        <v>2471.68</v>
      </c>
      <c r="G39" t="n">
        <v>1.89</v>
      </c>
      <c r="H39" t="n">
        <v>5.89</v>
      </c>
    </row>
    <row r="40">
      <c r="B40" t="inlineStr">
        <is>
          <t>Export-Import Bank Of India (20/03/2026) #</t>
        </is>
      </c>
      <c r="C40" t="inlineStr">
        <is>
          <t>INE514E16CK7</t>
        </is>
      </c>
      <c r="D40" t="inlineStr">
        <is>
          <t>CRISIL A1+</t>
        </is>
      </c>
      <c r="E40" t="n">
        <v>500</v>
      </c>
      <c r="F40" t="n">
        <v>2468.82</v>
      </c>
      <c r="G40" t="n">
        <v>1.88</v>
      </c>
      <c r="H40" t="n">
        <v>5.91</v>
      </c>
    </row>
    <row r="41">
      <c r="B41" t="inlineStr">
        <is>
          <t>HDFC Bank Ltd (24/03/2026) #</t>
        </is>
      </c>
      <c r="C41" t="inlineStr">
        <is>
          <t>INE040A16GS5</t>
        </is>
      </c>
      <c r="D41" t="inlineStr">
        <is>
          <t>CARE A1+</t>
        </is>
      </c>
      <c r="E41" t="n">
        <v>500</v>
      </c>
      <c r="F41" t="n">
        <v>2467.24</v>
      </c>
      <c r="G41" t="n">
        <v>1.88</v>
      </c>
      <c r="H41" t="n">
        <v>5.91</v>
      </c>
    </row>
    <row r="42">
      <c r="B42" t="inlineStr">
        <is>
          <t>HDFC Bank Ltd (02/04/2026) ** #</t>
        </is>
      </c>
      <c r="C42" t="inlineStr">
        <is>
          <t>INE040A16HC7</t>
        </is>
      </c>
      <c r="D42" t="inlineStr">
        <is>
          <t>CARE A1+</t>
        </is>
      </c>
      <c r="E42" t="n">
        <v>500</v>
      </c>
      <c r="F42" t="n">
        <v>2461.04</v>
      </c>
      <c r="G42" t="n">
        <v>1.88</v>
      </c>
      <c r="H42" t="n">
        <v>6.35</v>
      </c>
    </row>
    <row r="43">
      <c r="B43" t="inlineStr">
        <is>
          <t>HDFC Bank Ltd (21/09/2026) ** #</t>
        </is>
      </c>
      <c r="C43" t="inlineStr">
        <is>
          <t>INE040A16HR5</t>
        </is>
      </c>
      <c r="D43" t="inlineStr">
        <is>
          <t>CARE A1+</t>
        </is>
      </c>
      <c r="E43" t="n">
        <v>500</v>
      </c>
      <c r="F43" t="n">
        <v>2387.33</v>
      </c>
      <c r="G43" t="n">
        <v>1.82</v>
      </c>
      <c r="H43" t="n">
        <v>6.55</v>
      </c>
    </row>
    <row r="44">
      <c r="B44" t="inlineStr">
        <is>
          <t>Export-Import Bank Of India (04/03/2026) #</t>
        </is>
      </c>
      <c r="C44" t="inlineStr">
        <is>
          <t>INE514E16CJ9</t>
        </is>
      </c>
      <c r="D44" t="inlineStr">
        <is>
          <t>CRISIL A1+</t>
        </is>
      </c>
      <c r="E44" t="n">
        <v>20</v>
      </c>
      <c r="F44" t="n">
        <v>99.01000000000001</v>
      </c>
      <c r="G44" t="n">
        <v>0.08</v>
      </c>
      <c r="H44" t="n">
        <v>5.91</v>
      </c>
    </row>
    <row r="45">
      <c r="B45" t="inlineStr">
        <is>
          <t>Sub Total</t>
        </is>
      </c>
      <c r="F45">
        <f>SUM(F34:F44)</f>
        <v/>
      </c>
      <c r="G45">
        <f>SUM(G34:G44)</f>
        <v/>
      </c>
    </row>
    <row r="46">
      <c r="B46" t="inlineStr">
        <is>
          <t>Commercial Paper</t>
        </is>
      </c>
    </row>
    <row r="47">
      <c r="B47" t="inlineStr">
        <is>
          <t>ICICI Securities Ltd (11/03/2026) **</t>
        </is>
      </c>
      <c r="C47" t="inlineStr">
        <is>
          <t>INE763G14XP5</t>
        </is>
      </c>
      <c r="D47" t="inlineStr">
        <is>
          <t>CRISIL A1+</t>
        </is>
      </c>
      <c r="E47" t="n">
        <v>500</v>
      </c>
      <c r="F47" t="n">
        <v>2469.75</v>
      </c>
      <c r="G47" t="n">
        <v>1.88</v>
      </c>
      <c r="H47" t="n">
        <v>6.48</v>
      </c>
    </row>
    <row r="48">
      <c r="B48" t="inlineStr">
        <is>
          <t>Sub Total</t>
        </is>
      </c>
      <c r="F48">
        <f>SUM(F46:F47)</f>
        <v/>
      </c>
      <c r="G48">
        <f>SUM(G46:G47)</f>
        <v/>
      </c>
    </row>
    <row r="49">
      <c r="B49" t="inlineStr">
        <is>
          <t>Total</t>
        </is>
      </c>
      <c r="F49">
        <f>F45+F48</f>
        <v/>
      </c>
      <c r="G49">
        <f>G45+G48</f>
        <v/>
      </c>
    </row>
    <row r="50">
      <c r="B50" t="inlineStr">
        <is>
          <t>Government Bonds</t>
        </is>
      </c>
    </row>
    <row r="51">
      <c r="B51" t="inlineStr">
        <is>
          <t>6.92% TAMIL NADU SDL 26-SEP-29</t>
        </is>
      </c>
      <c r="C51" t="inlineStr">
        <is>
          <t>IN3120240756</t>
        </is>
      </c>
      <c r="D51" t="inlineStr">
        <is>
          <t>Sovereign</t>
        </is>
      </c>
      <c r="E51" t="n">
        <v>5000000</v>
      </c>
      <c r="F51" t="n">
        <v>5047.42</v>
      </c>
      <c r="G51" t="n">
        <v>3.85</v>
      </c>
      <c r="H51" t="n">
        <v>6.73</v>
      </c>
    </row>
    <row r="52">
      <c r="B52" t="inlineStr">
        <is>
          <t>7.59% KARNATAKA SDL 15-FEB-27</t>
        </is>
      </c>
      <c r="C52" t="inlineStr">
        <is>
          <t>IN1920160091</t>
        </is>
      </c>
      <c r="D52" t="inlineStr">
        <is>
          <t>Sovereign</t>
        </is>
      </c>
      <c r="E52" t="n">
        <v>1000000</v>
      </c>
      <c r="F52" t="n">
        <v>1017.07</v>
      </c>
      <c r="G52" t="n">
        <v>0.78</v>
      </c>
      <c r="H52" t="n">
        <v>6.07</v>
      </c>
    </row>
    <row r="53">
      <c r="B53" t="inlineStr">
        <is>
          <t>GOI FRB 2033 (22-SEP-2033)</t>
        </is>
      </c>
      <c r="C53" t="inlineStr">
        <is>
          <t>IN0020200120</t>
        </is>
      </c>
      <c r="D53" t="inlineStr">
        <is>
          <t>Sovereign</t>
        </is>
      </c>
      <c r="E53" t="n">
        <v>500000</v>
      </c>
      <c r="F53" t="n">
        <v>516.27</v>
      </c>
      <c r="G53" t="n">
        <v>0.39</v>
      </c>
      <c r="H53" t="n">
        <v>6.28</v>
      </c>
    </row>
    <row r="54">
      <c r="B54" t="inlineStr">
        <is>
          <t>Total</t>
        </is>
      </c>
      <c r="F54">
        <f>SUM(F51:F53)</f>
        <v/>
      </c>
      <c r="G54">
        <f>SUM(G51:G53)</f>
        <v/>
      </c>
    </row>
    <row r="55">
      <c r="B55" t="inlineStr">
        <is>
          <t>Alternative Investment Fund</t>
        </is>
      </c>
    </row>
    <row r="56">
      <c r="B56" t="inlineStr">
        <is>
          <t>CORPORATE DEBT MARKET DEVELOPMENT FUND CLASS A2</t>
        </is>
      </c>
      <c r="C56" t="inlineStr">
        <is>
          <t>INF0RQ622028</t>
        </is>
      </c>
      <c r="D56" t="inlineStr">
        <is>
          <t>Alternative Investment Fund</t>
        </is>
      </c>
      <c r="E56" t="n">
        <v>3268.204</v>
      </c>
      <c r="F56" t="n">
        <v>377.6</v>
      </c>
      <c r="G56" t="n">
        <v>0.29</v>
      </c>
      <c r="H56" t="n">
        <v>5.49</v>
      </c>
    </row>
    <row r="57">
      <c r="B57" t="inlineStr">
        <is>
          <t>Total</t>
        </is>
      </c>
      <c r="F57">
        <f>SUM(F56:F56)</f>
        <v/>
      </c>
      <c r="G57">
        <f>SUM(G56:G56)</f>
        <v/>
      </c>
    </row>
    <row r="58">
      <c r="B58" t="inlineStr">
        <is>
          <t>TREPS</t>
        </is>
      </c>
    </row>
    <row r="59">
      <c r="B59" t="inlineStr">
        <is>
          <t>TREPS</t>
        </is>
      </c>
      <c r="F59" t="n">
        <v>9112.790000000001</v>
      </c>
      <c r="G59" t="n">
        <v>6.95</v>
      </c>
    </row>
    <row r="60">
      <c r="B60" t="inlineStr">
        <is>
          <t>Sub Total</t>
        </is>
      </c>
      <c r="F60">
        <f>SUM(F58:F59)</f>
        <v/>
      </c>
      <c r="G60">
        <f>SUM(G58:G59)</f>
        <v/>
      </c>
    </row>
    <row r="61">
      <c r="B61" t="inlineStr">
        <is>
          <t>Total</t>
        </is>
      </c>
      <c r="F61">
        <f>F60</f>
        <v/>
      </c>
      <c r="G61">
        <f>G60</f>
        <v/>
      </c>
    </row>
    <row r="62">
      <c r="B62" t="inlineStr">
        <is>
          <t>Net Receivables / (Payables)</t>
        </is>
      </c>
      <c r="F62">
        <f>F63-(+F32+F49+F54+F57+F61)</f>
        <v/>
      </c>
      <c r="G62">
        <f>G63-(+G32+G49+G54+G57+G61)</f>
        <v/>
      </c>
    </row>
    <row r="63">
      <c r="B63" t="inlineStr">
        <is>
          <t>Grand Total</t>
        </is>
      </c>
      <c r="F63" t="n">
        <v>131040.29</v>
      </c>
      <c r="G63" t="n">
        <v>100</v>
      </c>
    </row>
    <row r="65">
      <c r="B65" t="inlineStr">
        <is>
          <t>** Non Traded Security</t>
        </is>
      </c>
    </row>
    <row r="66">
      <c r="B66" t="inlineStr">
        <is>
          <t>#  Unlisted Security</t>
        </is>
      </c>
    </row>
    <row r="68">
      <c r="B68" t="inlineStr">
        <is>
          <t>Modified Duration (In Years)</t>
        </is>
      </c>
      <c r="C68" t="n">
        <v>0.9249000000000001</v>
      </c>
    </row>
    <row r="70">
      <c r="B70" t="inlineStr">
        <is>
          <t>Annualised Portfolio YTM</t>
        </is>
      </c>
      <c r="C70" t="n">
        <v>0.0658</v>
      </c>
    </row>
    <row r="72">
      <c r="B72" t="inlineStr">
        <is>
          <t>Macaulay Duration (In Years)</t>
        </is>
      </c>
      <c r="C72" t="n">
        <v>0.983</v>
      </c>
    </row>
    <row r="74">
      <c r="B74" t="inlineStr">
        <is>
          <t>Please refer the below link for the performance of the Schemes managed by Canara Robeco Mutual Fund</t>
        </is>
      </c>
    </row>
    <row r="76">
      <c r="B76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N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EQUITY HYBRID FUND</t>
        </is>
      </c>
    </row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7035600</v>
      </c>
      <c r="F7" t="n">
        <v>69736.87</v>
      </c>
      <c r="G7" t="n">
        <v>6.12</v>
      </c>
      <c r="H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3400000</v>
      </c>
      <c r="F8" t="n">
        <v>45658.6</v>
      </c>
      <c r="G8" t="n">
        <v>4.01</v>
      </c>
      <c r="H8" t="inlineStr">
        <is>
          <t>Large Cap</t>
        </is>
      </c>
    </row>
    <row r="9">
      <c r="B9" t="inlineStr">
        <is>
          <t>Infosys Ltd</t>
        </is>
      </c>
      <c r="C9" t="inlineStr">
        <is>
          <t>INE009A01021</t>
        </is>
      </c>
      <c r="D9" t="inlineStr">
        <is>
          <t>IT - Software</t>
        </is>
      </c>
      <c r="E9" t="n">
        <v>2110000</v>
      </c>
      <c r="F9" t="n">
        <v>34084.94</v>
      </c>
      <c r="G9" t="n">
        <v>2.99</v>
      </c>
      <c r="H9" t="inlineStr">
        <is>
          <t>Large Cap</t>
        </is>
      </c>
    </row>
    <row r="10">
      <c r="B10" t="inlineStr">
        <is>
          <t>Reliance Industries Ltd</t>
        </is>
      </c>
      <c r="C10" t="inlineStr">
        <is>
          <t>INE002A01018</t>
        </is>
      </c>
      <c r="D10" t="inlineStr">
        <is>
          <t>Petroleum Products</t>
        </is>
      </c>
      <c r="E10" t="n">
        <v>2150000</v>
      </c>
      <c r="F10" t="n">
        <v>33763.6</v>
      </c>
      <c r="G10" t="n">
        <v>2.96</v>
      </c>
      <c r="H10" t="inlineStr">
        <is>
          <t>Large Cap</t>
        </is>
      </c>
    </row>
    <row r="11">
      <c r="B11" t="inlineStr">
        <is>
          <t>Bharti Airtel Ltd</t>
        </is>
      </c>
      <c r="C11" t="inlineStr">
        <is>
          <t>INE397D01024</t>
        </is>
      </c>
      <c r="D11" t="inlineStr">
        <is>
          <t>Telecom - Services</t>
        </is>
      </c>
      <c r="E11" t="n">
        <v>1400000</v>
      </c>
      <c r="F11" t="n">
        <v>29478.4</v>
      </c>
      <c r="G11" t="n">
        <v>2.59</v>
      </c>
      <c r="H11" t="inlineStr">
        <is>
          <t>Large Cap</t>
        </is>
      </c>
    </row>
    <row r="12">
      <c r="B12" t="inlineStr">
        <is>
          <t>State Bank of India</t>
        </is>
      </c>
      <c r="C12" t="inlineStr">
        <is>
          <t>INE062A01020</t>
        </is>
      </c>
      <c r="D12" t="inlineStr">
        <is>
          <t>Banks</t>
        </is>
      </c>
      <c r="E12" t="n">
        <v>2850000</v>
      </c>
      <c r="F12" t="n">
        <v>27992.7</v>
      </c>
      <c r="G12" t="n">
        <v>2.46</v>
      </c>
      <c r="H12" t="inlineStr">
        <is>
          <t>Large Cap</t>
        </is>
      </c>
    </row>
    <row r="13">
      <c r="B13" t="inlineStr">
        <is>
          <t>Axis Bank Ltd</t>
        </is>
      </c>
      <c r="C13" t="inlineStr">
        <is>
          <t>INE238A01034</t>
        </is>
      </c>
      <c r="D13" t="inlineStr">
        <is>
          <t>Banks</t>
        </is>
      </c>
      <c r="E13" t="n">
        <v>1970000</v>
      </c>
      <c r="F13" t="n">
        <v>25007.18</v>
      </c>
      <c r="G13" t="n">
        <v>2.19</v>
      </c>
      <c r="H13" t="inlineStr">
        <is>
          <t>Large Cap</t>
        </is>
      </c>
      <c r="L13" t="inlineStr">
        <is>
          <t>Benchmark: CRISIL Hybrid 35+65 - Aggressive Index</t>
        </is>
      </c>
    </row>
    <row r="14">
      <c r="B14" t="inlineStr">
        <is>
          <t>Larsen &amp; Toubro Ltd</t>
        </is>
      </c>
      <c r="C14" t="inlineStr">
        <is>
          <t>INE018A01030</t>
        </is>
      </c>
      <c r="D14" t="inlineStr">
        <is>
          <t>Construction</t>
        </is>
      </c>
      <c r="E14" t="n">
        <v>575000</v>
      </c>
      <c r="F14" t="n">
        <v>23480.13</v>
      </c>
      <c r="G14" t="n">
        <v>2.06</v>
      </c>
      <c r="H14" t="inlineStr">
        <is>
          <t>Large Cap</t>
        </is>
      </c>
    </row>
    <row r="15">
      <c r="B15" t="inlineStr">
        <is>
          <t>Power Finance Corporation Ltd</t>
        </is>
      </c>
      <c r="C15" t="inlineStr">
        <is>
          <t>INE134E01011</t>
        </is>
      </c>
      <c r="D15" t="inlineStr">
        <is>
          <t>Finance</t>
        </is>
      </c>
      <c r="E15" t="n">
        <v>6150000</v>
      </c>
      <c r="F15" t="n">
        <v>21857.1</v>
      </c>
      <c r="G15" t="n">
        <v>1.92</v>
      </c>
      <c r="H15" t="inlineStr">
        <is>
          <t>Large Cap</t>
        </is>
      </c>
    </row>
    <row r="16">
      <c r="B16" t="inlineStr">
        <is>
          <t>Samvardhana Motherson International Ltd</t>
        </is>
      </c>
      <c r="C16" t="inlineStr">
        <is>
          <t>INE775A01035</t>
        </is>
      </c>
      <c r="D16" t="inlineStr">
        <is>
          <t>Auto Components</t>
        </is>
      </c>
      <c r="E16" t="n">
        <v>15750000</v>
      </c>
      <c r="F16" t="n">
        <v>18890.55</v>
      </c>
      <c r="G16" t="n">
        <v>1.66</v>
      </c>
      <c r="H16" t="inlineStr">
        <is>
          <t>Large Cap</t>
        </is>
      </c>
    </row>
    <row r="17">
      <c r="B17" t="inlineStr">
        <is>
          <t>Eternal Ltd</t>
        </is>
      </c>
      <c r="C17" t="inlineStr">
        <is>
          <t>INE758T01015</t>
        </is>
      </c>
      <c r="D17" t="inlineStr">
        <is>
          <t>Retailing</t>
        </is>
      </c>
      <c r="E17" t="n">
        <v>6650000</v>
      </c>
      <c r="F17" t="n">
        <v>18490.33</v>
      </c>
      <c r="G17" t="n">
        <v>1.62</v>
      </c>
      <c r="H17" t="inlineStr">
        <is>
          <t>Large Cap</t>
        </is>
      </c>
    </row>
    <row r="18">
      <c r="B18" t="inlineStr">
        <is>
          <t>Bajaj Finance Ltd</t>
        </is>
      </c>
      <c r="C18" t="inlineStr">
        <is>
          <t>INE296A01032</t>
        </is>
      </c>
      <c r="D18" t="inlineStr">
        <is>
          <t>Finance</t>
        </is>
      </c>
      <c r="E18" t="n">
        <v>1775000</v>
      </c>
      <c r="F18" t="n">
        <v>17515.7</v>
      </c>
      <c r="G18" t="n">
        <v>1.54</v>
      </c>
      <c r="H18" t="inlineStr">
        <is>
          <t>Large Cap</t>
        </is>
      </c>
    </row>
    <row r="19">
      <c r="B19" t="inlineStr">
        <is>
          <t>ITC Ltd</t>
        </is>
      </c>
      <c r="C19" t="inlineStr">
        <is>
          <t>INE154A01025</t>
        </is>
      </c>
      <c r="D19" t="inlineStr">
        <is>
          <t>Diversified Fmcg</t>
        </is>
      </c>
      <c r="E19" t="n">
        <v>3700000</v>
      </c>
      <c r="F19" t="n">
        <v>14911</v>
      </c>
      <c r="G19" t="n">
        <v>1.31</v>
      </c>
      <c r="H19" t="inlineStr">
        <is>
          <t>Large Cap</t>
        </is>
      </c>
    </row>
    <row r="20">
      <c r="B20" t="inlineStr">
        <is>
          <t>Ge Vernova T&amp;D India Ltd</t>
        </is>
      </c>
      <c r="C20" t="inlineStr">
        <is>
          <t>INE200A01026</t>
        </is>
      </c>
      <c r="D20" t="inlineStr">
        <is>
          <t>Electrical Equipment</t>
        </is>
      </c>
      <c r="E20" t="n">
        <v>475000</v>
      </c>
      <c r="F20" t="n">
        <v>14879.38</v>
      </c>
      <c r="G20" t="n">
        <v>1.31</v>
      </c>
      <c r="H20" t="inlineStr">
        <is>
          <t>Mid Cap</t>
        </is>
      </c>
    </row>
    <row r="21">
      <c r="B21" t="inlineStr">
        <is>
          <t>Tech Mahindra Ltd</t>
        </is>
      </c>
      <c r="C21" t="inlineStr">
        <is>
          <t>INE669C01036</t>
        </is>
      </c>
      <c r="D21" t="inlineStr">
        <is>
          <t>IT - Software</t>
        </is>
      </c>
      <c r="E21" t="n">
        <v>910000</v>
      </c>
      <c r="F21" t="n">
        <v>14477.19</v>
      </c>
      <c r="G21" t="n">
        <v>1.27</v>
      </c>
      <c r="H21" t="inlineStr">
        <is>
          <t>Large Cap</t>
        </is>
      </c>
    </row>
    <row r="22">
      <c r="B22" t="inlineStr">
        <is>
          <t>TVS Motor Co Ltd</t>
        </is>
      </c>
      <c r="C22" t="inlineStr">
        <is>
          <t>INE494B01023</t>
        </is>
      </c>
      <c r="D22" t="inlineStr">
        <is>
          <t>Automobiles</t>
        </is>
      </c>
      <c r="E22" t="n">
        <v>370000</v>
      </c>
      <c r="F22" t="n">
        <v>13763.26</v>
      </c>
      <c r="G22" t="n">
        <v>1.21</v>
      </c>
      <c r="H22" t="inlineStr">
        <is>
          <t>Large Cap</t>
        </is>
      </c>
    </row>
    <row r="23">
      <c r="B23" t="inlineStr">
        <is>
          <t>J.K. Cement Ltd</t>
        </is>
      </c>
      <c r="C23" t="inlineStr">
        <is>
          <t>INE823G01014</t>
        </is>
      </c>
      <c r="D23" t="inlineStr">
        <is>
          <t>Cement &amp; Cement Products</t>
        </is>
      </c>
      <c r="E23" t="n">
        <v>233300</v>
      </c>
      <c r="F23" t="n">
        <v>12903.82</v>
      </c>
      <c r="G23" t="n">
        <v>1.13</v>
      </c>
      <c r="H23" t="inlineStr">
        <is>
          <t>Mid Cap</t>
        </is>
      </c>
    </row>
    <row r="24">
      <c r="B24" t="inlineStr">
        <is>
          <t>Tata Consultancy Services Ltd</t>
        </is>
      </c>
      <c r="C24" t="inlineStr">
        <is>
          <t>INE467B01029</t>
        </is>
      </c>
      <c r="D24" t="inlineStr">
        <is>
          <t>IT - Software</t>
        </is>
      </c>
      <c r="E24" t="n">
        <v>400000</v>
      </c>
      <c r="F24" t="n">
        <v>12824.8</v>
      </c>
      <c r="G24" t="n">
        <v>1.13</v>
      </c>
      <c r="H24" t="inlineStr">
        <is>
          <t>Large Cap</t>
        </is>
      </c>
    </row>
    <row r="25">
      <c r="B25" t="inlineStr">
        <is>
          <t>KEI Industries Ltd</t>
        </is>
      </c>
      <c r="C25" t="inlineStr">
        <is>
          <t>INE878B01027</t>
        </is>
      </c>
      <c r="D25" t="inlineStr">
        <is>
          <t>Industrial Products</t>
        </is>
      </c>
      <c r="E25" t="n">
        <v>287000</v>
      </c>
      <c r="F25" t="n">
        <v>12800.77</v>
      </c>
      <c r="G25" t="n">
        <v>1.12</v>
      </c>
      <c r="H25" t="inlineStr">
        <is>
          <t>Mid Cap</t>
        </is>
      </c>
    </row>
    <row r="26">
      <c r="B26" t="inlineStr">
        <is>
          <t>Coal India Ltd</t>
        </is>
      </c>
      <c r="C26" t="inlineStr">
        <is>
          <t>INE522F01014</t>
        </is>
      </c>
      <c r="D26" t="inlineStr">
        <is>
          <t>Consumable Fuels</t>
        </is>
      </c>
      <c r="E26" t="n">
        <v>3180000</v>
      </c>
      <c r="F26" t="n">
        <v>12688.2</v>
      </c>
      <c r="G26" t="n">
        <v>1.11</v>
      </c>
      <c r="H26" t="inlineStr">
        <is>
          <t>Large Cap</t>
        </is>
      </c>
    </row>
    <row r="27">
      <c r="B27" t="inlineStr">
        <is>
          <t>Cholamandalam Financial Holdings Ltd</t>
        </is>
      </c>
      <c r="C27" t="inlineStr">
        <is>
          <t>INE149A01033</t>
        </is>
      </c>
      <c r="D27" t="inlineStr">
        <is>
          <t>Finance</t>
        </is>
      </c>
      <c r="E27" t="n">
        <v>685500</v>
      </c>
      <c r="F27" t="n">
        <v>12427.43</v>
      </c>
      <c r="G27" t="n">
        <v>1.09</v>
      </c>
      <c r="H27" t="inlineStr">
        <is>
          <t>Mid Cap</t>
        </is>
      </c>
    </row>
    <row r="28">
      <c r="B28" t="inlineStr">
        <is>
          <t>Indian Bank</t>
        </is>
      </c>
      <c r="C28" t="inlineStr">
        <is>
          <t>INE562A01011</t>
        </is>
      </c>
      <c r="D28" t="inlineStr">
        <is>
          <t>Banks</t>
        </is>
      </c>
      <c r="E28" t="n">
        <v>1475000</v>
      </c>
      <c r="F28" t="n">
        <v>12349.44</v>
      </c>
      <c r="G28" t="n">
        <v>1.08</v>
      </c>
      <c r="H28" t="inlineStr">
        <is>
          <t>Mid Cap</t>
        </is>
      </c>
    </row>
    <row r="29">
      <c r="B29" t="inlineStr">
        <is>
          <t>Maruti Suzuki India Ltd</t>
        </is>
      </c>
      <c r="C29" t="inlineStr">
        <is>
          <t>INE585B01010</t>
        </is>
      </c>
      <c r="D29" t="inlineStr">
        <is>
          <t>Automobiles</t>
        </is>
      </c>
      <c r="E29" t="n">
        <v>70500</v>
      </c>
      <c r="F29" t="n">
        <v>11771.39</v>
      </c>
      <c r="G29" t="n">
        <v>1.03</v>
      </c>
      <c r="H29" t="inlineStr">
        <is>
          <t>Large Cap</t>
        </is>
      </c>
    </row>
    <row r="30">
      <c r="B30" t="inlineStr">
        <is>
          <t>Sun Pharmaceutical Industries Ltd</t>
        </is>
      </c>
      <c r="C30" t="inlineStr">
        <is>
          <t>INE044A01036</t>
        </is>
      </c>
      <c r="D30" t="inlineStr">
        <is>
          <t>Pharmaceuticals &amp; Biotechnology</t>
        </is>
      </c>
      <c r="E30" t="n">
        <v>670000</v>
      </c>
      <c r="F30" t="n">
        <v>11521.99</v>
      </c>
      <c r="G30" t="n">
        <v>1.01</v>
      </c>
      <c r="H30" t="inlineStr">
        <is>
          <t>Large Cap</t>
        </is>
      </c>
    </row>
    <row r="31">
      <c r="B31" t="inlineStr">
        <is>
          <t>Divi's Laboratories Ltd</t>
        </is>
      </c>
      <c r="C31" t="inlineStr">
        <is>
          <t>INE361B01024</t>
        </is>
      </c>
      <c r="D31" t="inlineStr">
        <is>
          <t>Pharmaceuticals &amp; Biotechnology</t>
        </is>
      </c>
      <c r="E31" t="n">
        <v>180000</v>
      </c>
      <c r="F31" t="n">
        <v>11506.5</v>
      </c>
      <c r="G31" t="n">
        <v>1.01</v>
      </c>
      <c r="H31" t="inlineStr">
        <is>
          <t>Large Cap</t>
        </is>
      </c>
    </row>
    <row r="32">
      <c r="B32" t="inlineStr">
        <is>
          <t>Uno Minda Ltd</t>
        </is>
      </c>
      <c r="C32" t="inlineStr">
        <is>
          <t>INE405E01023</t>
        </is>
      </c>
      <c r="D32" t="inlineStr">
        <is>
          <t>Auto Components</t>
        </is>
      </c>
      <c r="E32" t="n">
        <v>860000</v>
      </c>
      <c r="F32" t="n">
        <v>11057.88</v>
      </c>
      <c r="G32" t="n">
        <v>0.97</v>
      </c>
      <c r="H32" t="inlineStr">
        <is>
          <t>Mid Cap</t>
        </is>
      </c>
    </row>
    <row r="33">
      <c r="B33" t="inlineStr">
        <is>
          <t>Interglobe Aviation Ltd</t>
        </is>
      </c>
      <c r="C33" t="inlineStr">
        <is>
          <t>INE646L01027</t>
        </is>
      </c>
      <c r="D33" t="inlineStr">
        <is>
          <t>Transport Services</t>
        </is>
      </c>
      <c r="E33" t="n">
        <v>216000</v>
      </c>
      <c r="F33" t="n">
        <v>10928.52</v>
      </c>
      <c r="G33" t="n">
        <v>0.96</v>
      </c>
      <c r="H33" t="inlineStr">
        <is>
          <t>Large Cap</t>
        </is>
      </c>
    </row>
    <row r="34">
      <c r="B34" t="inlineStr">
        <is>
          <t>Varun Beverages Ltd</t>
        </is>
      </c>
      <c r="C34" t="inlineStr">
        <is>
          <t>INE200M01039</t>
        </is>
      </c>
      <c r="D34" t="inlineStr">
        <is>
          <t>Beverages</t>
        </is>
      </c>
      <c r="E34" t="n">
        <v>2200000</v>
      </c>
      <c r="F34" t="n">
        <v>10776.7</v>
      </c>
      <c r="G34" t="n">
        <v>0.95</v>
      </c>
      <c r="H34" t="inlineStr">
        <is>
          <t>Large Cap</t>
        </is>
      </c>
    </row>
    <row r="35">
      <c r="B35" t="inlineStr">
        <is>
          <t>Oberoi Realty Ltd</t>
        </is>
      </c>
      <c r="C35" t="inlineStr">
        <is>
          <t>INE093I01010</t>
        </is>
      </c>
      <c r="D35" t="inlineStr">
        <is>
          <t>Realty</t>
        </is>
      </c>
      <c r="E35" t="n">
        <v>638000</v>
      </c>
      <c r="F35" t="n">
        <v>10658.43</v>
      </c>
      <c r="G35" t="n">
        <v>0.9399999999999999</v>
      </c>
      <c r="H35" t="inlineStr">
        <is>
          <t>Mid Cap</t>
        </is>
      </c>
    </row>
    <row r="36">
      <c r="B36" t="inlineStr">
        <is>
          <t>Max Financial Services Ltd</t>
        </is>
      </c>
      <c r="C36" t="inlineStr">
        <is>
          <t>INE180A01020</t>
        </is>
      </c>
      <c r="D36" t="inlineStr">
        <is>
          <t>Insurance</t>
        </is>
      </c>
      <c r="E36" t="n">
        <v>635000</v>
      </c>
      <c r="F36" t="n">
        <v>10615.93</v>
      </c>
      <c r="G36" t="n">
        <v>0.93</v>
      </c>
      <c r="H36" t="inlineStr">
        <is>
          <t>Mid Cap</t>
        </is>
      </c>
    </row>
    <row r="37">
      <c r="B37" t="inlineStr">
        <is>
          <t>SBI Life Insurance Co Ltd</t>
        </is>
      </c>
      <c r="C37" t="inlineStr">
        <is>
          <t>INE123W01016</t>
        </is>
      </c>
      <c r="D37" t="inlineStr">
        <is>
          <t>Insurance</t>
        </is>
      </c>
      <c r="E37" t="n">
        <v>515000</v>
      </c>
      <c r="F37" t="n">
        <v>10479.74</v>
      </c>
      <c r="G37" t="n">
        <v>0.92</v>
      </c>
      <c r="H37" t="inlineStr">
        <is>
          <t>Large Cap</t>
        </is>
      </c>
    </row>
    <row r="38">
      <c r="B38" t="inlineStr">
        <is>
          <t>NTPC Ltd</t>
        </is>
      </c>
      <c r="C38" t="inlineStr">
        <is>
          <t>INE733E01010</t>
        </is>
      </c>
      <c r="D38" t="inlineStr">
        <is>
          <t>Power</t>
        </is>
      </c>
      <c r="E38" t="n">
        <v>3163000</v>
      </c>
      <c r="F38" t="n">
        <v>10423.67</v>
      </c>
      <c r="G38" t="n">
        <v>0.91</v>
      </c>
      <c r="H38" t="inlineStr">
        <is>
          <t>Large Cap</t>
        </is>
      </c>
    </row>
    <row r="39">
      <c r="B39" t="inlineStr">
        <is>
          <t>Bharat Electronics Ltd</t>
        </is>
      </c>
      <c r="C39" t="inlineStr">
        <is>
          <t>INE263A01024</t>
        </is>
      </c>
      <c r="D39" t="inlineStr">
        <is>
          <t>Aerospace &amp; Defense</t>
        </is>
      </c>
      <c r="E39" t="n">
        <v>2600000</v>
      </c>
      <c r="F39" t="n">
        <v>10389.6</v>
      </c>
      <c r="G39" t="n">
        <v>0.91</v>
      </c>
      <c r="H39" t="inlineStr">
        <is>
          <t>Large Cap</t>
        </is>
      </c>
    </row>
    <row r="40">
      <c r="B40" t="inlineStr">
        <is>
          <t>Titan Co Ltd</t>
        </is>
      </c>
      <c r="C40" t="inlineStr">
        <is>
          <t>INE280A01028</t>
        </is>
      </c>
      <c r="D40" t="inlineStr">
        <is>
          <t>Consumer Durables</t>
        </is>
      </c>
      <c r="E40" t="n">
        <v>255000</v>
      </c>
      <c r="F40" t="n">
        <v>10331.33</v>
      </c>
      <c r="G40" t="n">
        <v>0.91</v>
      </c>
      <c r="H40" t="inlineStr">
        <is>
          <t>Large Cap</t>
        </is>
      </c>
    </row>
    <row r="41">
      <c r="B41" t="inlineStr">
        <is>
          <t>BSE Ltd</t>
        </is>
      </c>
      <c r="C41" t="inlineStr">
        <is>
          <t>INE118H01025</t>
        </is>
      </c>
      <c r="D41" t="inlineStr">
        <is>
          <t>Capital Markets</t>
        </is>
      </c>
      <c r="E41" t="n">
        <v>379000</v>
      </c>
      <c r="F41" t="n">
        <v>9976.040000000001</v>
      </c>
      <c r="G41" t="n">
        <v>0.88</v>
      </c>
      <c r="H41" t="inlineStr">
        <is>
          <t>Mid Cap</t>
        </is>
      </c>
    </row>
    <row r="42">
      <c r="B42" t="inlineStr">
        <is>
          <t>United Spirits Ltd</t>
        </is>
      </c>
      <c r="C42" t="inlineStr">
        <is>
          <t>INE854D01024</t>
        </is>
      </c>
      <c r="D42" t="inlineStr">
        <is>
          <t>Beverages</t>
        </is>
      </c>
      <c r="E42" t="n">
        <v>680000</v>
      </c>
      <c r="F42" t="n">
        <v>9817.16</v>
      </c>
      <c r="G42" t="n">
        <v>0.86</v>
      </c>
      <c r="H42" t="inlineStr">
        <is>
          <t>Mid Cap</t>
        </is>
      </c>
    </row>
    <row r="43">
      <c r="B43" t="inlineStr">
        <is>
          <t>Voltas Ltd</t>
        </is>
      </c>
      <c r="C43" t="inlineStr">
        <is>
          <t>INE226A01021</t>
        </is>
      </c>
      <c r="D43" t="inlineStr">
        <is>
          <t>Consumer Durables</t>
        </is>
      </c>
      <c r="E43" t="n">
        <v>683000</v>
      </c>
      <c r="F43" t="n">
        <v>9297</v>
      </c>
      <c r="G43" t="n">
        <v>0.82</v>
      </c>
      <c r="H43" t="inlineStr">
        <is>
          <t>Mid Cap</t>
        </is>
      </c>
    </row>
    <row r="44">
      <c r="B44" t="inlineStr">
        <is>
          <t>Max Healthcare Institute Ltd</t>
        </is>
      </c>
      <c r="C44" t="inlineStr">
        <is>
          <t>INE027H01010</t>
        </is>
      </c>
      <c r="D44" t="inlineStr">
        <is>
          <t>Healthcare Services</t>
        </is>
      </c>
      <c r="E44" t="n">
        <v>877000</v>
      </c>
      <c r="F44" t="n">
        <v>9165.530000000001</v>
      </c>
      <c r="G44" t="n">
        <v>0.8</v>
      </c>
      <c r="H44" t="inlineStr">
        <is>
          <t>Large Cap</t>
        </is>
      </c>
    </row>
    <row r="45">
      <c r="B45" t="inlineStr">
        <is>
          <t>Tata Power Co Ltd</t>
        </is>
      </c>
      <c r="C45" t="inlineStr">
        <is>
          <t>INE245A01021</t>
        </is>
      </c>
      <c r="D45" t="inlineStr">
        <is>
          <t>Power</t>
        </is>
      </c>
      <c r="E45" t="n">
        <v>2350000</v>
      </c>
      <c r="F45" t="n">
        <v>8920.6</v>
      </c>
      <c r="G45" t="n">
        <v>0.78</v>
      </c>
      <c r="H45" t="inlineStr">
        <is>
          <t>Large Cap</t>
        </is>
      </c>
    </row>
    <row r="46">
      <c r="B46" t="inlineStr">
        <is>
          <t>Bharat Petroleum Corporation Ltd</t>
        </is>
      </c>
      <c r="C46" t="inlineStr">
        <is>
          <t>INE029A01011</t>
        </is>
      </c>
      <c r="D46" t="inlineStr">
        <is>
          <t>Petroleum Products</t>
        </is>
      </c>
      <c r="E46" t="n">
        <v>2175000</v>
      </c>
      <c r="F46" t="n">
        <v>8352</v>
      </c>
      <c r="G46" t="n">
        <v>0.73</v>
      </c>
      <c r="H46" t="inlineStr">
        <is>
          <t>Large Cap</t>
        </is>
      </c>
    </row>
    <row r="47">
      <c r="B47" t="inlineStr">
        <is>
          <t>Hindustan Aeronautics Ltd</t>
        </is>
      </c>
      <c r="C47" t="inlineStr">
        <is>
          <t>INE066F01020</t>
        </is>
      </c>
      <c r="D47" t="inlineStr">
        <is>
          <t>Aerospace &amp; Defense</t>
        </is>
      </c>
      <c r="E47" t="n">
        <v>190000</v>
      </c>
      <c r="F47" t="n">
        <v>8338.530000000001</v>
      </c>
      <c r="G47" t="n">
        <v>0.73</v>
      </c>
      <c r="H47" t="inlineStr">
        <is>
          <t>Large Cap</t>
        </is>
      </c>
    </row>
    <row r="48">
      <c r="B48" t="inlineStr">
        <is>
          <t>Godrej Consumer Products Ltd</t>
        </is>
      </c>
      <c r="C48" t="inlineStr">
        <is>
          <t>INE102D01028</t>
        </is>
      </c>
      <c r="D48" t="inlineStr">
        <is>
          <t>Personal Products</t>
        </is>
      </c>
      <c r="E48" t="n">
        <v>680000</v>
      </c>
      <c r="F48" t="n">
        <v>8310.959999999999</v>
      </c>
      <c r="G48" t="n">
        <v>0.73</v>
      </c>
      <c r="H48" t="inlineStr">
        <is>
          <t>Large Cap</t>
        </is>
      </c>
    </row>
    <row r="49">
      <c r="B49" t="inlineStr">
        <is>
          <t>Prudent Corporate Advisory Services Ltd</t>
        </is>
      </c>
      <c r="C49" t="inlineStr">
        <is>
          <t>INE00F201020</t>
        </is>
      </c>
      <c r="D49" t="inlineStr">
        <is>
          <t>Capital Markets</t>
        </is>
      </c>
      <c r="E49" t="n">
        <v>322438</v>
      </c>
      <c r="F49" t="n">
        <v>8217.01</v>
      </c>
      <c r="G49" t="n">
        <v>0.72</v>
      </c>
      <c r="H49" t="inlineStr">
        <is>
          <t>Small Cap</t>
        </is>
      </c>
    </row>
    <row r="50">
      <c r="B50" t="inlineStr">
        <is>
          <t>Motherson Sumi Wiring India Ltd</t>
        </is>
      </c>
      <c r="C50" t="inlineStr">
        <is>
          <t>INE0FS801015</t>
        </is>
      </c>
      <c r="D50" t="inlineStr">
        <is>
          <t>Auto Components</t>
        </is>
      </c>
      <c r="E50" t="n">
        <v>16875000</v>
      </c>
      <c r="F50" t="n">
        <v>8187.75</v>
      </c>
      <c r="G50" t="n">
        <v>0.72</v>
      </c>
      <c r="H50" t="inlineStr">
        <is>
          <t>Small Cap</t>
        </is>
      </c>
    </row>
    <row r="51">
      <c r="B51" t="inlineStr">
        <is>
          <t>Navin Fluorine International Ltd</t>
        </is>
      </c>
      <c r="C51" t="inlineStr">
        <is>
          <t>INE048G01026</t>
        </is>
      </c>
      <c r="D51" t="inlineStr">
        <is>
          <t>Chemicals &amp; Petrochemicals</t>
        </is>
      </c>
      <c r="E51" t="n">
        <v>138300</v>
      </c>
      <c r="F51" t="n">
        <v>8187.36</v>
      </c>
      <c r="G51" t="n">
        <v>0.72</v>
      </c>
      <c r="H51" t="inlineStr">
        <is>
          <t>Small Cap</t>
        </is>
      </c>
    </row>
    <row r="52">
      <c r="B52" t="inlineStr">
        <is>
          <t>Bajaj Auto Ltd</t>
        </is>
      </c>
      <c r="C52" t="inlineStr">
        <is>
          <t>INE917I01010</t>
        </is>
      </c>
      <c r="D52" t="inlineStr">
        <is>
          <t>Automobiles</t>
        </is>
      </c>
      <c r="E52" t="n">
        <v>85000</v>
      </c>
      <c r="F52" t="n">
        <v>7941.55</v>
      </c>
      <c r="G52" t="n">
        <v>0.7</v>
      </c>
      <c r="H52" t="inlineStr">
        <is>
          <t>Large Cap</t>
        </is>
      </c>
    </row>
    <row r="53">
      <c r="B53" t="inlineStr">
        <is>
          <t>PNB Housing Finance Ltd</t>
        </is>
      </c>
      <c r="C53" t="inlineStr">
        <is>
          <t>INE572E01012</t>
        </is>
      </c>
      <c r="D53" t="inlineStr">
        <is>
          <t>Finance</t>
        </is>
      </c>
      <c r="E53" t="n">
        <v>830000</v>
      </c>
      <c r="F53" t="n">
        <v>7897.45</v>
      </c>
      <c r="G53" t="n">
        <v>0.6899999999999999</v>
      </c>
      <c r="H53" t="inlineStr">
        <is>
          <t>Small Cap</t>
        </is>
      </c>
    </row>
    <row r="54">
      <c r="B54" t="inlineStr">
        <is>
          <t>Vinati Organics Ltd</t>
        </is>
      </c>
      <c r="C54" t="inlineStr">
        <is>
          <t>INE410B01037</t>
        </is>
      </c>
      <c r="D54" t="inlineStr">
        <is>
          <t>Chemicals &amp; Petrochemicals</t>
        </is>
      </c>
      <c r="E54" t="n">
        <v>484724</v>
      </c>
      <c r="F54" t="n">
        <v>7703.23</v>
      </c>
      <c r="G54" t="n">
        <v>0.68</v>
      </c>
      <c r="H54" t="inlineStr">
        <is>
          <t>Small Cap</t>
        </is>
      </c>
    </row>
    <row r="55">
      <c r="B55" t="inlineStr">
        <is>
          <t>Info Edge (India) Ltd</t>
        </is>
      </c>
      <c r="C55" t="inlineStr">
        <is>
          <t>INE663F01032</t>
        </is>
      </c>
      <c r="D55" t="inlineStr">
        <is>
          <t>Retailing</t>
        </is>
      </c>
      <c r="E55" t="n">
        <v>576700</v>
      </c>
      <c r="F55" t="n">
        <v>7690.87</v>
      </c>
      <c r="G55" t="n">
        <v>0.68</v>
      </c>
      <c r="H55" t="inlineStr">
        <is>
          <t>Mid Cap</t>
        </is>
      </c>
    </row>
    <row r="56">
      <c r="B56" t="inlineStr">
        <is>
          <t>Jubilant Foodworks Ltd</t>
        </is>
      </c>
      <c r="C56" t="inlineStr">
        <is>
          <t>INE797F01020</t>
        </is>
      </c>
      <c r="D56" t="inlineStr">
        <is>
          <t>Leisure Services</t>
        </is>
      </c>
      <c r="E56" t="n">
        <v>1350000</v>
      </c>
      <c r="F56" t="n">
        <v>7541.1</v>
      </c>
      <c r="G56" t="n">
        <v>0.66</v>
      </c>
      <c r="H56" t="inlineStr">
        <is>
          <t>Mid Cap</t>
        </is>
      </c>
    </row>
    <row r="57">
      <c r="B57" t="inlineStr">
        <is>
          <t>CG Power and Industrial Solutions Ltd</t>
        </is>
      </c>
      <c r="C57" t="inlineStr">
        <is>
          <t>INE067A01029</t>
        </is>
      </c>
      <c r="D57" t="inlineStr">
        <is>
          <t>Electrical Equipment</t>
        </is>
      </c>
      <c r="E57" t="n">
        <v>1100000</v>
      </c>
      <c r="F57" t="n">
        <v>7126.9</v>
      </c>
      <c r="G57" t="n">
        <v>0.63</v>
      </c>
      <c r="H57" t="inlineStr">
        <is>
          <t>Large Cap</t>
        </is>
      </c>
    </row>
    <row r="58">
      <c r="B58" t="inlineStr">
        <is>
          <t>Mahindra &amp; Mahindra Ltd</t>
        </is>
      </c>
      <c r="C58" t="inlineStr">
        <is>
          <t>INE101A01026</t>
        </is>
      </c>
      <c r="D58" t="inlineStr">
        <is>
          <t>Automobiles</t>
        </is>
      </c>
      <c r="E58" t="n">
        <v>182500</v>
      </c>
      <c r="F58" t="n">
        <v>6769.29</v>
      </c>
      <c r="G58" t="n">
        <v>0.59</v>
      </c>
      <c r="H58" t="inlineStr">
        <is>
          <t>Large Cap</t>
        </is>
      </c>
    </row>
    <row r="59">
      <c r="B59" t="inlineStr">
        <is>
          <t>Tata Steel Ltd</t>
        </is>
      </c>
      <c r="C59" t="inlineStr">
        <is>
          <t>INE081A01020</t>
        </is>
      </c>
      <c r="D59" t="inlineStr">
        <is>
          <t>Ferrous Metals</t>
        </is>
      </c>
      <c r="E59" t="n">
        <v>3750000</v>
      </c>
      <c r="F59" t="n">
        <v>6753</v>
      </c>
      <c r="G59" t="n">
        <v>0.59</v>
      </c>
      <c r="H59" t="inlineStr">
        <is>
          <t>Large Cap</t>
        </is>
      </c>
    </row>
    <row r="60">
      <c r="B60" t="inlineStr">
        <is>
          <t>J.B. Chemicals &amp; Pharmaceuticals Ltd</t>
        </is>
      </c>
      <c r="C60" t="inlineStr">
        <is>
          <t>INE572A01036</t>
        </is>
      </c>
      <c r="D60" t="inlineStr">
        <is>
          <t>Pharmaceuticals &amp; Biotechnology</t>
        </is>
      </c>
      <c r="E60" t="n">
        <v>363100</v>
      </c>
      <c r="F60" t="n">
        <v>6607.33</v>
      </c>
      <c r="G60" t="n">
        <v>0.58</v>
      </c>
      <c r="H60" t="inlineStr">
        <is>
          <t>Small Cap</t>
        </is>
      </c>
    </row>
    <row r="61">
      <c r="B61" t="inlineStr">
        <is>
          <t>FSN E-Commerce Ventures Ltd</t>
        </is>
      </c>
      <c r="C61" t="inlineStr">
        <is>
          <t>INE388Y01029</t>
        </is>
      </c>
      <c r="D61" t="inlineStr">
        <is>
          <t>Retailing</t>
        </is>
      </c>
      <c r="E61" t="n">
        <v>2450000</v>
      </c>
      <c r="F61" t="n">
        <v>6496.18</v>
      </c>
      <c r="G61" t="n">
        <v>0.57</v>
      </c>
      <c r="H61" t="inlineStr">
        <is>
          <t>Mid Cap</t>
        </is>
      </c>
    </row>
    <row r="62">
      <c r="B62" t="inlineStr">
        <is>
          <t>ICICI Lombard General Insurance Co Ltd</t>
        </is>
      </c>
      <c r="C62" t="inlineStr">
        <is>
          <t>INE765G01017</t>
        </is>
      </c>
      <c r="D62" t="inlineStr">
        <is>
          <t>Insurance</t>
        </is>
      </c>
      <c r="E62" t="n">
        <v>310000</v>
      </c>
      <c r="F62" t="n">
        <v>6082.51</v>
      </c>
      <c r="G62" t="n">
        <v>0.53</v>
      </c>
      <c r="H62" t="inlineStr">
        <is>
          <t>Mid Cap</t>
        </is>
      </c>
    </row>
    <row r="63">
      <c r="B63" t="inlineStr">
        <is>
          <t>Piramal Pharma Ltd</t>
        </is>
      </c>
      <c r="C63" t="inlineStr">
        <is>
          <t>INE0DK501011</t>
        </is>
      </c>
      <c r="D63" t="inlineStr">
        <is>
          <t>Pharmaceuticals &amp; Biotechnology</t>
        </is>
      </c>
      <c r="E63" t="n">
        <v>3150000</v>
      </c>
      <c r="F63" t="n">
        <v>5424.62</v>
      </c>
      <c r="G63" t="n">
        <v>0.48</v>
      </c>
      <c r="H63" t="inlineStr">
        <is>
          <t>Small Cap</t>
        </is>
      </c>
    </row>
    <row r="64">
      <c r="B64" t="inlineStr">
        <is>
          <t>PI Industries Ltd</t>
        </is>
      </c>
      <c r="C64" t="inlineStr">
        <is>
          <t>INE603J01030</t>
        </is>
      </c>
      <c r="D64" t="inlineStr">
        <is>
          <t>Fertilizers &amp; Agrochemicals</t>
        </is>
      </c>
      <c r="E64" t="n">
        <v>166000</v>
      </c>
      <c r="F64" t="n">
        <v>5375.41</v>
      </c>
      <c r="G64" t="n">
        <v>0.47</v>
      </c>
      <c r="H64" t="inlineStr">
        <is>
          <t>Mid Cap</t>
        </is>
      </c>
    </row>
    <row r="65">
      <c r="B65" t="inlineStr">
        <is>
          <t>KEC International Ltd</t>
        </is>
      </c>
      <c r="C65" t="inlineStr">
        <is>
          <t>INE389H01022</t>
        </is>
      </c>
      <c r="D65" t="inlineStr">
        <is>
          <t>Construction</t>
        </is>
      </c>
      <c r="E65" t="n">
        <v>724987</v>
      </c>
      <c r="F65" t="n">
        <v>5349.68</v>
      </c>
      <c r="G65" t="n">
        <v>0.47</v>
      </c>
      <c r="H65" t="inlineStr">
        <is>
          <t>Small Cap</t>
        </is>
      </c>
    </row>
    <row r="66">
      <c r="B66" t="inlineStr">
        <is>
          <t>Jyothy Labs Ltd</t>
        </is>
      </c>
      <c r="C66" t="inlineStr">
        <is>
          <t>INE668F01031</t>
        </is>
      </c>
      <c r="D66" t="inlineStr">
        <is>
          <t>Household Products</t>
        </is>
      </c>
      <c r="E66" t="n">
        <v>1870000</v>
      </c>
      <c r="F66" t="n">
        <v>5285.56</v>
      </c>
      <c r="G66" t="n">
        <v>0.46</v>
      </c>
      <c r="H66" t="inlineStr">
        <is>
          <t>Small Cap</t>
        </is>
      </c>
    </row>
    <row r="67">
      <c r="B67" t="inlineStr">
        <is>
          <t>PVR Inox Ltd</t>
        </is>
      </c>
      <c r="C67" t="inlineStr">
        <is>
          <t>INE191H01014</t>
        </is>
      </c>
      <c r="D67" t="inlineStr">
        <is>
          <t>Entertainment</t>
        </is>
      </c>
      <c r="E67" t="n">
        <v>500000</v>
      </c>
      <c r="F67" t="n">
        <v>5076</v>
      </c>
      <c r="G67" t="n">
        <v>0.45</v>
      </c>
      <c r="H67" t="inlineStr">
        <is>
          <t>Small Cap</t>
        </is>
      </c>
    </row>
    <row r="68">
      <c r="B68" t="inlineStr">
        <is>
          <t>Sonata Software Ltd</t>
        </is>
      </c>
      <c r="C68" t="inlineStr">
        <is>
          <t>INE269A01021</t>
        </is>
      </c>
      <c r="D68" t="inlineStr">
        <is>
          <t>IT - Software</t>
        </is>
      </c>
      <c r="E68" t="n">
        <v>1050000</v>
      </c>
      <c r="F68" t="n">
        <v>3778.43</v>
      </c>
      <c r="G68" t="n">
        <v>0.33</v>
      </c>
      <c r="H68" t="inlineStr">
        <is>
          <t>Small Cap</t>
        </is>
      </c>
    </row>
    <row r="69">
      <c r="B69" t="inlineStr">
        <is>
          <t>One 97 Communications Ltd</t>
        </is>
      </c>
      <c r="C69" t="inlineStr">
        <is>
          <t>INE982J01020</t>
        </is>
      </c>
      <c r="D69" t="inlineStr">
        <is>
          <t>Financial Technology (Fintech)</t>
        </is>
      </c>
      <c r="E69" t="n">
        <v>280000</v>
      </c>
      <c r="F69" t="n">
        <v>3636.92</v>
      </c>
      <c r="G69" t="n">
        <v>0.32</v>
      </c>
      <c r="H69" t="inlineStr">
        <is>
          <t>Mid Cap</t>
        </is>
      </c>
    </row>
    <row r="70">
      <c r="B70" t="inlineStr">
        <is>
          <t>WeWork India Management Ltd</t>
        </is>
      </c>
      <c r="C70" t="inlineStr">
        <is>
          <t>INE085001019</t>
        </is>
      </c>
      <c r="D70" t="inlineStr">
        <is>
          <t>Commercial Services &amp; Supplies</t>
        </is>
      </c>
      <c r="E70" t="n">
        <v>197200</v>
      </c>
      <c r="F70" t="n">
        <v>1192.37</v>
      </c>
      <c r="G70" t="n">
        <v>0.1</v>
      </c>
      <c r="H70" t="inlineStr">
        <is>
          <t>Small Cap</t>
        </is>
      </c>
    </row>
    <row r="71">
      <c r="B71" t="inlineStr">
        <is>
          <t>Sub Total</t>
        </is>
      </c>
      <c r="F71">
        <f>SUM(F7:F70)</f>
        <v/>
      </c>
      <c r="G71">
        <f>SUM(G7:G70)</f>
        <v/>
      </c>
    </row>
    <row r="72">
      <c r="B72" t="inlineStr">
        <is>
          <t>Total</t>
        </is>
      </c>
      <c r="F72">
        <f>F71</f>
        <v/>
      </c>
      <c r="G72">
        <f>G71</f>
        <v/>
      </c>
    </row>
    <row r="73">
      <c r="B73" t="inlineStr">
        <is>
          <t>Debt Instruments</t>
        </is>
      </c>
    </row>
    <row r="74">
      <c r="B74" t="inlineStr">
        <is>
          <t>(a) Listed / awaiting listing on Stock Exchanges</t>
        </is>
      </c>
    </row>
    <row r="75">
      <c r="B75" t="inlineStr">
        <is>
          <t>7.79% Small Industries Development Bank Of India (14/05/2027) **</t>
        </is>
      </c>
      <c r="C75" t="inlineStr">
        <is>
          <t>INE556F08KM1</t>
        </is>
      </c>
      <c r="D75" t="inlineStr">
        <is>
          <t>CRISIL AAA</t>
        </is>
      </c>
      <c r="E75" t="n">
        <v>10000</v>
      </c>
      <c r="F75" t="n">
        <v>10128.77</v>
      </c>
      <c r="G75" t="n">
        <v>0.89</v>
      </c>
      <c r="I75" t="n">
        <v>6.81</v>
      </c>
    </row>
    <row r="76">
      <c r="B76" t="inlineStr">
        <is>
          <t>7.54% Small Industries Development Bank Of India (12/01/2026) **</t>
        </is>
      </c>
      <c r="C76" t="inlineStr">
        <is>
          <t>INE556F08KF5</t>
        </is>
      </c>
      <c r="D76" t="inlineStr">
        <is>
          <t>ICRA AAA</t>
        </is>
      </c>
      <c r="E76" t="n">
        <v>750</v>
      </c>
      <c r="F76" t="n">
        <v>7503.08</v>
      </c>
      <c r="G76" t="n">
        <v>0.66</v>
      </c>
      <c r="I76" t="n">
        <v>6.14</v>
      </c>
    </row>
    <row r="77">
      <c r="B77" t="inlineStr">
        <is>
          <t>7.87% LIC Housing Finance Ltd (14/05/2029) **</t>
        </is>
      </c>
      <c r="C77" t="inlineStr">
        <is>
          <t>INE115A07QQ7</t>
        </is>
      </c>
      <c r="D77" t="inlineStr">
        <is>
          <t>CRISIL AAA</t>
        </is>
      </c>
      <c r="E77" t="n">
        <v>5000</v>
      </c>
      <c r="F77" t="n">
        <v>5103.45</v>
      </c>
      <c r="G77" t="n">
        <v>0.45</v>
      </c>
      <c r="I77" t="n">
        <v>7.14</v>
      </c>
    </row>
    <row r="78">
      <c r="B78" t="inlineStr">
        <is>
          <t>7.70% National Bank For Agriculture &amp; Rural Development (30/09/2027) **</t>
        </is>
      </c>
      <c r="C78" t="inlineStr">
        <is>
          <t>INE261F08EI9</t>
        </is>
      </c>
      <c r="D78" t="inlineStr">
        <is>
          <t>CRISIL AAA</t>
        </is>
      </c>
      <c r="E78" t="n">
        <v>5000</v>
      </c>
      <c r="F78" t="n">
        <v>5067.37</v>
      </c>
      <c r="G78" t="n">
        <v>0.44</v>
      </c>
      <c r="I78" t="n">
        <v>6.83</v>
      </c>
    </row>
    <row r="79">
      <c r="B79" t="inlineStr">
        <is>
          <t>7.74% LIC Housing Finance Ltd (11/02/2028)</t>
        </is>
      </c>
      <c r="C79" t="inlineStr">
        <is>
          <t>INE115A07QW5</t>
        </is>
      </c>
      <c r="D79" t="inlineStr">
        <is>
          <t>CRISIL AAA</t>
        </is>
      </c>
      <c r="E79" t="n">
        <v>5000</v>
      </c>
      <c r="F79" t="n">
        <v>5065.23</v>
      </c>
      <c r="G79" t="n">
        <v>0.44</v>
      </c>
      <c r="I79" t="n">
        <v>7.04</v>
      </c>
    </row>
    <row r="80">
      <c r="B80" t="inlineStr">
        <is>
          <t>7.59% REC Ltd (31/05/2027) **</t>
        </is>
      </c>
      <c r="C80" t="inlineStr">
        <is>
          <t>INE020B08FA2</t>
        </is>
      </c>
      <c r="D80" t="inlineStr">
        <is>
          <t>CRISIL AAA</t>
        </is>
      </c>
      <c r="E80" t="n">
        <v>5000</v>
      </c>
      <c r="F80" t="n">
        <v>5049.46</v>
      </c>
      <c r="G80" t="n">
        <v>0.44</v>
      </c>
      <c r="I80" t="n">
        <v>6.79</v>
      </c>
    </row>
    <row r="81">
      <c r="B81" t="inlineStr">
        <is>
          <t>7.71% REC Ltd (26/02/2027) **</t>
        </is>
      </c>
      <c r="C81" t="inlineStr">
        <is>
          <t>INE020B08EW9</t>
        </is>
      </c>
      <c r="D81" t="inlineStr">
        <is>
          <t>CRISIL AAA</t>
        </is>
      </c>
      <c r="E81" t="n">
        <v>5000</v>
      </c>
      <c r="F81" t="n">
        <v>5048.07</v>
      </c>
      <c r="G81" t="n">
        <v>0.44</v>
      </c>
      <c r="I81" t="n">
        <v>6.79</v>
      </c>
    </row>
    <row r="82">
      <c r="B82" t="inlineStr">
        <is>
          <t>8.10% Bajaj Finance Ltd (08/01/2027) **</t>
        </is>
      </c>
      <c r="C82" t="inlineStr">
        <is>
          <t>INE296A07SR9</t>
        </is>
      </c>
      <c r="D82" t="inlineStr">
        <is>
          <t>CRISIL AAA</t>
        </is>
      </c>
      <c r="E82" t="n">
        <v>5000</v>
      </c>
      <c r="F82" t="n">
        <v>5047.29</v>
      </c>
      <c r="G82" t="n">
        <v>0.44</v>
      </c>
      <c r="I82" t="n">
        <v>7.1</v>
      </c>
    </row>
    <row r="83">
      <c r="B83" t="inlineStr">
        <is>
          <t>7.65% HDB Financial Services Ltd (10/09/2027)</t>
        </is>
      </c>
      <c r="C83" t="inlineStr">
        <is>
          <t>INE756I07EJ2</t>
        </is>
      </c>
      <c r="D83" t="inlineStr">
        <is>
          <t>CRISIL AAA</t>
        </is>
      </c>
      <c r="E83" t="n">
        <v>500</v>
      </c>
      <c r="F83" t="n">
        <v>5035.03</v>
      </c>
      <c r="G83" t="n">
        <v>0.44</v>
      </c>
      <c r="I83" t="n">
        <v>7.16</v>
      </c>
    </row>
    <row r="84">
      <c r="B84" t="inlineStr">
        <is>
          <t>8.255% KOTAK MAHINDRA PRIME LTD 22-JUN-26 **</t>
        </is>
      </c>
      <c r="C84" t="inlineStr">
        <is>
          <t>INE916DA7SF5</t>
        </is>
      </c>
      <c r="D84" t="inlineStr">
        <is>
          <t>CRISIL AAA</t>
        </is>
      </c>
      <c r="E84" t="n">
        <v>5000</v>
      </c>
      <c r="F84" t="n">
        <v>5023.93</v>
      </c>
      <c r="G84" t="n">
        <v>0.44</v>
      </c>
      <c r="I84" t="n">
        <v>6.9</v>
      </c>
    </row>
    <row r="85">
      <c r="B85" t="inlineStr">
        <is>
          <t>7.70% REC Ltd (31/08/2026)</t>
        </is>
      </c>
      <c r="C85" t="inlineStr">
        <is>
          <t>INE020B08FC8</t>
        </is>
      </c>
      <c r="D85" t="inlineStr">
        <is>
          <t>ICRA AAA</t>
        </is>
      </c>
      <c r="E85" t="n">
        <v>5000</v>
      </c>
      <c r="F85" t="n">
        <v>5022.95</v>
      </c>
      <c r="G85" t="n">
        <v>0.44</v>
      </c>
      <c r="I85" t="n">
        <v>6.8</v>
      </c>
    </row>
    <row r="86">
      <c r="B86" t="inlineStr">
        <is>
          <t>7.64% REC Ltd (30/06/2026) **</t>
        </is>
      </c>
      <c r="C86" t="inlineStr">
        <is>
          <t>INE020B08EM0</t>
        </is>
      </c>
      <c r="D86" t="inlineStr">
        <is>
          <t>CRISIL AAA</t>
        </is>
      </c>
      <c r="E86" t="n">
        <v>5000</v>
      </c>
      <c r="F86" t="n">
        <v>5019.98</v>
      </c>
      <c r="G86" t="n">
        <v>0.44</v>
      </c>
      <c r="I86" t="n">
        <v>6.55</v>
      </c>
    </row>
    <row r="87">
      <c r="B87" t="inlineStr">
        <is>
          <t>7.84% HDB Financial Services Ltd (14/07/2026) **</t>
        </is>
      </c>
      <c r="C87" t="inlineStr">
        <is>
          <t>INE756I07EN4</t>
        </is>
      </c>
      <c r="D87" t="inlineStr">
        <is>
          <t>CRISIL AAA</t>
        </is>
      </c>
      <c r="E87" t="n">
        <v>500</v>
      </c>
      <c r="F87" t="n">
        <v>5014.94</v>
      </c>
      <c r="G87" t="n">
        <v>0.44</v>
      </c>
      <c r="I87" t="n">
        <v>7</v>
      </c>
    </row>
    <row r="88">
      <c r="B88" t="inlineStr">
        <is>
          <t>8.0736% HDB FINANCIAL SERVICES LTD 17-APR-26 **</t>
        </is>
      </c>
      <c r="C88" t="inlineStr">
        <is>
          <t>INE756I07EP9</t>
        </is>
      </c>
      <c r="D88" t="inlineStr">
        <is>
          <t>CRISIL AAA</t>
        </is>
      </c>
      <c r="E88" t="n">
        <v>5000</v>
      </c>
      <c r="F88" t="n">
        <v>5011.01</v>
      </c>
      <c r="G88" t="n">
        <v>0.44</v>
      </c>
      <c r="I88" t="n">
        <v>6.9</v>
      </c>
    </row>
    <row r="89">
      <c r="B89" t="inlineStr">
        <is>
          <t>8.00% Bajaj Housing Finance Ltd (16/02/2026) **</t>
        </is>
      </c>
      <c r="C89" t="inlineStr">
        <is>
          <t>INE377Y07466</t>
        </is>
      </c>
      <c r="D89" t="inlineStr">
        <is>
          <t>CRISIL AAA</t>
        </is>
      </c>
      <c r="E89" t="n">
        <v>5000</v>
      </c>
      <c r="F89" t="n">
        <v>5010.06</v>
      </c>
      <c r="G89" t="n">
        <v>0.44</v>
      </c>
      <c r="I89" t="n">
        <v>5.97</v>
      </c>
    </row>
    <row r="90">
      <c r="B90" t="inlineStr">
        <is>
          <t>8.00% Bajaj Finance Ltd (27/02/2026) **</t>
        </is>
      </c>
      <c r="C90" t="inlineStr">
        <is>
          <t>INE296A07SJ6</t>
        </is>
      </c>
      <c r="D90" t="inlineStr">
        <is>
          <t>CRISIL AAA</t>
        </is>
      </c>
      <c r="E90" t="n">
        <v>500</v>
      </c>
      <c r="F90" t="n">
        <v>5008.62</v>
      </c>
      <c r="G90" t="n">
        <v>0.44</v>
      </c>
      <c r="I90" t="n">
        <v>6.45</v>
      </c>
    </row>
    <row r="91">
      <c r="B91" t="inlineStr">
        <is>
          <t>7.64% National Bank For Agriculture &amp; Rural Development (06/12/2029) **</t>
        </is>
      </c>
      <c r="C91" t="inlineStr">
        <is>
          <t>INE261F08EJ7</t>
        </is>
      </c>
      <c r="D91" t="inlineStr">
        <is>
          <t>ICRA AAA</t>
        </is>
      </c>
      <c r="E91" t="n">
        <v>4000</v>
      </c>
      <c r="F91" t="n">
        <v>4086.72</v>
      </c>
      <c r="G91" t="n">
        <v>0.36</v>
      </c>
      <c r="I91" t="n">
        <v>6.99</v>
      </c>
    </row>
    <row r="92">
      <c r="B92" t="inlineStr">
        <is>
          <t>7.95% LIC Housing Finance Ltd (29/01/2028)</t>
        </is>
      </c>
      <c r="C92" t="inlineStr">
        <is>
          <t>INE115A07MW4</t>
        </is>
      </c>
      <c r="D92" t="inlineStr">
        <is>
          <t>CRISIL AAA</t>
        </is>
      </c>
      <c r="E92" t="n">
        <v>400</v>
      </c>
      <c r="F92" t="n">
        <v>4068.11</v>
      </c>
      <c r="G92" t="n">
        <v>0.36</v>
      </c>
      <c r="I92" t="n">
        <v>7.03</v>
      </c>
    </row>
    <row r="93">
      <c r="B93" t="inlineStr">
        <is>
          <t>6.68% LIC Housing Finance Ltd (04/06/2028) **</t>
        </is>
      </c>
      <c r="C93" t="inlineStr">
        <is>
          <t>INE115A07PH8</t>
        </is>
      </c>
      <c r="D93" t="inlineStr">
        <is>
          <t>CRISIL AAA</t>
        </is>
      </c>
      <c r="E93" t="n">
        <v>300</v>
      </c>
      <c r="F93" t="n">
        <v>2975.03</v>
      </c>
      <c r="G93" t="n">
        <v>0.26</v>
      </c>
      <c r="I93" t="n">
        <v>7.04</v>
      </c>
    </row>
    <row r="94">
      <c r="B94" t="inlineStr">
        <is>
          <t>7.75% HDFC Bank Ltd (13/06/2033) **</t>
        </is>
      </c>
      <c r="C94" t="inlineStr">
        <is>
          <t>INE040A08AF2</t>
        </is>
      </c>
      <c r="D94" t="inlineStr">
        <is>
          <t>CRISIL AAA</t>
        </is>
      </c>
      <c r="E94" t="n">
        <v>2500</v>
      </c>
      <c r="F94" t="n">
        <v>2554.12</v>
      </c>
      <c r="G94" t="n">
        <v>0.22</v>
      </c>
      <c r="I94" t="n">
        <v>7.35</v>
      </c>
    </row>
    <row r="95">
      <c r="B95" t="inlineStr">
        <is>
          <t>7.75% LIC Housing Finance Ltd (23/08/2029) **</t>
        </is>
      </c>
      <c r="C95" t="inlineStr">
        <is>
          <t>INE115A07QU9</t>
        </is>
      </c>
      <c r="D95" t="inlineStr">
        <is>
          <t>CRISIL AAA</t>
        </is>
      </c>
      <c r="E95" t="n">
        <v>2500</v>
      </c>
      <c r="F95" t="n">
        <v>2543.93</v>
      </c>
      <c r="G95" t="n">
        <v>0.22</v>
      </c>
      <c r="I95" t="n">
        <v>7.17</v>
      </c>
    </row>
    <row r="96">
      <c r="B96" t="inlineStr">
        <is>
          <t>7.68% LIC Housing Finance Ltd (29/05/2034) **</t>
        </is>
      </c>
      <c r="C96" t="inlineStr">
        <is>
          <t>INE115A07QR5</t>
        </is>
      </c>
      <c r="D96" t="inlineStr">
        <is>
          <t>CRISIL AAA</t>
        </is>
      </c>
      <c r="E96" t="n">
        <v>2500</v>
      </c>
      <c r="F96" t="n">
        <v>2539.49</v>
      </c>
      <c r="G96" t="n">
        <v>0.22</v>
      </c>
      <c r="I96" t="n">
        <v>7.41</v>
      </c>
    </row>
    <row r="97">
      <c r="B97" t="inlineStr">
        <is>
          <t>7.39% Small Industries Development Bank Of India (21/03/2030) **</t>
        </is>
      </c>
      <c r="C97" t="inlineStr">
        <is>
          <t>INE556F08KY6</t>
        </is>
      </c>
      <c r="D97" t="inlineStr">
        <is>
          <t>CARE AAA</t>
        </is>
      </c>
      <c r="E97" t="n">
        <v>2500</v>
      </c>
      <c r="F97" t="n">
        <v>2533.51</v>
      </c>
      <c r="G97" t="n">
        <v>0.22</v>
      </c>
      <c r="I97" t="n">
        <v>7</v>
      </c>
    </row>
    <row r="98">
      <c r="B98" t="inlineStr">
        <is>
          <t>7.57% LIC Housing Finance Ltd (18/10/2029)</t>
        </is>
      </c>
      <c r="C98" t="inlineStr">
        <is>
          <t>INE115A07QY1</t>
        </is>
      </c>
      <c r="D98" t="inlineStr">
        <is>
          <t>CRISIL AAA</t>
        </is>
      </c>
      <c r="E98" t="n">
        <v>2500</v>
      </c>
      <c r="F98" t="n">
        <v>2531.17</v>
      </c>
      <c r="G98" t="n">
        <v>0.22</v>
      </c>
      <c r="I98" t="n">
        <v>7.17</v>
      </c>
    </row>
    <row r="99">
      <c r="B99" t="inlineStr">
        <is>
          <t>7.42% Power Finance Corporation Ltd (15/04/2028) **</t>
        </is>
      </c>
      <c r="C99" t="inlineStr">
        <is>
          <t>INE134E08NL6</t>
        </is>
      </c>
      <c r="D99" t="inlineStr">
        <is>
          <t>CRISIL AAA</t>
        </is>
      </c>
      <c r="E99" t="n">
        <v>2500</v>
      </c>
      <c r="F99" t="n">
        <v>2529.77</v>
      </c>
      <c r="G99" t="n">
        <v>0.22</v>
      </c>
      <c r="I99" t="n">
        <v>6.84</v>
      </c>
    </row>
    <row r="100">
      <c r="B100" t="inlineStr">
        <is>
          <t>7.61% LIC Housing Finance Ltd (29/08/2034) **</t>
        </is>
      </c>
      <c r="C100" t="inlineStr">
        <is>
          <t>INE115A07QV7</t>
        </is>
      </c>
      <c r="D100" t="inlineStr">
        <is>
          <t>CRISIL AAA</t>
        </is>
      </c>
      <c r="E100" t="n">
        <v>2500</v>
      </c>
      <c r="F100" t="n">
        <v>2529.61</v>
      </c>
      <c r="G100" t="n">
        <v>0.22</v>
      </c>
      <c r="I100" t="n">
        <v>7.41</v>
      </c>
    </row>
    <row r="101">
      <c r="B101" t="inlineStr">
        <is>
          <t>7.80% National Bank For Agriculture &amp; Rural Development (15/03/2027)</t>
        </is>
      </c>
      <c r="C101" t="inlineStr">
        <is>
          <t>INE261F08EF5</t>
        </is>
      </c>
      <c r="D101" t="inlineStr">
        <is>
          <t>ICRA AAA</t>
        </is>
      </c>
      <c r="E101" t="n">
        <v>2500</v>
      </c>
      <c r="F101" t="n">
        <v>2526.88</v>
      </c>
      <c r="G101" t="n">
        <v>0.22</v>
      </c>
      <c r="I101" t="n">
        <v>6.8</v>
      </c>
    </row>
    <row r="102">
      <c r="B102" t="inlineStr">
        <is>
          <t>7.34% Small Industries Development Bank Of India (26/02/2029) **</t>
        </is>
      </c>
      <c r="C102" t="inlineStr">
        <is>
          <t>INE556F08KS8</t>
        </is>
      </c>
      <c r="D102" t="inlineStr">
        <is>
          <t>CRISIL AAA</t>
        </is>
      </c>
      <c r="E102" t="n">
        <v>2500</v>
      </c>
      <c r="F102" t="n">
        <v>2524.38</v>
      </c>
      <c r="G102" t="n">
        <v>0.22</v>
      </c>
      <c r="I102" t="n">
        <v>6.99</v>
      </c>
    </row>
    <row r="103">
      <c r="B103" t="inlineStr">
        <is>
          <t>7.69% LIC Housing Finance Ltd (11/12/2026) **</t>
        </is>
      </c>
      <c r="C103" t="inlineStr">
        <is>
          <t>INE115A07RA9</t>
        </is>
      </c>
      <c r="D103" t="inlineStr">
        <is>
          <t>CRISIL AAA</t>
        </is>
      </c>
      <c r="E103" t="n">
        <v>2500</v>
      </c>
      <c r="F103" t="n">
        <v>2516.69</v>
      </c>
      <c r="G103" t="n">
        <v>0.22</v>
      </c>
      <c r="I103" t="n">
        <v>6.91</v>
      </c>
    </row>
    <row r="104">
      <c r="B104" t="inlineStr">
        <is>
          <t>7.23% Indian Railway Finance Corporation Ltd (15/10/2026)</t>
        </is>
      </c>
      <c r="C104" t="inlineStr">
        <is>
          <t>INE053F08304</t>
        </is>
      </c>
      <c r="D104" t="inlineStr">
        <is>
          <t>CRISIL AAA</t>
        </is>
      </c>
      <c r="E104" t="n">
        <v>2500</v>
      </c>
      <c r="F104" t="n">
        <v>2508.72</v>
      </c>
      <c r="G104" t="n">
        <v>0.22</v>
      </c>
      <c r="I104" t="n">
        <v>6.77</v>
      </c>
    </row>
    <row r="105">
      <c r="B105" t="inlineStr">
        <is>
          <t>8.0610% ICICI HOME FINANCE CO LTD 25-MAR-26 **</t>
        </is>
      </c>
      <c r="C105" t="inlineStr">
        <is>
          <t>INE071G07637</t>
        </is>
      </c>
      <c r="D105" t="inlineStr">
        <is>
          <t>ICRA AAA</t>
        </is>
      </c>
      <c r="E105" t="n">
        <v>2500</v>
      </c>
      <c r="F105" t="n">
        <v>2508.57</v>
      </c>
      <c r="G105" t="n">
        <v>0.22</v>
      </c>
      <c r="I105" t="n">
        <v>6.15</v>
      </c>
    </row>
    <row r="106">
      <c r="B106" t="inlineStr">
        <is>
          <t>7.9237% BAJAJ HOUSING FINANCE LTD 16-MAR-26 **</t>
        </is>
      </c>
      <c r="C106" t="inlineStr">
        <is>
          <t>INE377Y07375</t>
        </is>
      </c>
      <c r="D106" t="inlineStr">
        <is>
          <t>CRISIL AAA</t>
        </is>
      </c>
      <c r="E106" t="n">
        <v>250</v>
      </c>
      <c r="F106" t="n">
        <v>2507.42</v>
      </c>
      <c r="G106" t="n">
        <v>0.22</v>
      </c>
      <c r="I106" t="n">
        <v>6.06</v>
      </c>
    </row>
    <row r="107">
      <c r="B107" t="inlineStr">
        <is>
          <t>7.60% REC Ltd (28/02/2026) **</t>
        </is>
      </c>
      <c r="C107" t="inlineStr">
        <is>
          <t>INE020B08EF4</t>
        </is>
      </c>
      <c r="D107" t="inlineStr">
        <is>
          <t>CRISIL AAA</t>
        </is>
      </c>
      <c r="E107" t="n">
        <v>2500</v>
      </c>
      <c r="F107" t="n">
        <v>2504.05</v>
      </c>
      <c r="G107" t="n">
        <v>0.22</v>
      </c>
      <c r="I107" t="n">
        <v>6.16</v>
      </c>
    </row>
    <row r="108">
      <c r="B108" t="inlineStr">
        <is>
          <t>7.11% Small Industries Development Bank Of India (27/02/2026) **</t>
        </is>
      </c>
      <c r="C108" t="inlineStr">
        <is>
          <t>INE556F08KB4</t>
        </is>
      </c>
      <c r="D108" t="inlineStr">
        <is>
          <t>CARE AAA</t>
        </is>
      </c>
      <c r="E108" t="n">
        <v>250</v>
      </c>
      <c r="F108" t="n">
        <v>2503.32</v>
      </c>
      <c r="G108" t="n">
        <v>0.22</v>
      </c>
      <c r="I108" t="n">
        <v>6.09</v>
      </c>
    </row>
    <row r="109">
      <c r="B109" t="inlineStr">
        <is>
          <t>7.2337% BAJAJ FINANCE LTD 28-JUN-27 **</t>
        </is>
      </c>
      <c r="C109" t="inlineStr">
        <is>
          <t>INE296A07TK2</t>
        </is>
      </c>
      <c r="D109" t="inlineStr">
        <is>
          <t>CRISIL AAA</t>
        </is>
      </c>
      <c r="E109" t="n">
        <v>2500</v>
      </c>
      <c r="F109" t="n">
        <v>2501.33</v>
      </c>
      <c r="G109" t="n">
        <v>0.22</v>
      </c>
      <c r="I109" t="n">
        <v>7.12</v>
      </c>
    </row>
    <row r="110">
      <c r="B110" t="inlineStr">
        <is>
          <t>7.18% Sundaram Finance Ltd (16/05/2028) **</t>
        </is>
      </c>
      <c r="C110" t="inlineStr">
        <is>
          <t>INE660A07RX6</t>
        </is>
      </c>
      <c r="D110" t="inlineStr">
        <is>
          <t>CRISIL AAA</t>
        </is>
      </c>
      <c r="E110" t="n">
        <v>2500</v>
      </c>
      <c r="F110" t="n">
        <v>2498.28</v>
      </c>
      <c r="G110" t="n">
        <v>0.22</v>
      </c>
      <c r="I110" t="n">
        <v>7.19</v>
      </c>
    </row>
    <row r="111">
      <c r="B111" t="inlineStr">
        <is>
          <t>7.07% LIC Housing Finance Ltd (29/04/2030) **</t>
        </is>
      </c>
      <c r="C111" t="inlineStr">
        <is>
          <t>INE115A07RG6</t>
        </is>
      </c>
      <c r="D111" t="inlineStr">
        <is>
          <t>CRISIL AAA</t>
        </is>
      </c>
      <c r="E111" t="n">
        <v>2500</v>
      </c>
      <c r="F111" t="n">
        <v>2488.74</v>
      </c>
      <c r="G111" t="n">
        <v>0.22</v>
      </c>
      <c r="I111" t="n">
        <v>7.18</v>
      </c>
    </row>
    <row r="112">
      <c r="B112" t="inlineStr">
        <is>
          <t>8.2250%KOTAK MAHINDRA PRIME LTD21-APR-27 **</t>
        </is>
      </c>
      <c r="C112" t="inlineStr">
        <is>
          <t>INE916DA7SO7</t>
        </is>
      </c>
      <c r="D112" t="inlineStr">
        <is>
          <t>CRISIL AAA</t>
        </is>
      </c>
      <c r="E112" t="n">
        <v>1500</v>
      </c>
      <c r="F112" t="n">
        <v>1519.5</v>
      </c>
      <c r="G112" t="n">
        <v>0.13</v>
      </c>
      <c r="I112" t="n">
        <v>7.09</v>
      </c>
    </row>
    <row r="113">
      <c r="B113" t="inlineStr">
        <is>
          <t>7.77% National Housing Bank (02/04/2026)</t>
        </is>
      </c>
      <c r="C113" t="inlineStr">
        <is>
          <t>INE557F08FP2</t>
        </is>
      </c>
      <c r="D113" t="inlineStr">
        <is>
          <t>CRISIL AAA</t>
        </is>
      </c>
      <c r="E113" t="n">
        <v>1000</v>
      </c>
      <c r="F113" t="n">
        <v>1001.89</v>
      </c>
      <c r="G113" t="n">
        <v>0.09</v>
      </c>
      <c r="I113" t="n">
        <v>6.6</v>
      </c>
    </row>
    <row r="114">
      <c r="B114" t="inlineStr">
        <is>
          <t>8.45% Indian Railway Finance Corporation Ltd (04/12/2028) **</t>
        </is>
      </c>
      <c r="C114" t="inlineStr">
        <is>
          <t>INE053F07AY7</t>
        </is>
      </c>
      <c r="D114" t="inlineStr">
        <is>
          <t>CRISIL AAA</t>
        </is>
      </c>
      <c r="E114" t="n">
        <v>25</v>
      </c>
      <c r="F114" t="n">
        <v>260.43</v>
      </c>
      <c r="G114" t="n">
        <v>0.02</v>
      </c>
      <c r="I114" t="n">
        <v>6.82</v>
      </c>
    </row>
    <row r="115">
      <c r="B115" t="inlineStr">
        <is>
          <t>6.00% TVS Motor Co Ltd NCRPS **</t>
        </is>
      </c>
      <c r="C115" t="inlineStr">
        <is>
          <t>INE494B04019</t>
        </is>
      </c>
      <c r="D115" t="inlineStr">
        <is>
          <t>CARE A1+</t>
        </is>
      </c>
      <c r="E115" t="n">
        <v>1680000</v>
      </c>
      <c r="F115" t="n">
        <v>171.12</v>
      </c>
      <c r="G115" t="n">
        <v>0.02</v>
      </c>
      <c r="I115" t="n">
        <v>6.105</v>
      </c>
    </row>
    <row r="116">
      <c r="B116" t="inlineStr">
        <is>
          <t>8.22% National Bank For Agriculture &amp; Rural Development (13/12/2028) **</t>
        </is>
      </c>
      <c r="C116" t="inlineStr">
        <is>
          <t>INE261F08AV0</t>
        </is>
      </c>
      <c r="D116" t="inlineStr">
        <is>
          <t>CRISIL AAA</t>
        </is>
      </c>
      <c r="E116" t="n">
        <v>12</v>
      </c>
      <c r="F116" t="n">
        <v>124.49</v>
      </c>
      <c r="G116" t="n">
        <v>0.01</v>
      </c>
      <c r="I116" t="n">
        <v>6.91</v>
      </c>
    </row>
    <row r="117">
      <c r="B117" t="inlineStr">
        <is>
          <t>Sub Total</t>
        </is>
      </c>
      <c r="F117">
        <f>SUM(F74:F116)</f>
        <v/>
      </c>
      <c r="G117">
        <f>SUM(G74:G116)</f>
        <v/>
      </c>
    </row>
    <row r="118">
      <c r="B118" t="inlineStr">
        <is>
          <t>Total</t>
        </is>
      </c>
      <c r="F118">
        <f>F117</f>
        <v/>
      </c>
      <c r="G118">
        <f>G117</f>
        <v/>
      </c>
    </row>
    <row r="119">
      <c r="B119" t="inlineStr">
        <is>
          <t>Money Market Instruments</t>
        </is>
      </c>
    </row>
    <row r="120">
      <c r="B120" t="inlineStr">
        <is>
          <t>Certificate of Deposit</t>
        </is>
      </c>
    </row>
    <row r="121">
      <c r="B121" t="inlineStr">
        <is>
          <t>Axis Bank Ltd (04/02/2026) ** #</t>
        </is>
      </c>
      <c r="C121" t="inlineStr">
        <is>
          <t>INE238AD6AM2</t>
        </is>
      </c>
      <c r="D121" t="inlineStr">
        <is>
          <t>CRISIL A1+</t>
        </is>
      </c>
      <c r="E121" t="n">
        <v>500</v>
      </c>
      <c r="F121" t="n">
        <v>2486.31</v>
      </c>
      <c r="G121" t="n">
        <v>0.22</v>
      </c>
      <c r="I121" t="n">
        <v>5.91</v>
      </c>
    </row>
    <row r="122">
      <c r="B122" t="inlineStr">
        <is>
          <t>Punjab National Bank (05/03/2026) ** #</t>
        </is>
      </c>
      <c r="C122" t="inlineStr">
        <is>
          <t>INE160A16TS4</t>
        </is>
      </c>
      <c r="D122" t="inlineStr">
        <is>
          <t>IND A1+</t>
        </is>
      </c>
      <c r="E122" t="n">
        <v>500</v>
      </c>
      <c r="F122" t="n">
        <v>2474.74</v>
      </c>
      <c r="G122" t="n">
        <v>0.22</v>
      </c>
      <c r="I122" t="n">
        <v>5.91</v>
      </c>
    </row>
    <row r="123">
      <c r="B123" t="inlineStr">
        <is>
          <t>Sub Total</t>
        </is>
      </c>
      <c r="F123">
        <f>SUM(F120:F122)</f>
        <v/>
      </c>
      <c r="G123">
        <f>SUM(G120:G122)</f>
        <v/>
      </c>
    </row>
    <row r="124">
      <c r="B124" t="inlineStr">
        <is>
          <t>Treasury Bill</t>
        </is>
      </c>
    </row>
    <row r="125">
      <c r="B125" t="inlineStr">
        <is>
          <t>364 DTB (08-JAN-2026)</t>
        </is>
      </c>
      <c r="C125" t="inlineStr">
        <is>
          <t>IN002024Z396</t>
        </is>
      </c>
      <c r="D125" t="inlineStr">
        <is>
          <t xml:space="preserve"> Sovereign</t>
        </is>
      </c>
      <c r="E125" t="n">
        <v>1000000</v>
      </c>
      <c r="F125" t="n">
        <v>998.99</v>
      </c>
      <c r="G125" t="n">
        <v>0.09</v>
      </c>
      <c r="I125" t="n">
        <v>5.25</v>
      </c>
    </row>
    <row r="126">
      <c r="B126" t="inlineStr">
        <is>
          <t>364 DTB (10-SEP-2026)</t>
        </is>
      </c>
      <c r="C126" t="inlineStr">
        <is>
          <t>IN002025Z245</t>
        </is>
      </c>
      <c r="D126" t="inlineStr">
        <is>
          <t xml:space="preserve"> Sovereign</t>
        </is>
      </c>
      <c r="E126" t="n">
        <v>1000000</v>
      </c>
      <c r="F126" t="n">
        <v>963.66</v>
      </c>
      <c r="G126" t="n">
        <v>0.08</v>
      </c>
      <c r="I126" t="n">
        <v>5.46</v>
      </c>
    </row>
    <row r="127">
      <c r="B127" t="inlineStr">
        <is>
          <t>Sub Total</t>
        </is>
      </c>
      <c r="F127">
        <f>SUM(F124:F126)</f>
        <v/>
      </c>
      <c r="G127">
        <f>SUM(G124:G126)</f>
        <v/>
      </c>
    </row>
    <row r="128">
      <c r="B128" t="inlineStr">
        <is>
          <t>Total</t>
        </is>
      </c>
      <c r="F128">
        <f>F123+F127</f>
        <v/>
      </c>
      <c r="G128">
        <f>G123+G127</f>
        <v/>
      </c>
    </row>
    <row r="129">
      <c r="B129" t="inlineStr">
        <is>
          <t>Government Bonds</t>
        </is>
      </c>
    </row>
    <row r="130">
      <c r="B130" t="inlineStr">
        <is>
          <t>GOI FRB 2034 (30-OCT-2034)</t>
        </is>
      </c>
      <c r="C130" t="inlineStr">
        <is>
          <t>IN0020210137</t>
        </is>
      </c>
      <c r="D130" t="inlineStr">
        <is>
          <t>Sovereign</t>
        </is>
      </c>
      <c r="E130" t="n">
        <v>17650000</v>
      </c>
      <c r="F130" t="n">
        <v>17958.88</v>
      </c>
      <c r="G130" t="n">
        <v>1.58</v>
      </c>
      <c r="I130" t="n">
        <v>6.28</v>
      </c>
    </row>
    <row r="131">
      <c r="B131" t="inlineStr">
        <is>
          <t>6.48% GOI 2035 (06-OCT-2035)</t>
        </is>
      </c>
      <c r="C131" t="inlineStr">
        <is>
          <t>IN0020250091</t>
        </is>
      </c>
      <c r="D131" t="inlineStr">
        <is>
          <t>Sovereign</t>
        </is>
      </c>
      <c r="E131" t="n">
        <v>13843700</v>
      </c>
      <c r="F131" t="n">
        <v>13724.08</v>
      </c>
      <c r="G131" t="n">
        <v>1.2</v>
      </c>
      <c r="I131" t="n">
        <v>6.71</v>
      </c>
    </row>
    <row r="132">
      <c r="B132" t="inlineStr">
        <is>
          <t>6.28% GOI 2032 (14-JUL-2032)</t>
        </is>
      </c>
      <c r="C132" t="inlineStr">
        <is>
          <t>IN0020250059</t>
        </is>
      </c>
      <c r="D132" t="inlineStr">
        <is>
          <t>Sovereign</t>
        </is>
      </c>
      <c r="E132" t="n">
        <v>13047200</v>
      </c>
      <c r="F132" t="n">
        <v>12849.18</v>
      </c>
      <c r="G132" t="n">
        <v>1.13</v>
      </c>
      <c r="I132" t="n">
        <v>6.68</v>
      </c>
    </row>
    <row r="133">
      <c r="B133" t="inlineStr">
        <is>
          <t>6.79% GOI 2034 (07-OCT-2034)</t>
        </is>
      </c>
      <c r="C133" t="inlineStr">
        <is>
          <t>IN0020240126</t>
        </is>
      </c>
      <c r="D133" t="inlineStr">
        <is>
          <t>Sovereign</t>
        </is>
      </c>
      <c r="E133" t="n">
        <v>8500000</v>
      </c>
      <c r="F133" t="n">
        <v>8576.190000000001</v>
      </c>
      <c r="G133" t="n">
        <v>0.75</v>
      </c>
      <c r="I133" t="n">
        <v>6.76</v>
      </c>
    </row>
    <row r="134">
      <c r="B134" t="inlineStr">
        <is>
          <t>7.24% GOI 2055 (18-AUG-2055)</t>
        </is>
      </c>
      <c r="C134" t="inlineStr">
        <is>
          <t>IN0020250075</t>
        </is>
      </c>
      <c r="D134" t="inlineStr">
        <is>
          <t>Sovereign</t>
        </is>
      </c>
      <c r="E134" t="n">
        <v>8000000</v>
      </c>
      <c r="F134" t="n">
        <v>7978.18</v>
      </c>
      <c r="G134" t="n">
        <v>0.7</v>
      </c>
      <c r="I134" t="n">
        <v>7.39</v>
      </c>
    </row>
    <row r="135">
      <c r="B135" t="inlineStr">
        <is>
          <t>7.49% RAJASTHAN SDL 28-AUG-35</t>
        </is>
      </c>
      <c r="C135" t="inlineStr">
        <is>
          <t>IN2920250163</t>
        </is>
      </c>
      <c r="D135" t="inlineStr">
        <is>
          <t>Sovereign</t>
        </is>
      </c>
      <c r="E135" t="n">
        <v>6000000</v>
      </c>
      <c r="F135" t="n">
        <v>6004.01</v>
      </c>
      <c r="G135" t="n">
        <v>0.53</v>
      </c>
      <c r="I135" t="n">
        <v>7.62</v>
      </c>
    </row>
    <row r="136">
      <c r="B136" t="inlineStr">
        <is>
          <t>6.90% GOI 2065 (15-APR-2065)</t>
        </is>
      </c>
      <c r="C136" t="inlineStr">
        <is>
          <t>IN0020250018</t>
        </is>
      </c>
      <c r="D136" t="inlineStr">
        <is>
          <t>Sovereign</t>
        </is>
      </c>
      <c r="E136" t="n">
        <v>6000000</v>
      </c>
      <c r="F136" t="n">
        <v>5661.62</v>
      </c>
      <c r="G136" t="n">
        <v>0.5</v>
      </c>
      <c r="I136" t="n">
        <v>7.47</v>
      </c>
    </row>
    <row r="137">
      <c r="B137" t="inlineStr">
        <is>
          <t>7.34% GOI 2064 (22-APR-2064)</t>
        </is>
      </c>
      <c r="C137" t="inlineStr">
        <is>
          <t>IN0020240035</t>
        </is>
      </c>
      <c r="D137" t="inlineStr">
        <is>
          <t>Sovereign</t>
        </is>
      </c>
      <c r="E137" t="n">
        <v>5500000</v>
      </c>
      <c r="F137" t="n">
        <v>5483.46</v>
      </c>
      <c r="G137" t="n">
        <v>0.48</v>
      </c>
      <c r="I137" t="n">
        <v>7.5</v>
      </c>
    </row>
    <row r="138">
      <c r="B138" t="inlineStr">
        <is>
          <t>6.79% GOI 2031 (30-DEC-2031)</t>
        </is>
      </c>
      <c r="C138" t="inlineStr">
        <is>
          <t>IN0020240191</t>
        </is>
      </c>
      <c r="D138" t="inlineStr">
        <is>
          <t>Sovereign</t>
        </is>
      </c>
      <c r="E138" t="n">
        <v>5000000</v>
      </c>
      <c r="F138" t="n">
        <v>5066</v>
      </c>
      <c r="G138" t="n">
        <v>0.44</v>
      </c>
      <c r="I138" t="n">
        <v>6.63</v>
      </c>
    </row>
    <row r="139">
      <c r="B139" t="inlineStr">
        <is>
          <t>7.32% GOI 2073 (13-NOV-2030)</t>
        </is>
      </c>
      <c r="C139" t="inlineStr">
        <is>
          <t>IN0020230135</t>
        </is>
      </c>
      <c r="D139" t="inlineStr">
        <is>
          <t>Sovereign</t>
        </is>
      </c>
      <c r="E139" t="n">
        <v>2500000</v>
      </c>
      <c r="F139" t="n">
        <v>2596.18</v>
      </c>
      <c r="G139" t="n">
        <v>0.23</v>
      </c>
      <c r="I139" t="n">
        <v>6.49</v>
      </c>
    </row>
    <row r="140">
      <c r="B140" t="inlineStr">
        <is>
          <t>7.54% ANDHRA PRADESH SDL 11-JAN-29</t>
        </is>
      </c>
      <c r="C140" t="inlineStr">
        <is>
          <t>IN1020220613</t>
        </is>
      </c>
      <c r="D140" t="inlineStr">
        <is>
          <t>Sovereign</t>
        </is>
      </c>
      <c r="E140" t="n">
        <v>2500000</v>
      </c>
      <c r="F140" t="n">
        <v>2561.76</v>
      </c>
      <c r="G140" t="n">
        <v>0.22</v>
      </c>
      <c r="I140" t="n">
        <v>6.73</v>
      </c>
    </row>
    <row r="141">
      <c r="B141" t="inlineStr">
        <is>
          <t>7.02% GOI 2031 (18-JUN-2031)</t>
        </is>
      </c>
      <c r="C141" t="inlineStr">
        <is>
          <t>IN0020240076</t>
        </is>
      </c>
      <c r="D141" t="inlineStr">
        <is>
          <t>Sovereign</t>
        </is>
      </c>
      <c r="E141" t="n">
        <v>2500000</v>
      </c>
      <c r="F141" t="n">
        <v>2561.25</v>
      </c>
      <c r="G141" t="n">
        <v>0.22</v>
      </c>
      <c r="I141" t="n">
        <v>6.58</v>
      </c>
    </row>
    <row r="142">
      <c r="B142" t="inlineStr">
        <is>
          <t>7.48% MAHARASHTRA SDL 07-FEB-35</t>
        </is>
      </c>
      <c r="C142" t="inlineStr">
        <is>
          <t>IN2220230212</t>
        </is>
      </c>
      <c r="D142" t="inlineStr">
        <is>
          <t>Sovereign</t>
        </is>
      </c>
      <c r="E142" t="n">
        <v>2500000</v>
      </c>
      <c r="F142" t="n">
        <v>2512.4</v>
      </c>
      <c r="G142" t="n">
        <v>0.22</v>
      </c>
      <c r="I142" t="n">
        <v>7.54</v>
      </c>
    </row>
    <row r="143">
      <c r="B143" t="inlineStr">
        <is>
          <t>6.80% TAMIL NADU SDL 02-JUL-35</t>
        </is>
      </c>
      <c r="C143" t="inlineStr">
        <is>
          <t>IN3120250151</t>
        </is>
      </c>
      <c r="D143" t="inlineStr">
        <is>
          <t>Sovereign</t>
        </is>
      </c>
      <c r="E143" t="n">
        <v>2500000</v>
      </c>
      <c r="F143" t="n">
        <v>2400.15</v>
      </c>
      <c r="G143" t="n">
        <v>0.21</v>
      </c>
      <c r="I143" t="n">
        <v>7.53</v>
      </c>
    </row>
    <row r="144">
      <c r="B144" t="inlineStr">
        <is>
          <t>7.16% TAMIL NADU SDL 19-NOV-35</t>
        </is>
      </c>
      <c r="C144" t="inlineStr">
        <is>
          <t>IN3120250409</t>
        </is>
      </c>
      <c r="D144" t="inlineStr">
        <is>
          <t>Sovereign</t>
        </is>
      </c>
      <c r="E144" t="n">
        <v>1518100</v>
      </c>
      <c r="F144" t="n">
        <v>1492.44</v>
      </c>
      <c r="G144" t="n">
        <v>0.13</v>
      </c>
      <c r="I144" t="n">
        <v>7.54</v>
      </c>
    </row>
    <row r="145">
      <c r="B145" t="inlineStr">
        <is>
          <t>7.24% RAJASTHAN SDL 04-SEP-34</t>
        </is>
      </c>
      <c r="C145" t="inlineStr">
        <is>
          <t>IN2920240271</t>
        </is>
      </c>
      <c r="D145" t="inlineStr">
        <is>
          <t>Sovereign</t>
        </is>
      </c>
      <c r="E145" t="n">
        <v>1500000</v>
      </c>
      <c r="F145" t="n">
        <v>1485.29</v>
      </c>
      <c r="G145" t="n">
        <v>0.13</v>
      </c>
      <c r="I145" t="n">
        <v>7.53</v>
      </c>
    </row>
    <row r="146">
      <c r="B146" t="inlineStr">
        <is>
          <t>7.26% TAMIL NADU SDL 24-SEP-35</t>
        </is>
      </c>
      <c r="C146" t="inlineStr">
        <is>
          <t>IN3120250300</t>
        </is>
      </c>
      <c r="D146" t="inlineStr">
        <is>
          <t>Sovereign</t>
        </is>
      </c>
      <c r="E146" t="n">
        <v>1500000</v>
      </c>
      <c r="F146" t="n">
        <v>1485.12</v>
      </c>
      <c r="G146" t="n">
        <v>0.13</v>
      </c>
      <c r="I146" t="n">
        <v>7.54</v>
      </c>
    </row>
    <row r="147">
      <c r="B147" t="inlineStr">
        <is>
          <t>7.32% RAJASTHAN SDL 24-SEP-35</t>
        </is>
      </c>
      <c r="C147" t="inlineStr">
        <is>
          <t>IN2920250205</t>
        </is>
      </c>
      <c r="D147" t="inlineStr">
        <is>
          <t>Sovereign</t>
        </is>
      </c>
      <c r="E147" t="n">
        <v>1500000</v>
      </c>
      <c r="F147" t="n">
        <v>1483.57</v>
      </c>
      <c r="G147" t="n">
        <v>0.13</v>
      </c>
      <c r="I147" t="n">
        <v>7.62</v>
      </c>
    </row>
    <row r="148">
      <c r="B148" t="inlineStr">
        <is>
          <t>7.09% GOI 2074 (25-NOV-2074)</t>
        </is>
      </c>
      <c r="C148" t="inlineStr">
        <is>
          <t>IN0020240142</t>
        </is>
      </c>
      <c r="D148" t="inlineStr">
        <is>
          <t>Sovereign</t>
        </is>
      </c>
      <c r="E148" t="n">
        <v>1500000</v>
      </c>
      <c r="F148" t="n">
        <v>1444.67</v>
      </c>
      <c r="G148" t="n">
        <v>0.13</v>
      </c>
      <c r="I148" t="n">
        <v>7.51</v>
      </c>
    </row>
    <row r="149">
      <c r="B149" t="inlineStr">
        <is>
          <t>7.17% RAJASTHAN SDL 27-FEB-35</t>
        </is>
      </c>
      <c r="C149" t="inlineStr">
        <is>
          <t>IN2920240453</t>
        </is>
      </c>
      <c r="D149" t="inlineStr">
        <is>
          <t>Sovereign</t>
        </is>
      </c>
      <c r="E149" t="n">
        <v>1000000</v>
      </c>
      <c r="F149" t="n">
        <v>979.7</v>
      </c>
      <c r="G149" t="n">
        <v>0.09</v>
      </c>
      <c r="I149" t="n">
        <v>7.62</v>
      </c>
    </row>
    <row r="150">
      <c r="B150" t="inlineStr">
        <is>
          <t>8.15% INDIA GOVERNMENT 24-NOV-26</t>
        </is>
      </c>
      <c r="C150" t="inlineStr">
        <is>
          <t>IN0020140060</t>
        </is>
      </c>
      <c r="D150" t="inlineStr">
        <is>
          <t>Sovereign</t>
        </is>
      </c>
      <c r="E150" t="n">
        <v>500000</v>
      </c>
      <c r="F150" t="n">
        <v>510.98</v>
      </c>
      <c r="G150" t="n">
        <v>0.04</v>
      </c>
      <c r="I150" t="n">
        <v>5.68</v>
      </c>
    </row>
    <row r="151">
      <c r="B151" t="inlineStr">
        <is>
          <t>Total</t>
        </is>
      </c>
      <c r="F151">
        <f>SUM(F130:F150)</f>
        <v/>
      </c>
      <c r="G151">
        <f>SUM(G130:G150)</f>
        <v/>
      </c>
    </row>
    <row r="152">
      <c r="B152" t="inlineStr">
        <is>
          <t>TREPS</t>
        </is>
      </c>
    </row>
    <row r="153">
      <c r="B153" t="inlineStr">
        <is>
          <t>TREPS</t>
        </is>
      </c>
      <c r="F153" t="n">
        <v>28384.47</v>
      </c>
      <c r="G153" t="n">
        <v>2.49</v>
      </c>
    </row>
    <row r="154">
      <c r="B154" t="inlineStr">
        <is>
          <t>Sub Total</t>
        </is>
      </c>
      <c r="F154">
        <f>SUM(F152:F153)</f>
        <v/>
      </c>
      <c r="G154">
        <f>SUM(G152:G153)</f>
        <v/>
      </c>
    </row>
    <row r="155">
      <c r="B155" t="inlineStr">
        <is>
          <t>Total</t>
        </is>
      </c>
      <c r="F155">
        <f>F154</f>
        <v/>
      </c>
      <c r="G155">
        <f>G154</f>
        <v/>
      </c>
    </row>
    <row r="156">
      <c r="B156" t="inlineStr">
        <is>
          <t>Net Receivables / (Payables)</t>
        </is>
      </c>
      <c r="F156">
        <f>F157-(+F72+F118+F128+F151+F155)</f>
        <v/>
      </c>
      <c r="G156">
        <f>G157-(+G72+G118+G128+G151+G155)</f>
        <v/>
      </c>
    </row>
    <row r="157">
      <c r="B157" t="inlineStr">
        <is>
          <t>Grand Total</t>
        </is>
      </c>
      <c r="F157" t="n">
        <v>1139338.26</v>
      </c>
      <c r="G157" t="n">
        <v>100</v>
      </c>
    </row>
    <row r="159">
      <c r="B159" t="inlineStr">
        <is>
          <t>** Non Traded Security</t>
        </is>
      </c>
    </row>
    <row r="160">
      <c r="B160" t="inlineStr">
        <is>
          <t>#  Unlisted Security</t>
        </is>
      </c>
    </row>
    <row r="162">
      <c r="B162" t="inlineStr">
        <is>
          <t>Modified Duration (In Years)</t>
        </is>
      </c>
      <c r="C162" t="n">
        <v>2.9755</v>
      </c>
    </row>
    <row r="164">
      <c r="B164" t="inlineStr">
        <is>
          <t>Annualised Portfolio YTM</t>
        </is>
      </c>
      <c r="C164" t="n">
        <v>0.0668</v>
      </c>
    </row>
    <row r="166">
      <c r="B166" t="inlineStr">
        <is>
          <t>Macaulay Duration (In Years)</t>
        </is>
      </c>
      <c r="C166" t="n">
        <v>3.1206</v>
      </c>
    </row>
    <row r="168">
      <c r="B168" t="inlineStr">
        <is>
          <t>Please refer the below link for the performance of the Schemes managed by Canara Robeco Mutual Fund</t>
        </is>
      </c>
    </row>
    <row r="170">
      <c r="B170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INFRASTRUCTURE</t>
        </is>
      </c>
    </row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Larsen &amp; Toubro Ltd</t>
        </is>
      </c>
      <c r="C7" t="inlineStr">
        <is>
          <t>INE018A01030</t>
        </is>
      </c>
      <c r="D7" t="inlineStr">
        <is>
          <t>Construction</t>
        </is>
      </c>
      <c r="E7" t="n">
        <v>217901</v>
      </c>
      <c r="F7" t="n">
        <v>8897.99</v>
      </c>
      <c r="G7" t="n">
        <v>9.960000000000001</v>
      </c>
      <c r="H7" t="inlineStr">
        <is>
          <t>Large Cap</t>
        </is>
      </c>
    </row>
    <row r="8">
      <c r="B8" t="inlineStr">
        <is>
          <t>Reliance Industries Ltd</t>
        </is>
      </c>
      <c r="C8" t="inlineStr">
        <is>
          <t>INE002A01018</t>
        </is>
      </c>
      <c r="D8" t="inlineStr">
        <is>
          <t>Petroleum Products</t>
        </is>
      </c>
      <c r="E8" t="n">
        <v>291750</v>
      </c>
      <c r="F8" t="n">
        <v>4581.64</v>
      </c>
      <c r="G8" t="n">
        <v>5.13</v>
      </c>
      <c r="H8" t="inlineStr">
        <is>
          <t>Large Cap</t>
        </is>
      </c>
    </row>
    <row r="9">
      <c r="B9" t="inlineStr">
        <is>
          <t>State Bank of India</t>
        </is>
      </c>
      <c r="C9" t="inlineStr">
        <is>
          <t>INE062A01020</t>
        </is>
      </c>
      <c r="D9" t="inlineStr">
        <is>
          <t>Banks</t>
        </is>
      </c>
      <c r="E9" t="n">
        <v>442500</v>
      </c>
      <c r="F9" t="n">
        <v>4346.24</v>
      </c>
      <c r="G9" t="n">
        <v>4.86</v>
      </c>
      <c r="H9" t="inlineStr">
        <is>
          <t>Large Cap</t>
        </is>
      </c>
    </row>
    <row r="10">
      <c r="B10" t="inlineStr">
        <is>
          <t>NTPC Ltd</t>
        </is>
      </c>
      <c r="C10" t="inlineStr">
        <is>
          <t>INE733E01010</t>
        </is>
      </c>
      <c r="D10" t="inlineStr">
        <is>
          <t>Power</t>
        </is>
      </c>
      <c r="E10" t="n">
        <v>1106480</v>
      </c>
      <c r="F10" t="n">
        <v>3646.4</v>
      </c>
      <c r="G10" t="n">
        <v>4.08</v>
      </c>
      <c r="H10" t="inlineStr">
        <is>
          <t>Large Cap</t>
        </is>
      </c>
    </row>
    <row r="11">
      <c r="B11" t="inlineStr">
        <is>
          <t>Bharat Electronics Ltd</t>
        </is>
      </c>
      <c r="C11" t="inlineStr">
        <is>
          <t>INE263A01024</t>
        </is>
      </c>
      <c r="D11" t="inlineStr">
        <is>
          <t>Aerospace &amp; Defense</t>
        </is>
      </c>
      <c r="E11" t="n">
        <v>894000</v>
      </c>
      <c r="F11" t="n">
        <v>3572.42</v>
      </c>
      <c r="G11" t="n">
        <v>4</v>
      </c>
      <c r="H11" t="inlineStr">
        <is>
          <t>Large Cap</t>
        </is>
      </c>
    </row>
    <row r="12">
      <c r="B12" t="inlineStr">
        <is>
          <t>Ge Vernova T&amp;D India Ltd</t>
        </is>
      </c>
      <c r="C12" t="inlineStr">
        <is>
          <t>INE200A01026</t>
        </is>
      </c>
      <c r="D12" t="inlineStr">
        <is>
          <t>Electrical Equipment</t>
        </is>
      </c>
      <c r="E12" t="n">
        <v>99985</v>
      </c>
      <c r="F12" t="n">
        <v>3132.03</v>
      </c>
      <c r="G12" t="n">
        <v>3.5</v>
      </c>
      <c r="H12" t="inlineStr">
        <is>
          <t>Mid Cap</t>
        </is>
      </c>
    </row>
    <row r="13">
      <c r="B13" t="inlineStr">
        <is>
          <t>Tata Power Co Ltd</t>
        </is>
      </c>
      <c r="C13" t="inlineStr">
        <is>
          <t>INE245A01021</t>
        </is>
      </c>
      <c r="D13" t="inlineStr">
        <is>
          <t>Power</t>
        </is>
      </c>
      <c r="E13" t="n">
        <v>810000</v>
      </c>
      <c r="F13" t="n">
        <v>3074.76</v>
      </c>
      <c r="G13" t="n">
        <v>3.44</v>
      </c>
      <c r="H13" t="inlineStr">
        <is>
          <t>Large Cap</t>
        </is>
      </c>
      <c r="L13" t="inlineStr">
        <is>
          <t>Benchmark: BSE India Infrastructure TRI</t>
        </is>
      </c>
    </row>
    <row r="14">
      <c r="B14" t="inlineStr">
        <is>
          <t>Interglobe Aviation Ltd</t>
        </is>
      </c>
      <c r="C14" t="inlineStr">
        <is>
          <t>INE646L01027</t>
        </is>
      </c>
      <c r="D14" t="inlineStr">
        <is>
          <t>Transport Services</t>
        </is>
      </c>
      <c r="E14" t="n">
        <v>58250</v>
      </c>
      <c r="F14" t="n">
        <v>2947.16</v>
      </c>
      <c r="G14" t="n">
        <v>3.3</v>
      </c>
      <c r="H14" t="inlineStr">
        <is>
          <t>Large Cap</t>
        </is>
      </c>
    </row>
    <row r="15">
      <c r="B15" t="inlineStr">
        <is>
          <t>Bharti Airtel Ltd</t>
        </is>
      </c>
      <c r="C15" t="inlineStr">
        <is>
          <t>INE397D01024</t>
        </is>
      </c>
      <c r="D15" t="inlineStr">
        <is>
          <t>Telecom - Services</t>
        </is>
      </c>
      <c r="E15" t="n">
        <v>136600</v>
      </c>
      <c r="F15" t="n">
        <v>2876.25</v>
      </c>
      <c r="G15" t="n">
        <v>3.22</v>
      </c>
      <c r="H15" t="inlineStr">
        <is>
          <t>Large Cap</t>
        </is>
      </c>
    </row>
    <row r="16">
      <c r="B16" t="inlineStr">
        <is>
          <t>CG Power and Industrial Solutions Ltd</t>
        </is>
      </c>
      <c r="C16" t="inlineStr">
        <is>
          <t>INE067A01029</t>
        </is>
      </c>
      <c r="D16" t="inlineStr">
        <is>
          <t>Electrical Equipment</t>
        </is>
      </c>
      <c r="E16" t="n">
        <v>440650</v>
      </c>
      <c r="F16" t="n">
        <v>2854.97</v>
      </c>
      <c r="G16" t="n">
        <v>3.19</v>
      </c>
      <c r="H16" t="inlineStr">
        <is>
          <t>Large Cap</t>
        </is>
      </c>
    </row>
    <row r="17">
      <c r="B17" t="inlineStr">
        <is>
          <t>Cummins India Ltd</t>
        </is>
      </c>
      <c r="C17" t="inlineStr">
        <is>
          <t>INE298A01020</t>
        </is>
      </c>
      <c r="D17" t="inlineStr">
        <is>
          <t>Industrial Products</t>
        </is>
      </c>
      <c r="E17" t="n">
        <v>58500</v>
      </c>
      <c r="F17" t="n">
        <v>2594.12</v>
      </c>
      <c r="G17" t="n">
        <v>2.9</v>
      </c>
      <c r="H17" t="inlineStr">
        <is>
          <t>Large Cap</t>
        </is>
      </c>
    </row>
    <row r="18">
      <c r="B18" t="inlineStr">
        <is>
          <t>Power Grid Corporation of India Ltd</t>
        </is>
      </c>
      <c r="C18" t="inlineStr">
        <is>
          <t>INE752E01010</t>
        </is>
      </c>
      <c r="D18" t="inlineStr">
        <is>
          <t>Power</t>
        </is>
      </c>
      <c r="E18" t="n">
        <v>957546</v>
      </c>
      <c r="F18" t="n">
        <v>2533.67</v>
      </c>
      <c r="G18" t="n">
        <v>2.84</v>
      </c>
      <c r="H18" t="inlineStr">
        <is>
          <t>Large Cap</t>
        </is>
      </c>
    </row>
    <row r="19">
      <c r="B19" t="inlineStr">
        <is>
          <t>Power Finance Corporation Ltd</t>
        </is>
      </c>
      <c r="C19" t="inlineStr">
        <is>
          <t>INE134E01011</t>
        </is>
      </c>
      <c r="D19" t="inlineStr">
        <is>
          <t>Finance</t>
        </is>
      </c>
      <c r="E19" t="n">
        <v>660000</v>
      </c>
      <c r="F19" t="n">
        <v>2345.64</v>
      </c>
      <c r="G19" t="n">
        <v>2.62</v>
      </c>
      <c r="H19" t="inlineStr">
        <is>
          <t>Large Cap</t>
        </is>
      </c>
    </row>
    <row r="20">
      <c r="B20" t="inlineStr">
        <is>
          <t>Dixon Technologies (India) Ltd</t>
        </is>
      </c>
      <c r="C20" t="inlineStr">
        <is>
          <t>INE935N01020</t>
        </is>
      </c>
      <c r="D20" t="inlineStr">
        <is>
          <t>Consumer Durables</t>
        </is>
      </c>
      <c r="E20" t="n">
        <v>18950</v>
      </c>
      <c r="F20" t="n">
        <v>2293.33</v>
      </c>
      <c r="G20" t="n">
        <v>2.57</v>
      </c>
      <c r="H20" t="inlineStr">
        <is>
          <t>Mid Cap</t>
        </is>
      </c>
    </row>
    <row r="21">
      <c r="B21" t="inlineStr">
        <is>
          <t>Ultratech Cement Ltd</t>
        </is>
      </c>
      <c r="C21" t="inlineStr">
        <is>
          <t>INE481G01011</t>
        </is>
      </c>
      <c r="D21" t="inlineStr">
        <is>
          <t>Cement &amp; Cement Products</t>
        </is>
      </c>
      <c r="E21" t="n">
        <v>19350</v>
      </c>
      <c r="F21" t="n">
        <v>2280.2</v>
      </c>
      <c r="G21" t="n">
        <v>2.55</v>
      </c>
      <c r="H21" t="inlineStr">
        <is>
          <t>Large Cap</t>
        </is>
      </c>
    </row>
    <row r="22">
      <c r="B22" t="inlineStr">
        <is>
          <t>Solar Industries India Ltd</t>
        </is>
      </c>
      <c r="C22" t="inlineStr">
        <is>
          <t>INE343H01029</t>
        </is>
      </c>
      <c r="D22" t="inlineStr">
        <is>
          <t>Chemicals &amp; Petrochemicals</t>
        </is>
      </c>
      <c r="E22" t="n">
        <v>15812</v>
      </c>
      <c r="F22" t="n">
        <v>1937.29</v>
      </c>
      <c r="G22" t="n">
        <v>2.17</v>
      </c>
      <c r="H22" t="inlineStr">
        <is>
          <t>Large Cap</t>
        </is>
      </c>
    </row>
    <row r="23">
      <c r="B23" t="inlineStr">
        <is>
          <t>V-Guard Industries Ltd</t>
        </is>
      </c>
      <c r="C23" t="inlineStr">
        <is>
          <t>INE951I01027</t>
        </is>
      </c>
      <c r="D23" t="inlineStr">
        <is>
          <t>Consumer Durables</t>
        </is>
      </c>
      <c r="E23" t="n">
        <v>587500</v>
      </c>
      <c r="F23" t="n">
        <v>1927</v>
      </c>
      <c r="G23" t="n">
        <v>2.16</v>
      </c>
      <c r="H23" t="inlineStr">
        <is>
          <t>Small Cap</t>
        </is>
      </c>
    </row>
    <row r="24">
      <c r="B24" t="inlineStr">
        <is>
          <t>Coal India Ltd</t>
        </is>
      </c>
      <c r="C24" t="inlineStr">
        <is>
          <t>INE522F01014</t>
        </is>
      </c>
      <c r="D24" t="inlineStr">
        <is>
          <t>Consumable Fuels</t>
        </is>
      </c>
      <c r="E24" t="n">
        <v>460000</v>
      </c>
      <c r="F24" t="n">
        <v>1835.4</v>
      </c>
      <c r="G24" t="n">
        <v>2.05</v>
      </c>
      <c r="H24" t="inlineStr">
        <is>
          <t>Large Cap</t>
        </is>
      </c>
    </row>
    <row r="25">
      <c r="B25" t="inlineStr">
        <is>
          <t>Schaeffler India Ltd</t>
        </is>
      </c>
      <c r="C25" t="inlineStr">
        <is>
          <t>INE513A01022</t>
        </is>
      </c>
      <c r="D25" t="inlineStr">
        <is>
          <t>Auto Components</t>
        </is>
      </c>
      <c r="E25" t="n">
        <v>46863</v>
      </c>
      <c r="F25" t="n">
        <v>1817.82</v>
      </c>
      <c r="G25" t="n">
        <v>2.03</v>
      </c>
      <c r="H25" t="inlineStr">
        <is>
          <t>Mid Cap</t>
        </is>
      </c>
    </row>
    <row r="26">
      <c r="B26" t="inlineStr">
        <is>
          <t>Hindustan Aeronautics Ltd</t>
        </is>
      </c>
      <c r="C26" t="inlineStr">
        <is>
          <t>INE066F01020</t>
        </is>
      </c>
      <c r="D26" t="inlineStr">
        <is>
          <t>Aerospace &amp; Defense</t>
        </is>
      </c>
      <c r="E26" t="n">
        <v>40998</v>
      </c>
      <c r="F26" t="n">
        <v>1799.28</v>
      </c>
      <c r="G26" t="n">
        <v>2.01</v>
      </c>
      <c r="H26" t="inlineStr">
        <is>
          <t>Large Cap</t>
        </is>
      </c>
    </row>
    <row r="27">
      <c r="B27" t="inlineStr">
        <is>
          <t>Hitachi Energy India Ltd</t>
        </is>
      </c>
      <c r="C27" t="inlineStr">
        <is>
          <t>INE07Y701011</t>
        </is>
      </c>
      <c r="D27" t="inlineStr">
        <is>
          <t>Electrical Equipment</t>
        </is>
      </c>
      <c r="E27" t="n">
        <v>9753</v>
      </c>
      <c r="F27" t="n">
        <v>1785.77</v>
      </c>
      <c r="G27" t="n">
        <v>2</v>
      </c>
      <c r="H27" t="inlineStr">
        <is>
          <t>Mid Cap</t>
        </is>
      </c>
    </row>
    <row r="28">
      <c r="B28" t="inlineStr">
        <is>
          <t>Hindalco Industries Ltd</t>
        </is>
      </c>
      <c r="C28" t="inlineStr">
        <is>
          <t>INE038A01020</t>
        </is>
      </c>
      <c r="D28" t="inlineStr">
        <is>
          <t>Non - Ferrous Metals</t>
        </is>
      </c>
      <c r="E28" t="n">
        <v>190500</v>
      </c>
      <c r="F28" t="n">
        <v>1689.16</v>
      </c>
      <c r="G28" t="n">
        <v>1.89</v>
      </c>
      <c r="H28" t="inlineStr">
        <is>
          <t>Large Cap</t>
        </is>
      </c>
    </row>
    <row r="29">
      <c r="B29" t="inlineStr">
        <is>
          <t>KEI Industries Ltd</t>
        </is>
      </c>
      <c r="C29" t="inlineStr">
        <is>
          <t>INE878B01027</t>
        </is>
      </c>
      <c r="D29" t="inlineStr">
        <is>
          <t>Industrial Products</t>
        </is>
      </c>
      <c r="E29" t="n">
        <v>31000</v>
      </c>
      <c r="F29" t="n">
        <v>1382.66</v>
      </c>
      <c r="G29" t="n">
        <v>1.55</v>
      </c>
      <c r="H29" t="inlineStr">
        <is>
          <t>Mid Cap</t>
        </is>
      </c>
    </row>
    <row r="30">
      <c r="B30" t="inlineStr">
        <is>
          <t>Linde India Ltd</t>
        </is>
      </c>
      <c r="C30" t="inlineStr">
        <is>
          <t>INE473A01011</t>
        </is>
      </c>
      <c r="D30" t="inlineStr">
        <is>
          <t>Chemicals &amp; Petrochemicals</t>
        </is>
      </c>
      <c r="E30" t="n">
        <v>22103</v>
      </c>
      <c r="F30" t="n">
        <v>1316.34</v>
      </c>
      <c r="G30" t="n">
        <v>1.47</v>
      </c>
      <c r="H30" t="inlineStr">
        <is>
          <t>Mid Cap</t>
        </is>
      </c>
    </row>
    <row r="31">
      <c r="B31" t="inlineStr">
        <is>
          <t>J.K. Cement Ltd</t>
        </is>
      </c>
      <c r="C31" t="inlineStr">
        <is>
          <t>INE823G01014</t>
        </is>
      </c>
      <c r="D31" t="inlineStr">
        <is>
          <t>Cement &amp; Cement Products</t>
        </is>
      </c>
      <c r="E31" t="n">
        <v>23500</v>
      </c>
      <c r="F31" t="n">
        <v>1299.79</v>
      </c>
      <c r="G31" t="n">
        <v>1.45</v>
      </c>
      <c r="H31" t="inlineStr">
        <is>
          <t>Mid Cap</t>
        </is>
      </c>
    </row>
    <row r="32">
      <c r="B32" t="inlineStr">
        <is>
          <t>Suzlon Energy Ltd</t>
        </is>
      </c>
      <c r="C32" t="inlineStr">
        <is>
          <t>INE040H01021</t>
        </is>
      </c>
      <c r="D32" t="inlineStr">
        <is>
          <t>Electrical Equipment</t>
        </is>
      </c>
      <c r="E32" t="n">
        <v>2439000</v>
      </c>
      <c r="F32" t="n">
        <v>1284.62</v>
      </c>
      <c r="G32" t="n">
        <v>1.44</v>
      </c>
      <c r="H32" t="inlineStr">
        <is>
          <t>Mid Cap</t>
        </is>
      </c>
    </row>
    <row r="33">
      <c r="B33" t="inlineStr">
        <is>
          <t>Blue Star Ltd</t>
        </is>
      </c>
      <c r="C33" t="inlineStr">
        <is>
          <t>INE472A01039</t>
        </is>
      </c>
      <c r="D33" t="inlineStr">
        <is>
          <t>Consumer Durables</t>
        </is>
      </c>
      <c r="E33" t="n">
        <v>69500</v>
      </c>
      <c r="F33" t="n">
        <v>1202.84</v>
      </c>
      <c r="G33" t="n">
        <v>1.35</v>
      </c>
      <c r="H33" t="inlineStr">
        <is>
          <t>Mid Cap</t>
        </is>
      </c>
    </row>
    <row r="34">
      <c r="B34" t="inlineStr">
        <is>
          <t>Brigade Enterprises Ltd</t>
        </is>
      </c>
      <c r="C34" t="inlineStr">
        <is>
          <t>INE791I01019</t>
        </is>
      </c>
      <c r="D34" t="inlineStr">
        <is>
          <t>Realty</t>
        </is>
      </c>
      <c r="E34" t="n">
        <v>130000</v>
      </c>
      <c r="F34" t="n">
        <v>1150.5</v>
      </c>
      <c r="G34" t="n">
        <v>1.29</v>
      </c>
      <c r="H34" t="inlineStr">
        <is>
          <t>Small Cap</t>
        </is>
      </c>
    </row>
    <row r="35">
      <c r="B35" t="inlineStr">
        <is>
          <t>Bharat Petroleum Corporation Ltd</t>
        </is>
      </c>
      <c r="C35" t="inlineStr">
        <is>
          <t>INE029A01011</t>
        </is>
      </c>
      <c r="D35" t="inlineStr">
        <is>
          <t>Petroleum Products</t>
        </is>
      </c>
      <c r="E35" t="n">
        <v>265000</v>
      </c>
      <c r="F35" t="n">
        <v>1017.6</v>
      </c>
      <c r="G35" t="n">
        <v>1.14</v>
      </c>
      <c r="H35" t="inlineStr">
        <is>
          <t>Large Cap</t>
        </is>
      </c>
    </row>
    <row r="36">
      <c r="B36" t="inlineStr">
        <is>
          <t>Premier Energies Ltd</t>
        </is>
      </c>
      <c r="C36" t="inlineStr">
        <is>
          <t>INE0BS701011</t>
        </is>
      </c>
      <c r="D36" t="inlineStr">
        <is>
          <t>Electrical Equipment</t>
        </is>
      </c>
      <c r="E36" t="n">
        <v>120295</v>
      </c>
      <c r="F36" t="n">
        <v>1013.06</v>
      </c>
      <c r="G36" t="n">
        <v>1.13</v>
      </c>
      <c r="H36" t="inlineStr">
        <is>
          <t>Mid Cap</t>
        </is>
      </c>
    </row>
    <row r="37">
      <c r="B37" t="inlineStr">
        <is>
          <t>KSB Ltd</t>
        </is>
      </c>
      <c r="C37" t="inlineStr">
        <is>
          <t>INE999A01023</t>
        </is>
      </c>
      <c r="D37" t="inlineStr">
        <is>
          <t>Industrial Products</t>
        </is>
      </c>
      <c r="E37" t="n">
        <v>130850</v>
      </c>
      <c r="F37" t="n">
        <v>987.59</v>
      </c>
      <c r="G37" t="n">
        <v>1.11</v>
      </c>
      <c r="H37" t="inlineStr">
        <is>
          <t>Small Cap</t>
        </is>
      </c>
    </row>
    <row r="38">
      <c r="B38" t="inlineStr">
        <is>
          <t>NTPC Green Energy Ltd</t>
        </is>
      </c>
      <c r="C38" t="inlineStr">
        <is>
          <t>INE0ONG01011</t>
        </is>
      </c>
      <c r="D38" t="inlineStr">
        <is>
          <t>Power</t>
        </is>
      </c>
      <c r="E38" t="n">
        <v>1036234</v>
      </c>
      <c r="F38" t="n">
        <v>979.76</v>
      </c>
      <c r="G38" t="n">
        <v>1.1</v>
      </c>
      <c r="H38" t="inlineStr">
        <is>
          <t>Mid Cap</t>
        </is>
      </c>
    </row>
    <row r="39">
      <c r="B39" t="inlineStr">
        <is>
          <t>GMM Pfaudler Ltd</t>
        </is>
      </c>
      <c r="C39" t="inlineStr">
        <is>
          <t>INE541A01023</t>
        </is>
      </c>
      <c r="D39" t="inlineStr">
        <is>
          <t>Industrial Manufacturing</t>
        </is>
      </c>
      <c r="E39" t="n">
        <v>88000</v>
      </c>
      <c r="F39" t="n">
        <v>971.96</v>
      </c>
      <c r="G39" t="n">
        <v>1.09</v>
      </c>
      <c r="H39" t="inlineStr">
        <is>
          <t>Small Cap</t>
        </is>
      </c>
    </row>
    <row r="40">
      <c r="B40" t="inlineStr">
        <is>
          <t>Oil India Ltd</t>
        </is>
      </c>
      <c r="C40" t="inlineStr">
        <is>
          <t>INE274J01014</t>
        </is>
      </c>
      <c r="D40" t="inlineStr">
        <is>
          <t>Oil</t>
        </is>
      </c>
      <c r="E40" t="n">
        <v>225000</v>
      </c>
      <c r="F40" t="n">
        <v>954.79</v>
      </c>
      <c r="G40" t="n">
        <v>1.07</v>
      </c>
      <c r="H40" t="inlineStr">
        <is>
          <t>Mid Cap</t>
        </is>
      </c>
    </row>
    <row r="41">
      <c r="B41" t="inlineStr">
        <is>
          <t>Voltas Ltd</t>
        </is>
      </c>
      <c r="C41" t="inlineStr">
        <is>
          <t>INE226A01021</t>
        </is>
      </c>
      <c r="D41" t="inlineStr">
        <is>
          <t>Consumer Durables</t>
        </is>
      </c>
      <c r="E41" t="n">
        <v>66100</v>
      </c>
      <c r="F41" t="n">
        <v>899.75</v>
      </c>
      <c r="G41" t="n">
        <v>1.01</v>
      </c>
      <c r="H41" t="inlineStr">
        <is>
          <t>Mid Cap</t>
        </is>
      </c>
    </row>
    <row r="42">
      <c r="B42" t="inlineStr">
        <is>
          <t>KEC International Ltd</t>
        </is>
      </c>
      <c r="C42" t="inlineStr">
        <is>
          <t>INE389H01022</t>
        </is>
      </c>
      <c r="D42" t="inlineStr">
        <is>
          <t>Construction</t>
        </is>
      </c>
      <c r="E42" t="n">
        <v>120667</v>
      </c>
      <c r="F42" t="n">
        <v>890.4</v>
      </c>
      <c r="G42" t="n">
        <v>1</v>
      </c>
      <c r="H42" t="inlineStr">
        <is>
          <t>Small Cap</t>
        </is>
      </c>
    </row>
    <row r="43">
      <c r="B43" t="inlineStr">
        <is>
          <t>Jyoti CNC Automation Ltd</t>
        </is>
      </c>
      <c r="C43" t="inlineStr">
        <is>
          <t>INE980O01024</t>
        </is>
      </c>
      <c r="D43" t="inlineStr">
        <is>
          <t>Industrial Manufacturing</t>
        </is>
      </c>
      <c r="E43" t="n">
        <v>89768</v>
      </c>
      <c r="F43" t="n">
        <v>888.0700000000001</v>
      </c>
      <c r="G43" t="n">
        <v>0.99</v>
      </c>
      <c r="H43" t="inlineStr">
        <is>
          <t>Small Cap</t>
        </is>
      </c>
    </row>
    <row r="44">
      <c r="B44" t="inlineStr">
        <is>
          <t>Timken India Ltd</t>
        </is>
      </c>
      <c r="C44" t="inlineStr">
        <is>
          <t>INE325A01013</t>
        </is>
      </c>
      <c r="D44" t="inlineStr">
        <is>
          <t>Industrial Products</t>
        </is>
      </c>
      <c r="E44" t="n">
        <v>28000</v>
      </c>
      <c r="F44" t="n">
        <v>840.87</v>
      </c>
      <c r="G44" t="n">
        <v>0.9399999999999999</v>
      </c>
      <c r="H44" t="inlineStr">
        <is>
          <t>Small Cap</t>
        </is>
      </c>
    </row>
    <row r="45">
      <c r="B45" t="inlineStr">
        <is>
          <t>Great Eastern Shipping Co Ltd</t>
        </is>
      </c>
      <c r="C45" t="inlineStr">
        <is>
          <t>INE017A01032</t>
        </is>
      </c>
      <c r="D45" t="inlineStr">
        <is>
          <t>Transport Services</t>
        </is>
      </c>
      <c r="E45" t="n">
        <v>70000</v>
      </c>
      <c r="F45" t="n">
        <v>790.3</v>
      </c>
      <c r="G45" t="n">
        <v>0.88</v>
      </c>
      <c r="H45" t="inlineStr">
        <is>
          <t>Small Cap</t>
        </is>
      </c>
    </row>
    <row r="46">
      <c r="B46" t="inlineStr">
        <is>
          <t>Thermax Ltd</t>
        </is>
      </c>
      <c r="C46" t="inlineStr">
        <is>
          <t>INE152A01029</t>
        </is>
      </c>
      <c r="D46" t="inlineStr">
        <is>
          <t>Electrical Equipment</t>
        </is>
      </c>
      <c r="E46" t="n">
        <v>19067</v>
      </c>
      <c r="F46" t="n">
        <v>576.3200000000001</v>
      </c>
      <c r="G46" t="n">
        <v>0.64</v>
      </c>
      <c r="H46" t="inlineStr">
        <is>
          <t>Mid Cap</t>
        </is>
      </c>
    </row>
    <row r="47">
      <c r="B47" t="inlineStr">
        <is>
          <t>Siemens Ltd</t>
        </is>
      </c>
      <c r="C47" t="inlineStr">
        <is>
          <t>INE003A01024</t>
        </is>
      </c>
      <c r="D47" t="inlineStr">
        <is>
          <t>Electrical Equipment</t>
        </is>
      </c>
      <c r="E47" t="n">
        <v>18550</v>
      </c>
      <c r="F47" t="n">
        <v>568.24</v>
      </c>
      <c r="G47" t="n">
        <v>0.64</v>
      </c>
      <c r="H47" t="inlineStr">
        <is>
          <t>Large Cap</t>
        </is>
      </c>
    </row>
    <row r="48">
      <c r="B48" t="inlineStr">
        <is>
          <t>Gujarat Gas Ltd</t>
        </is>
      </c>
      <c r="C48" t="inlineStr">
        <is>
          <t>INE844O01030</t>
        </is>
      </c>
      <c r="D48" t="inlineStr">
        <is>
          <t>Gas</t>
        </is>
      </c>
      <c r="E48" t="n">
        <v>135000</v>
      </c>
      <c r="F48" t="n">
        <v>556.47</v>
      </c>
      <c r="G48" t="n">
        <v>0.62</v>
      </c>
      <c r="H48" t="inlineStr">
        <is>
          <t>Small Cap</t>
        </is>
      </c>
    </row>
    <row r="49">
      <c r="B49" t="inlineStr">
        <is>
          <t>Praj Industries Ltd</t>
        </is>
      </c>
      <c r="C49" t="inlineStr">
        <is>
          <t>INE074A01025</t>
        </is>
      </c>
      <c r="D49" t="inlineStr">
        <is>
          <t>Industrial Manufacturing</t>
        </is>
      </c>
      <c r="E49" t="n">
        <v>135000</v>
      </c>
      <c r="F49" t="n">
        <v>435.51</v>
      </c>
      <c r="G49" t="n">
        <v>0.49</v>
      </c>
      <c r="H49" t="inlineStr">
        <is>
          <t>Small Cap</t>
        </is>
      </c>
    </row>
    <row r="50">
      <c r="B50" t="inlineStr">
        <is>
          <t>ABB India Ltd</t>
        </is>
      </c>
      <c r="C50" t="inlineStr">
        <is>
          <t>INE117A01022</t>
        </is>
      </c>
      <c r="D50" t="inlineStr">
        <is>
          <t>Electrical Equipment</t>
        </is>
      </c>
      <c r="E50" t="n">
        <v>7845</v>
      </c>
      <c r="F50" t="n">
        <v>405.59</v>
      </c>
      <c r="G50" t="n">
        <v>0.45</v>
      </c>
      <c r="H50" t="inlineStr">
        <is>
          <t>Large Cap</t>
        </is>
      </c>
    </row>
    <row r="51">
      <c r="B51" t="inlineStr">
        <is>
          <t>Waaree Energies Ltd</t>
        </is>
      </c>
      <c r="C51" t="inlineStr">
        <is>
          <t>INE377N01017</t>
        </is>
      </c>
      <c r="D51" t="inlineStr">
        <is>
          <t>Electrical Equipment</t>
        </is>
      </c>
      <c r="E51" t="n">
        <v>10905</v>
      </c>
      <c r="F51" t="n">
        <v>323.67</v>
      </c>
      <c r="G51" t="n">
        <v>0.36</v>
      </c>
      <c r="H51" t="inlineStr">
        <is>
          <t>Mid Cap</t>
        </is>
      </c>
    </row>
    <row r="52">
      <c r="B52" t="inlineStr">
        <is>
          <t>Delhivery Ltd</t>
        </is>
      </c>
      <c r="C52" t="inlineStr">
        <is>
          <t>INE148O01028</t>
        </is>
      </c>
      <c r="D52" t="inlineStr">
        <is>
          <t>Transport Services</t>
        </is>
      </c>
      <c r="E52" t="n">
        <v>25000</v>
      </c>
      <c r="F52" t="n">
        <v>100.96</v>
      </c>
      <c r="G52" t="n">
        <v>0.11</v>
      </c>
      <c r="H52" t="inlineStr">
        <is>
          <t>Small Cap</t>
        </is>
      </c>
    </row>
    <row r="53">
      <c r="B53" t="inlineStr">
        <is>
          <t>Sub Total</t>
        </is>
      </c>
      <c r="F53">
        <f>SUM(F7:F52)</f>
        <v/>
      </c>
      <c r="G53">
        <f>SUM(G7:G52)</f>
        <v/>
      </c>
    </row>
    <row r="54">
      <c r="B54" t="inlineStr">
        <is>
          <t>Total</t>
        </is>
      </c>
      <c r="F54">
        <f>F53</f>
        <v/>
      </c>
      <c r="G54">
        <f>G53</f>
        <v/>
      </c>
    </row>
    <row r="55">
      <c r="B55" t="inlineStr">
        <is>
          <t>TREPS</t>
        </is>
      </c>
    </row>
    <row r="56">
      <c r="B56" t="inlineStr">
        <is>
          <t>TREPS</t>
        </is>
      </c>
      <c r="F56" t="n">
        <v>3934.11</v>
      </c>
      <c r="G56" t="n">
        <v>4.4</v>
      </c>
    </row>
    <row r="57">
      <c r="B57" t="inlineStr">
        <is>
          <t>Sub Total</t>
        </is>
      </c>
      <c r="F57">
        <f>SUM(F55:F56)</f>
        <v/>
      </c>
      <c r="G57">
        <f>SUM(G55:G56)</f>
        <v/>
      </c>
    </row>
    <row r="58">
      <c r="B58" t="inlineStr">
        <is>
          <t>Total</t>
        </is>
      </c>
      <c r="F58">
        <f>F57</f>
        <v/>
      </c>
      <c r="G58">
        <f>G57</f>
        <v/>
      </c>
    </row>
    <row r="59">
      <c r="B59" t="inlineStr">
        <is>
          <t>Net Receivables / (Payables)</t>
        </is>
      </c>
      <c r="F59">
        <f>F60-(+F54+F58)</f>
        <v/>
      </c>
      <c r="G59">
        <f>G60-(+G54+G58)</f>
        <v/>
      </c>
    </row>
    <row r="60">
      <c r="B60" t="inlineStr">
        <is>
          <t>Grand Total</t>
        </is>
      </c>
      <c r="F60" t="n">
        <v>89368.23</v>
      </c>
      <c r="G60" t="n">
        <v>100</v>
      </c>
    </row>
    <row r="63">
      <c r="B63" t="inlineStr">
        <is>
          <t>Residual Maturity</t>
        </is>
      </c>
      <c r="C63" t="inlineStr">
        <is>
          <t>0.0027 Years</t>
        </is>
      </c>
    </row>
    <row r="65">
      <c r="B65" t="inlineStr">
        <is>
          <t>Please refer the below link for the performance of the Schemes managed by Canara Robeco Mutual Fund</t>
        </is>
      </c>
    </row>
    <row r="67">
      <c r="B67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N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LARGE CAP FUND</t>
        </is>
      </c>
    </row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16602512</v>
      </c>
      <c r="F7" t="n">
        <v>164564.1</v>
      </c>
      <c r="G7" t="n">
        <v>9.41</v>
      </c>
      <c r="H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10100600</v>
      </c>
      <c r="F8" t="n">
        <v>135640.96</v>
      </c>
      <c r="G8" t="n">
        <v>7.75</v>
      </c>
      <c r="H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6551500</v>
      </c>
      <c r="F9" t="n">
        <v>102884.76</v>
      </c>
      <c r="G9" t="n">
        <v>5.88</v>
      </c>
      <c r="H9" t="inlineStr">
        <is>
          <t>Large Cap</t>
        </is>
      </c>
    </row>
    <row r="10">
      <c r="B10" t="inlineStr">
        <is>
          <t>Bharti Airtel Ltd</t>
        </is>
      </c>
      <c r="C10" t="inlineStr">
        <is>
          <t>INE397D01024</t>
        </is>
      </c>
      <c r="D10" t="inlineStr">
        <is>
          <t>Telecom - Services</t>
        </is>
      </c>
      <c r="E10" t="n">
        <v>3655316</v>
      </c>
      <c r="F10" t="n">
        <v>76966.33</v>
      </c>
      <c r="G10" t="n">
        <v>4.4</v>
      </c>
      <c r="H10" t="inlineStr">
        <is>
          <t>Large Cap</t>
        </is>
      </c>
    </row>
    <row r="11">
      <c r="B11" t="inlineStr">
        <is>
          <t>Infosys Ltd</t>
        </is>
      </c>
      <c r="C11" t="inlineStr">
        <is>
          <t>INE009A01021</t>
        </is>
      </c>
      <c r="D11" t="inlineStr">
        <is>
          <t>IT - Software</t>
        </is>
      </c>
      <c r="E11" t="n">
        <v>4635853</v>
      </c>
      <c r="F11" t="n">
        <v>74887.57000000001</v>
      </c>
      <c r="G11" t="n">
        <v>4.28</v>
      </c>
      <c r="H11" t="inlineStr">
        <is>
          <t>Large Cap</t>
        </is>
      </c>
    </row>
    <row r="12">
      <c r="B12" t="inlineStr">
        <is>
          <t>State Bank of India</t>
        </is>
      </c>
      <c r="C12" t="inlineStr">
        <is>
          <t>INE062A01020</t>
        </is>
      </c>
      <c r="D12" t="inlineStr">
        <is>
          <t>Banks</t>
        </is>
      </c>
      <c r="E12" t="n">
        <v>7352795</v>
      </c>
      <c r="F12" t="n">
        <v>72219.14999999999</v>
      </c>
      <c r="G12" t="n">
        <v>4.13</v>
      </c>
      <c r="H12" t="inlineStr">
        <is>
          <t>Large Cap</t>
        </is>
      </c>
    </row>
    <row r="13">
      <c r="B13" t="inlineStr">
        <is>
          <t>Larsen &amp; Toubro Ltd</t>
        </is>
      </c>
      <c r="C13" t="inlineStr">
        <is>
          <t>INE018A01030</t>
        </is>
      </c>
      <c r="D13" t="inlineStr">
        <is>
          <t>Construction</t>
        </is>
      </c>
      <c r="E13" t="n">
        <v>1732992</v>
      </c>
      <c r="F13" t="n">
        <v>70766.73</v>
      </c>
      <c r="G13" t="n">
        <v>4.05</v>
      </c>
      <c r="H13" t="inlineStr">
        <is>
          <t>Large Cap</t>
        </is>
      </c>
      <c r="L13" t="inlineStr">
        <is>
          <t>Benchmark: BSE 100 TRI</t>
        </is>
      </c>
    </row>
    <row r="14">
      <c r="B14" t="inlineStr">
        <is>
          <t>Mahindra &amp; Mahindra Ltd</t>
        </is>
      </c>
      <c r="C14" t="inlineStr">
        <is>
          <t>INE101A01026</t>
        </is>
      </c>
      <c r="D14" t="inlineStr">
        <is>
          <t>Automobiles</t>
        </is>
      </c>
      <c r="E14" t="n">
        <v>1673515</v>
      </c>
      <c r="F14" t="n">
        <v>62074.02</v>
      </c>
      <c r="G14" t="n">
        <v>3.55</v>
      </c>
      <c r="H14" t="inlineStr">
        <is>
          <t>Large Cap</t>
        </is>
      </c>
    </row>
    <row r="15">
      <c r="B15" t="inlineStr">
        <is>
          <t>Bajaj Finance Ltd</t>
        </is>
      </c>
      <c r="C15" t="inlineStr">
        <is>
          <t>INE296A01032</t>
        </is>
      </c>
      <c r="D15" t="inlineStr">
        <is>
          <t>Finance</t>
        </is>
      </c>
      <c r="E15" t="n">
        <v>4909340</v>
      </c>
      <c r="F15" t="n">
        <v>48445.37</v>
      </c>
      <c r="G15" t="n">
        <v>2.77</v>
      </c>
      <c r="H15" t="inlineStr">
        <is>
          <t>Large Cap</t>
        </is>
      </c>
    </row>
    <row r="16">
      <c r="B16" t="inlineStr">
        <is>
          <t>ITC Ltd</t>
        </is>
      </c>
      <c r="C16" t="inlineStr">
        <is>
          <t>INE154A01025</t>
        </is>
      </c>
      <c r="D16" t="inlineStr">
        <is>
          <t>Diversified Fmcg</t>
        </is>
      </c>
      <c r="E16" t="n">
        <v>11250000</v>
      </c>
      <c r="F16" t="n">
        <v>45337.5</v>
      </c>
      <c r="G16" t="n">
        <v>2.59</v>
      </c>
      <c r="H16" t="inlineStr">
        <is>
          <t>Large Cap</t>
        </is>
      </c>
    </row>
    <row r="17">
      <c r="B17" t="inlineStr">
        <is>
          <t>Axis Bank Ltd</t>
        </is>
      </c>
      <c r="C17" t="inlineStr">
        <is>
          <t>INE238A01034</t>
        </is>
      </c>
      <c r="D17" t="inlineStr">
        <is>
          <t>Banks</t>
        </is>
      </c>
      <c r="E17" t="n">
        <v>3509200</v>
      </c>
      <c r="F17" t="n">
        <v>44545.78</v>
      </c>
      <c r="G17" t="n">
        <v>2.55</v>
      </c>
      <c r="H17" t="inlineStr">
        <is>
          <t>Large Cap</t>
        </is>
      </c>
    </row>
    <row r="18">
      <c r="B18" t="inlineStr">
        <is>
          <t>Kotak Mahindra Bank Ltd</t>
        </is>
      </c>
      <c r="C18" t="inlineStr">
        <is>
          <t>INE237A01028</t>
        </is>
      </c>
      <c r="D18" t="inlineStr">
        <is>
          <t>Banks</t>
        </is>
      </c>
      <c r="E18" t="n">
        <v>1853750</v>
      </c>
      <c r="F18" t="n">
        <v>40802.89</v>
      </c>
      <c r="G18" t="n">
        <v>2.33</v>
      </c>
      <c r="H18" t="inlineStr">
        <is>
          <t>Large Cap</t>
        </is>
      </c>
    </row>
    <row r="19">
      <c r="B19" t="inlineStr">
        <is>
          <t>Ultratech Cement Ltd</t>
        </is>
      </c>
      <c r="C19" t="inlineStr">
        <is>
          <t>INE481G01011</t>
        </is>
      </c>
      <c r="D19" t="inlineStr">
        <is>
          <t>Cement &amp; Cement Products</t>
        </is>
      </c>
      <c r="E19" t="n">
        <v>321152</v>
      </c>
      <c r="F19" t="n">
        <v>37844.55</v>
      </c>
      <c r="G19" t="n">
        <v>2.16</v>
      </c>
      <c r="H19" t="inlineStr">
        <is>
          <t>Large Cap</t>
        </is>
      </c>
    </row>
    <row r="20">
      <c r="B20" t="inlineStr">
        <is>
          <t>Eternal Ltd</t>
        </is>
      </c>
      <c r="C20" t="inlineStr">
        <is>
          <t>INE758T01015</t>
        </is>
      </c>
      <c r="D20" t="inlineStr">
        <is>
          <t>Retailing</t>
        </is>
      </c>
      <c r="E20" t="n">
        <v>12466175</v>
      </c>
      <c r="F20" t="n">
        <v>34662.2</v>
      </c>
      <c r="G20" t="n">
        <v>1.98</v>
      </c>
      <c r="H20" t="inlineStr">
        <is>
          <t>Large Cap</t>
        </is>
      </c>
    </row>
    <row r="21">
      <c r="B21" t="inlineStr">
        <is>
          <t>Maruti Suzuki India Ltd</t>
        </is>
      </c>
      <c r="C21" t="inlineStr">
        <is>
          <t>INE585B01010</t>
        </is>
      </c>
      <c r="D21" t="inlineStr">
        <is>
          <t>Automobiles</t>
        </is>
      </c>
      <c r="E21" t="n">
        <v>169650</v>
      </c>
      <c r="F21" t="n">
        <v>28326.46</v>
      </c>
      <c r="G21" t="n">
        <v>1.62</v>
      </c>
      <c r="H21" t="inlineStr">
        <is>
          <t>Large Cap</t>
        </is>
      </c>
    </row>
    <row r="22">
      <c r="B22" t="inlineStr">
        <is>
          <t>SBI Life Insurance Co Ltd</t>
        </is>
      </c>
      <c r="C22" t="inlineStr">
        <is>
          <t>INE123W01016</t>
        </is>
      </c>
      <c r="D22" t="inlineStr">
        <is>
          <t>Insurance</t>
        </is>
      </c>
      <c r="E22" t="n">
        <v>1384651</v>
      </c>
      <c r="F22" t="n">
        <v>28176.26</v>
      </c>
      <c r="G22" t="n">
        <v>1.61</v>
      </c>
      <c r="H22" t="inlineStr">
        <is>
          <t>Large Cap</t>
        </is>
      </c>
    </row>
    <row r="23">
      <c r="B23" t="inlineStr">
        <is>
          <t>Bharat Electronics Ltd</t>
        </is>
      </c>
      <c r="C23" t="inlineStr">
        <is>
          <t>INE263A01024</t>
        </is>
      </c>
      <c r="D23" t="inlineStr">
        <is>
          <t>Aerospace &amp; Defense</t>
        </is>
      </c>
      <c r="E23" t="n">
        <v>6900000</v>
      </c>
      <c r="F23" t="n">
        <v>27572.4</v>
      </c>
      <c r="G23" t="n">
        <v>1.58</v>
      </c>
      <c r="H23" t="inlineStr">
        <is>
          <t>Large Cap</t>
        </is>
      </c>
    </row>
    <row r="24">
      <c r="B24" t="inlineStr">
        <is>
          <t>Tata Consultancy Services Ltd</t>
        </is>
      </c>
      <c r="C24" t="inlineStr">
        <is>
          <t>INE467B01029</t>
        </is>
      </c>
      <c r="D24" t="inlineStr">
        <is>
          <t>IT - Software</t>
        </is>
      </c>
      <c r="E24" t="n">
        <v>841982</v>
      </c>
      <c r="F24" t="n">
        <v>26995.63</v>
      </c>
      <c r="G24" t="n">
        <v>1.54</v>
      </c>
      <c r="H24" t="inlineStr">
        <is>
          <t>Large Cap</t>
        </is>
      </c>
    </row>
    <row r="25">
      <c r="B25" t="inlineStr">
        <is>
          <t>Sun Pharmaceutical Industries Ltd</t>
        </is>
      </c>
      <c r="C25" t="inlineStr">
        <is>
          <t>INE044A01036</t>
        </is>
      </c>
      <c r="D25" t="inlineStr">
        <is>
          <t>Pharmaceuticals &amp; Biotechnology</t>
        </is>
      </c>
      <c r="E25" t="n">
        <v>1540327</v>
      </c>
      <c r="F25" t="n">
        <v>26489</v>
      </c>
      <c r="G25" t="n">
        <v>1.51</v>
      </c>
      <c r="H25" t="inlineStr">
        <is>
          <t>Large Cap</t>
        </is>
      </c>
    </row>
    <row r="26">
      <c r="B26" t="inlineStr">
        <is>
          <t>Titan Co Ltd</t>
        </is>
      </c>
      <c r="C26" t="inlineStr">
        <is>
          <t>INE280A01028</t>
        </is>
      </c>
      <c r="D26" t="inlineStr">
        <is>
          <t>Consumer Durables</t>
        </is>
      </c>
      <c r="E26" t="n">
        <v>648050</v>
      </c>
      <c r="F26" t="n">
        <v>26255.75</v>
      </c>
      <c r="G26" t="n">
        <v>1.5</v>
      </c>
      <c r="H26" t="inlineStr">
        <is>
          <t>Large Cap</t>
        </is>
      </c>
    </row>
    <row r="27">
      <c r="B27" t="inlineStr">
        <is>
          <t>Tech Mahindra Ltd</t>
        </is>
      </c>
      <c r="C27" t="inlineStr">
        <is>
          <t>INE669C01036</t>
        </is>
      </c>
      <c r="D27" t="inlineStr">
        <is>
          <t>IT - Software</t>
        </is>
      </c>
      <c r="E27" t="n">
        <v>1628532</v>
      </c>
      <c r="F27" t="n">
        <v>25908.32</v>
      </c>
      <c r="G27" t="n">
        <v>1.48</v>
      </c>
      <c r="H27" t="inlineStr">
        <is>
          <t>Large Cap</t>
        </is>
      </c>
    </row>
    <row r="28">
      <c r="B28" t="inlineStr">
        <is>
          <t>Tata Consumer Products Ltd</t>
        </is>
      </c>
      <c r="C28" t="inlineStr">
        <is>
          <t>INE192A01025</t>
        </is>
      </c>
      <c r="D28" t="inlineStr">
        <is>
          <t>Agricultural Food &amp; Other Products</t>
        </is>
      </c>
      <c r="E28" t="n">
        <v>2159162</v>
      </c>
      <c r="F28" t="n">
        <v>25737.21</v>
      </c>
      <c r="G28" t="n">
        <v>1.47</v>
      </c>
      <c r="H28" t="inlineStr">
        <is>
          <t>Large Cap</t>
        </is>
      </c>
    </row>
    <row r="29">
      <c r="B29" t="inlineStr">
        <is>
          <t>Varun Beverages Ltd</t>
        </is>
      </c>
      <c r="C29" t="inlineStr">
        <is>
          <t>INE200M01039</t>
        </is>
      </c>
      <c r="D29" t="inlineStr">
        <is>
          <t>Beverages</t>
        </is>
      </c>
      <c r="E29" t="n">
        <v>4956703</v>
      </c>
      <c r="F29" t="n">
        <v>24280.41</v>
      </c>
      <c r="G29" t="n">
        <v>1.39</v>
      </c>
      <c r="H29" t="inlineStr">
        <is>
          <t>Large Cap</t>
        </is>
      </c>
    </row>
    <row r="30">
      <c r="B30" t="inlineStr">
        <is>
          <t>Indian Hotels Co Ltd</t>
        </is>
      </c>
      <c r="C30" t="inlineStr">
        <is>
          <t>INE053A01029</t>
        </is>
      </c>
      <c r="D30" t="inlineStr">
        <is>
          <t>Leisure Services</t>
        </is>
      </c>
      <c r="E30" t="n">
        <v>3074480</v>
      </c>
      <c r="F30" t="n">
        <v>22715.8</v>
      </c>
      <c r="G30" t="n">
        <v>1.3</v>
      </c>
      <c r="H30" t="inlineStr">
        <is>
          <t>Large Cap</t>
        </is>
      </c>
    </row>
    <row r="31">
      <c r="B31" t="inlineStr">
        <is>
          <t>Interglobe Aviation Ltd</t>
        </is>
      </c>
      <c r="C31" t="inlineStr">
        <is>
          <t>INE646L01027</t>
        </is>
      </c>
      <c r="D31" t="inlineStr">
        <is>
          <t>Transport Services</t>
        </is>
      </c>
      <c r="E31" t="n">
        <v>441117</v>
      </c>
      <c r="F31" t="n">
        <v>22318.31</v>
      </c>
      <c r="G31" t="n">
        <v>1.28</v>
      </c>
      <c r="H31" t="inlineStr">
        <is>
          <t>Large Cap</t>
        </is>
      </c>
    </row>
    <row r="32">
      <c r="B32" t="inlineStr">
        <is>
          <t>Divi's Laboratories Ltd</t>
        </is>
      </c>
      <c r="C32" t="inlineStr">
        <is>
          <t>INE361B01024</t>
        </is>
      </c>
      <c r="D32" t="inlineStr">
        <is>
          <t>Pharmaceuticals &amp; Biotechnology</t>
        </is>
      </c>
      <c r="E32" t="n">
        <v>346065</v>
      </c>
      <c r="F32" t="n">
        <v>22122.21</v>
      </c>
      <c r="G32" t="n">
        <v>1.26</v>
      </c>
      <c r="H32" t="inlineStr">
        <is>
          <t>Large Cap</t>
        </is>
      </c>
    </row>
    <row r="33">
      <c r="B33" t="inlineStr">
        <is>
          <t>NTPC Ltd</t>
        </is>
      </c>
      <c r="C33" t="inlineStr">
        <is>
          <t>INE733E01010</t>
        </is>
      </c>
      <c r="D33" t="inlineStr">
        <is>
          <t>Power</t>
        </is>
      </c>
      <c r="E33" t="n">
        <v>6700000</v>
      </c>
      <c r="F33" t="n">
        <v>22079.85</v>
      </c>
      <c r="G33" t="n">
        <v>1.26</v>
      </c>
      <c r="H33" t="inlineStr">
        <is>
          <t>Large Cap</t>
        </is>
      </c>
    </row>
    <row r="34">
      <c r="B34" t="inlineStr">
        <is>
          <t>Max Healthcare Institute Ltd</t>
        </is>
      </c>
      <c r="C34" t="inlineStr">
        <is>
          <t>INE027H01010</t>
        </is>
      </c>
      <c r="D34" t="inlineStr">
        <is>
          <t>Healthcare Services</t>
        </is>
      </c>
      <c r="E34" t="n">
        <v>2098101</v>
      </c>
      <c r="F34" t="n">
        <v>21927.25</v>
      </c>
      <c r="G34" t="n">
        <v>1.25</v>
      </c>
      <c r="H34" t="inlineStr">
        <is>
          <t>Large Cap</t>
        </is>
      </c>
    </row>
    <row r="35">
      <c r="B35" t="inlineStr">
        <is>
          <t>United Spirits Ltd</t>
        </is>
      </c>
      <c r="C35" t="inlineStr">
        <is>
          <t>INE854D01024</t>
        </is>
      </c>
      <c r="D35" t="inlineStr">
        <is>
          <t>Beverages</t>
        </is>
      </c>
      <c r="E35" t="n">
        <v>1445000</v>
      </c>
      <c r="F35" t="n">
        <v>20861.47</v>
      </c>
      <c r="G35" t="n">
        <v>1.19</v>
      </c>
      <c r="H35" t="inlineStr">
        <is>
          <t>Mid Cap</t>
        </is>
      </c>
    </row>
    <row r="36">
      <c r="B36" t="inlineStr">
        <is>
          <t>Mankind Pharma Ltd</t>
        </is>
      </c>
      <c r="C36" t="inlineStr">
        <is>
          <t>INE634S01028</t>
        </is>
      </c>
      <c r="D36" t="inlineStr">
        <is>
          <t>Pharmaceuticals &amp; Biotechnology</t>
        </is>
      </c>
      <c r="E36" t="n">
        <v>913932</v>
      </c>
      <c r="F36" t="n">
        <v>20074.52</v>
      </c>
      <c r="G36" t="n">
        <v>1.15</v>
      </c>
      <c r="H36" t="inlineStr">
        <is>
          <t>Mid Cap</t>
        </is>
      </c>
    </row>
    <row r="37">
      <c r="B37" t="inlineStr">
        <is>
          <t>Cholamandalam Investment and Finance Co Ltd</t>
        </is>
      </c>
      <c r="C37" t="inlineStr">
        <is>
          <t>INE121A01024</t>
        </is>
      </c>
      <c r="D37" t="inlineStr">
        <is>
          <t>Finance</t>
        </is>
      </c>
      <c r="E37" t="n">
        <v>1157021</v>
      </c>
      <c r="F37" t="n">
        <v>19694.81</v>
      </c>
      <c r="G37" t="n">
        <v>1.13</v>
      </c>
      <c r="H37" t="inlineStr">
        <is>
          <t>Large Cap</t>
        </is>
      </c>
    </row>
    <row r="38">
      <c r="B38" t="inlineStr">
        <is>
          <t>PI Industries Ltd</t>
        </is>
      </c>
      <c r="C38" t="inlineStr">
        <is>
          <t>INE603J01030</t>
        </is>
      </c>
      <c r="D38" t="inlineStr">
        <is>
          <t>Fertilizers &amp; Agrochemicals</t>
        </is>
      </c>
      <c r="E38" t="n">
        <v>532725</v>
      </c>
      <c r="F38" t="n">
        <v>17250.7</v>
      </c>
      <c r="G38" t="n">
        <v>0.99</v>
      </c>
      <c r="H38" t="inlineStr">
        <is>
          <t>Mid Cap</t>
        </is>
      </c>
    </row>
    <row r="39">
      <c r="B39" t="inlineStr">
        <is>
          <t>PB Fintech Ltd</t>
        </is>
      </c>
      <c r="C39" t="inlineStr">
        <is>
          <t>INE417T01026</t>
        </is>
      </c>
      <c r="D39" t="inlineStr">
        <is>
          <t>Financial Technology (Fintech)</t>
        </is>
      </c>
      <c r="E39" t="n">
        <v>916553</v>
      </c>
      <c r="F39" t="n">
        <v>16732.59</v>
      </c>
      <c r="G39" t="n">
        <v>0.96</v>
      </c>
      <c r="H39" t="inlineStr">
        <is>
          <t>Mid Cap</t>
        </is>
      </c>
    </row>
    <row r="40">
      <c r="B40" t="inlineStr">
        <is>
          <t>Torrent Pharmaceuticals Ltd</t>
        </is>
      </c>
      <c r="C40" t="inlineStr">
        <is>
          <t>INE685A01028</t>
        </is>
      </c>
      <c r="D40" t="inlineStr">
        <is>
          <t>Pharmaceuticals &amp; Biotechnology</t>
        </is>
      </c>
      <c r="E40" t="n">
        <v>407164</v>
      </c>
      <c r="F40" t="n">
        <v>15675.81</v>
      </c>
      <c r="G40" t="n">
        <v>0.9</v>
      </c>
      <c r="H40" t="inlineStr">
        <is>
          <t>Large Cap</t>
        </is>
      </c>
    </row>
    <row r="41">
      <c r="B41" t="inlineStr">
        <is>
          <t>Hindustan Aeronautics Ltd</t>
        </is>
      </c>
      <c r="C41" t="inlineStr">
        <is>
          <t>INE066F01020</t>
        </is>
      </c>
      <c r="D41" t="inlineStr">
        <is>
          <t>Aerospace &amp; Defense</t>
        </is>
      </c>
      <c r="E41" t="n">
        <v>353500</v>
      </c>
      <c r="F41" t="n">
        <v>15514.05</v>
      </c>
      <c r="G41" t="n">
        <v>0.89</v>
      </c>
      <c r="H41" t="inlineStr">
        <is>
          <t>Large Cap</t>
        </is>
      </c>
    </row>
    <row r="42">
      <c r="B42" t="inlineStr">
        <is>
          <t>CG Power and Industrial Solutions Ltd</t>
        </is>
      </c>
      <c r="C42" t="inlineStr">
        <is>
          <t>INE067A01029</t>
        </is>
      </c>
      <c r="D42" t="inlineStr">
        <is>
          <t>Electrical Equipment</t>
        </is>
      </c>
      <c r="E42" t="n">
        <v>2356433</v>
      </c>
      <c r="F42" t="n">
        <v>15267.33</v>
      </c>
      <c r="G42" t="n">
        <v>0.87</v>
      </c>
      <c r="H42" t="inlineStr">
        <is>
          <t>Large Cap</t>
        </is>
      </c>
    </row>
    <row r="43">
      <c r="B43" t="inlineStr">
        <is>
          <t>Hindalco Industries Ltd</t>
        </is>
      </c>
      <c r="C43" t="inlineStr">
        <is>
          <t>INE038A01020</t>
        </is>
      </c>
      <c r="D43" t="inlineStr">
        <is>
          <t>Non - Ferrous Metals</t>
        </is>
      </c>
      <c r="E43" t="n">
        <v>1676000</v>
      </c>
      <c r="F43" t="n">
        <v>14861.09</v>
      </c>
      <c r="G43" t="n">
        <v>0.85</v>
      </c>
      <c r="H43" t="inlineStr">
        <is>
          <t>Large Cap</t>
        </is>
      </c>
    </row>
    <row r="44">
      <c r="B44" t="inlineStr">
        <is>
          <t>Tata Power Co Ltd</t>
        </is>
      </c>
      <c r="C44" t="inlineStr">
        <is>
          <t>INE245A01021</t>
        </is>
      </c>
      <c r="D44" t="inlineStr">
        <is>
          <t>Power</t>
        </is>
      </c>
      <c r="E44" t="n">
        <v>3850000</v>
      </c>
      <c r="F44" t="n">
        <v>14614.6</v>
      </c>
      <c r="G44" t="n">
        <v>0.84</v>
      </c>
      <c r="H44" t="inlineStr">
        <is>
          <t>Large Cap</t>
        </is>
      </c>
    </row>
    <row r="45">
      <c r="B45" t="inlineStr">
        <is>
          <t>Hindustan Unilever Ltd</t>
        </is>
      </c>
      <c r="C45" t="inlineStr">
        <is>
          <t>INE030A01027</t>
        </is>
      </c>
      <c r="D45" t="inlineStr">
        <is>
          <t>Diversified Fmcg</t>
        </is>
      </c>
      <c r="E45" t="n">
        <v>622800</v>
      </c>
      <c r="F45" t="n">
        <v>14423.43</v>
      </c>
      <c r="G45" t="n">
        <v>0.82</v>
      </c>
      <c r="H45" t="inlineStr">
        <is>
          <t>Large Cap</t>
        </is>
      </c>
    </row>
    <row r="46">
      <c r="B46" t="inlineStr">
        <is>
          <t>Trent Ltd</t>
        </is>
      </c>
      <c r="C46" t="inlineStr">
        <is>
          <t>INE849A01020</t>
        </is>
      </c>
      <c r="D46" t="inlineStr">
        <is>
          <t>Retailing</t>
        </is>
      </c>
      <c r="E46" t="n">
        <v>336697</v>
      </c>
      <c r="F46" t="n">
        <v>14407.26</v>
      </c>
      <c r="G46" t="n">
        <v>0.82</v>
      </c>
      <c r="H46" t="inlineStr">
        <is>
          <t>Large Cap</t>
        </is>
      </c>
    </row>
    <row r="47">
      <c r="B47" t="inlineStr">
        <is>
          <t>Tata Steel Ltd</t>
        </is>
      </c>
      <c r="C47" t="inlineStr">
        <is>
          <t>INE081A01020</t>
        </is>
      </c>
      <c r="D47" t="inlineStr">
        <is>
          <t>Ferrous Metals</t>
        </is>
      </c>
      <c r="E47" t="n">
        <v>7250000</v>
      </c>
      <c r="F47" t="n">
        <v>13055.8</v>
      </c>
      <c r="G47" t="n">
        <v>0.75</v>
      </c>
      <c r="H47" t="inlineStr">
        <is>
          <t>Large Cap</t>
        </is>
      </c>
    </row>
    <row r="48">
      <c r="B48" t="inlineStr">
        <is>
          <t>HCL Technologies Ltd</t>
        </is>
      </c>
      <c r="C48" t="inlineStr">
        <is>
          <t>INE860A01027</t>
        </is>
      </c>
      <c r="D48" t="inlineStr">
        <is>
          <t>IT - Software</t>
        </is>
      </c>
      <c r="E48" t="n">
        <v>790422</v>
      </c>
      <c r="F48" t="n">
        <v>12830.92</v>
      </c>
      <c r="G48" t="n">
        <v>0.73</v>
      </c>
      <c r="H48" t="inlineStr">
        <is>
          <t>Large Cap</t>
        </is>
      </c>
    </row>
    <row r="49">
      <c r="B49" t="inlineStr">
        <is>
          <t>Samvardhana Motherson International Ltd</t>
        </is>
      </c>
      <c r="C49" t="inlineStr">
        <is>
          <t>INE775A01035</t>
        </is>
      </c>
      <c r="D49" t="inlineStr">
        <is>
          <t>Auto Components</t>
        </is>
      </c>
      <c r="E49" t="n">
        <v>10525000</v>
      </c>
      <c r="F49" t="n">
        <v>12623.69</v>
      </c>
      <c r="G49" t="n">
        <v>0.72</v>
      </c>
      <c r="H49" t="inlineStr">
        <is>
          <t>Large Cap</t>
        </is>
      </c>
    </row>
    <row r="50">
      <c r="B50" t="inlineStr">
        <is>
          <t>Britannia Industries Ltd</t>
        </is>
      </c>
      <c r="C50" t="inlineStr">
        <is>
          <t>INE216A01030</t>
        </is>
      </c>
      <c r="D50" t="inlineStr">
        <is>
          <t>Food Products</t>
        </is>
      </c>
      <c r="E50" t="n">
        <v>204286</v>
      </c>
      <c r="F50" t="n">
        <v>12320.49</v>
      </c>
      <c r="G50" t="n">
        <v>0.7</v>
      </c>
      <c r="H50" t="inlineStr">
        <is>
          <t>Large Cap</t>
        </is>
      </c>
    </row>
    <row r="51">
      <c r="B51" t="inlineStr">
        <is>
          <t>Bajaj Auto Ltd</t>
        </is>
      </c>
      <c r="C51" t="inlineStr">
        <is>
          <t>INE917I01010</t>
        </is>
      </c>
      <c r="D51" t="inlineStr">
        <is>
          <t>Automobiles</t>
        </is>
      </c>
      <c r="E51" t="n">
        <v>123881</v>
      </c>
      <c r="F51" t="n">
        <v>11574.2</v>
      </c>
      <c r="G51" t="n">
        <v>0.66</v>
      </c>
      <c r="H51" t="inlineStr">
        <is>
          <t>Large Cap</t>
        </is>
      </c>
    </row>
    <row r="52">
      <c r="B52" t="inlineStr">
        <is>
          <t>ICICI Prudential Asset Management Co Ltd</t>
        </is>
      </c>
      <c r="C52" t="inlineStr">
        <is>
          <t>INE346A01027</t>
        </is>
      </c>
      <c r="D52" t="inlineStr">
        <is>
          <t>Capital Markets</t>
        </is>
      </c>
      <c r="E52" t="n">
        <v>410000</v>
      </c>
      <c r="F52" t="n">
        <v>10910.51</v>
      </c>
      <c r="G52" t="n">
        <v>0.62</v>
      </c>
      <c r="H52" t="inlineStr">
        <is>
          <t>Large Cap</t>
        </is>
      </c>
    </row>
    <row r="53">
      <c r="B53" t="inlineStr">
        <is>
          <t>Uno Minda Ltd</t>
        </is>
      </c>
      <c r="C53" t="inlineStr">
        <is>
          <t>INE405E01023</t>
        </is>
      </c>
      <c r="D53" t="inlineStr">
        <is>
          <t>Auto Components</t>
        </is>
      </c>
      <c r="E53" t="n">
        <v>822485</v>
      </c>
      <c r="F53" t="n">
        <v>10575.51</v>
      </c>
      <c r="G53" t="n">
        <v>0.6</v>
      </c>
      <c r="H53" t="inlineStr">
        <is>
          <t>Mid Cap</t>
        </is>
      </c>
    </row>
    <row r="54">
      <c r="B54" t="inlineStr">
        <is>
          <t>TVS Motor Co Ltd</t>
        </is>
      </c>
      <c r="C54" t="inlineStr">
        <is>
          <t>INE494B01023</t>
        </is>
      </c>
      <c r="D54" t="inlineStr">
        <is>
          <t>Automobiles</t>
        </is>
      </c>
      <c r="E54" t="n">
        <v>275000</v>
      </c>
      <c r="F54" t="n">
        <v>10229.45</v>
      </c>
      <c r="G54" t="n">
        <v>0.58</v>
      </c>
      <c r="H54" t="inlineStr">
        <is>
          <t>Large Cap</t>
        </is>
      </c>
    </row>
    <row r="55">
      <c r="B55" t="inlineStr">
        <is>
          <t>Info Edge (India) Ltd</t>
        </is>
      </c>
      <c r="C55" t="inlineStr">
        <is>
          <t>INE663F01032</t>
        </is>
      </c>
      <c r="D55" t="inlineStr">
        <is>
          <t>Retailing</t>
        </is>
      </c>
      <c r="E55" t="n">
        <v>764215</v>
      </c>
      <c r="F55" t="n">
        <v>10191.57</v>
      </c>
      <c r="G55" t="n">
        <v>0.58</v>
      </c>
      <c r="H55" t="inlineStr">
        <is>
          <t>Mid Cap</t>
        </is>
      </c>
    </row>
    <row r="56">
      <c r="B56" t="inlineStr">
        <is>
          <t>Abbott India Ltd</t>
        </is>
      </c>
      <c r="C56" t="inlineStr">
        <is>
          <t>INE358A01014</t>
        </is>
      </c>
      <c r="D56" t="inlineStr">
        <is>
          <t>Pharmaceuticals &amp; Biotechnology</t>
        </is>
      </c>
      <c r="E56" t="n">
        <v>31701</v>
      </c>
      <c r="F56" t="n">
        <v>9201.219999999999</v>
      </c>
      <c r="G56" t="n">
        <v>0.53</v>
      </c>
      <c r="H56" t="inlineStr">
        <is>
          <t>Mid Cap</t>
        </is>
      </c>
    </row>
    <row r="57">
      <c r="B57" t="inlineStr">
        <is>
          <t>Vishal Mega Mart Ltd</t>
        </is>
      </c>
      <c r="C57" t="inlineStr">
        <is>
          <t>INE01EA01019</t>
        </is>
      </c>
      <c r="D57" t="inlineStr">
        <is>
          <t>Retailing</t>
        </is>
      </c>
      <c r="E57" t="n">
        <v>6581878</v>
      </c>
      <c r="F57" t="n">
        <v>8975.709999999999</v>
      </c>
      <c r="G57" t="n">
        <v>0.51</v>
      </c>
      <c r="H57" t="inlineStr">
        <is>
          <t>Mid Cap</t>
        </is>
      </c>
    </row>
    <row r="58">
      <c r="B58" t="inlineStr">
        <is>
          <t>SRF Ltd</t>
        </is>
      </c>
      <c r="C58" t="inlineStr">
        <is>
          <t>INE647A01010</t>
        </is>
      </c>
      <c r="D58" t="inlineStr">
        <is>
          <t>Chemicals &amp; Petrochemicals</t>
        </is>
      </c>
      <c r="E58" t="n">
        <v>248140</v>
      </c>
      <c r="F58" t="n">
        <v>7630.31</v>
      </c>
      <c r="G58" t="n">
        <v>0.44</v>
      </c>
      <c r="H58" t="inlineStr">
        <is>
          <t>Mid Cap</t>
        </is>
      </c>
    </row>
    <row r="59">
      <c r="B59" t="inlineStr">
        <is>
          <t>Oberoi Realty Ltd</t>
        </is>
      </c>
      <c r="C59" t="inlineStr">
        <is>
          <t>INE093I01010</t>
        </is>
      </c>
      <c r="D59" t="inlineStr">
        <is>
          <t>Realty</t>
        </is>
      </c>
      <c r="E59" t="n">
        <v>430000</v>
      </c>
      <c r="F59" t="n">
        <v>7183.58</v>
      </c>
      <c r="G59" t="n">
        <v>0.41</v>
      </c>
      <c r="H59" t="inlineStr">
        <is>
          <t>Mid Cap</t>
        </is>
      </c>
    </row>
    <row r="60">
      <c r="B60" t="inlineStr">
        <is>
          <t>HDFC Asset Management Co Ltd</t>
        </is>
      </c>
      <c r="C60" t="inlineStr">
        <is>
          <t>INE127D01025</t>
        </is>
      </c>
      <c r="D60" t="inlineStr">
        <is>
          <t>Capital Markets</t>
        </is>
      </c>
      <c r="E60" t="n">
        <v>225000</v>
      </c>
      <c r="F60" t="n">
        <v>6012.45</v>
      </c>
      <c r="G60" t="n">
        <v>0.34</v>
      </c>
      <c r="H60" t="inlineStr">
        <is>
          <t>Large Cap</t>
        </is>
      </c>
    </row>
    <row r="61">
      <c r="B61" t="inlineStr">
        <is>
          <t>Power Finance Corporation Ltd</t>
        </is>
      </c>
      <c r="C61" t="inlineStr">
        <is>
          <t>INE134E01011</t>
        </is>
      </c>
      <c r="D61" t="inlineStr">
        <is>
          <t>Finance</t>
        </is>
      </c>
      <c r="E61" t="n">
        <v>958787</v>
      </c>
      <c r="F61" t="n">
        <v>3407.53</v>
      </c>
      <c r="G61" t="n">
        <v>0.19</v>
      </c>
      <c r="H61" t="inlineStr">
        <is>
          <t>Large Cap</t>
        </is>
      </c>
    </row>
    <row r="62">
      <c r="B62" t="inlineStr">
        <is>
          <t>Asian Paints Ltd</t>
        </is>
      </c>
      <c r="C62" t="inlineStr">
        <is>
          <t>INE021A01026</t>
        </is>
      </c>
      <c r="D62" t="inlineStr">
        <is>
          <t>Consumer Durables</t>
        </is>
      </c>
      <c r="E62" t="n">
        <v>100000</v>
      </c>
      <c r="F62" t="n">
        <v>2769.5</v>
      </c>
      <c r="G62" t="n">
        <v>0.16</v>
      </c>
      <c r="H62" t="inlineStr">
        <is>
          <t>Large Cap</t>
        </is>
      </c>
    </row>
    <row r="63">
      <c r="B63" t="inlineStr">
        <is>
          <t>NTPC Green Energy Ltd</t>
        </is>
      </c>
      <c r="C63" t="inlineStr">
        <is>
          <t>INE0ONG01011</t>
        </is>
      </c>
      <c r="D63" t="inlineStr">
        <is>
          <t>Power</t>
        </is>
      </c>
      <c r="E63" t="n">
        <v>1852694</v>
      </c>
      <c r="F63" t="n">
        <v>1751.72</v>
      </c>
      <c r="G63" t="n">
        <v>0.1</v>
      </c>
      <c r="H63" t="inlineStr">
        <is>
          <t>Mid Cap</t>
        </is>
      </c>
    </row>
    <row r="64">
      <c r="B64" t="inlineStr">
        <is>
          <t>Kwality Wall’s India Ltd</t>
        </is>
      </c>
      <c r="C64" t="inlineStr">
        <is>
          <t>INE2KCE01013</t>
        </is>
      </c>
      <c r="D64" t="inlineStr">
        <is>
          <t>Food Products</t>
        </is>
      </c>
      <c r="E64" t="n">
        <v>622800</v>
      </c>
      <c r="F64" t="n">
        <v>250.37</v>
      </c>
      <c r="G64" t="n">
        <v>0.01</v>
      </c>
      <c r="H64" t="inlineStr">
        <is>
          <t>Small Cap</t>
        </is>
      </c>
    </row>
    <row r="65">
      <c r="B65" t="inlineStr">
        <is>
          <t>Sub Total</t>
        </is>
      </c>
      <c r="F65">
        <f>SUM(F7:F64)</f>
        <v/>
      </c>
      <c r="G65">
        <f>SUM(G7:G64)</f>
        <v/>
      </c>
    </row>
    <row r="66">
      <c r="B66" t="inlineStr">
        <is>
          <t>Total</t>
        </is>
      </c>
      <c r="F66">
        <f>F65</f>
        <v/>
      </c>
      <c r="G66">
        <f>G65</f>
        <v/>
      </c>
    </row>
    <row r="67">
      <c r="B67" t="inlineStr">
        <is>
          <t>Debt Instruments</t>
        </is>
      </c>
    </row>
    <row r="68">
      <c r="B68" t="inlineStr">
        <is>
          <t>(a) Listed / awaiting listing on Stock Exchanges</t>
        </is>
      </c>
    </row>
    <row r="69">
      <c r="B69" t="inlineStr">
        <is>
          <t>6.00% TVS Motor Co Ltd NCRPS **</t>
        </is>
      </c>
      <c r="C69" t="inlineStr">
        <is>
          <t>INE494B04019</t>
        </is>
      </c>
      <c r="D69" t="inlineStr">
        <is>
          <t>CARE A1+</t>
        </is>
      </c>
      <c r="E69" t="n">
        <v>1100000</v>
      </c>
      <c r="F69" t="n">
        <v>112.05</v>
      </c>
      <c r="G69" t="n">
        <v>0.01</v>
      </c>
      <c r="I69" t="n">
        <v>6.105</v>
      </c>
    </row>
    <row r="70">
      <c r="B70" t="inlineStr">
        <is>
          <t>Sub Total</t>
        </is>
      </c>
      <c r="F70" t="n">
        <v>112.05</v>
      </c>
      <c r="G70" t="n">
        <v>0.01</v>
      </c>
    </row>
    <row r="71">
      <c r="B71" t="inlineStr">
        <is>
          <t>Total</t>
        </is>
      </c>
      <c r="F71" t="n">
        <v>112.05</v>
      </c>
      <c r="G71" t="n">
        <v>0.01</v>
      </c>
    </row>
    <row r="72">
      <c r="B72" t="inlineStr">
        <is>
          <t>TREPS</t>
        </is>
      </c>
    </row>
    <row r="73">
      <c r="B73" t="inlineStr">
        <is>
          <t>TREPS</t>
        </is>
      </c>
      <c r="F73" t="n">
        <v>37588.58</v>
      </c>
      <c r="G73" t="n">
        <v>2.15</v>
      </c>
    </row>
    <row r="74">
      <c r="B74" t="inlineStr">
        <is>
          <t>Sub Total</t>
        </is>
      </c>
      <c r="F74">
        <f>SUM(F72:F73)</f>
        <v/>
      </c>
      <c r="G74">
        <f>SUM(G72:G73)</f>
        <v/>
      </c>
    </row>
    <row r="75">
      <c r="B75" t="inlineStr">
        <is>
          <t>Total</t>
        </is>
      </c>
      <c r="F75">
        <f>F74</f>
        <v/>
      </c>
      <c r="G75">
        <f>G74</f>
        <v/>
      </c>
    </row>
    <row r="76">
      <c r="B76" t="inlineStr">
        <is>
          <t>Net Receivables / (Payables)</t>
        </is>
      </c>
      <c r="F76">
        <f>F77-(+F66+F75+F71)</f>
        <v/>
      </c>
      <c r="G76">
        <f>G77-(+G66+G75+G70)</f>
        <v/>
      </c>
    </row>
    <row r="77">
      <c r="B77" t="inlineStr">
        <is>
          <t>Grand Total</t>
        </is>
      </c>
      <c r="F77" t="n">
        <v>1749295.43</v>
      </c>
      <c r="G77" t="n">
        <v>100</v>
      </c>
    </row>
    <row r="80">
      <c r="B80" t="inlineStr">
        <is>
          <t>Residual Maturity</t>
        </is>
      </c>
      <c r="C80" t="inlineStr">
        <is>
          <t>0.0027 Years</t>
        </is>
      </c>
    </row>
    <row r="82">
      <c r="B82" t="inlineStr">
        <is>
          <t>** Non Traded Security</t>
        </is>
      </c>
    </row>
    <row r="84">
      <c r="B84" t="inlineStr">
        <is>
          <t>Please refer the below link for the performance of the Schemes managed by Canara Robeco Mutual Fund</t>
        </is>
      </c>
    </row>
    <row r="86">
      <c r="B86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MULTI ASSET ALLOCATION FUND</t>
        </is>
      </c>
    </row>
    <row r="2"/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J4" t="inlineStr">
        <is>
          <t>Outstanding derivative exposure as % to net assets Long / (Short)</t>
        </is>
      </c>
      <c r="L4" t="inlineStr">
        <is>
          <t>Scheme Risk-O-Meter Level - December'25</t>
        </is>
      </c>
      <c r="M4" t="inlineStr">
        <is>
          <t>Benchmark Risk-O-Meter Level - December'25</t>
        </is>
      </c>
      <c r="N4" t="inlineStr">
        <is>
          <t>Scheme Risk-O-Meter Level - November'25</t>
        </is>
      </c>
      <c r="O4" t="inlineStr">
        <is>
          <t>Benchmark Risk-O-Meter Level - November'25</t>
        </is>
      </c>
    </row>
    <row r="5">
      <c r="B5" t="inlineStr">
        <is>
          <t>Equity &amp; Equity related</t>
        </is>
      </c>
      <c r="L5" t="e">
        <v>#VALUE!</v>
      </c>
      <c r="M5" t="e">
        <v>#VALUE!</v>
      </c>
      <c r="N5" t="e">
        <v>#VALUE!</v>
      </c>
      <c r="O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782100</v>
      </c>
      <c r="F7" t="n">
        <v>7752.18</v>
      </c>
      <c r="G7" t="n">
        <v>6.5</v>
      </c>
      <c r="H7" t="inlineStr">
        <is>
          <t>Large Cap</t>
        </is>
      </c>
      <c r="J7" t="n">
        <v>-1.53590872027613</v>
      </c>
    </row>
    <row r="8">
      <c r="B8" t="inlineStr">
        <is>
          <t>Reliance Industries Ltd</t>
        </is>
      </c>
      <c r="C8" t="inlineStr">
        <is>
          <t>INE002A01018</t>
        </is>
      </c>
      <c r="D8" t="inlineStr">
        <is>
          <t>Petroleum Products</t>
        </is>
      </c>
      <c r="E8" t="n">
        <v>390600</v>
      </c>
      <c r="F8" t="n">
        <v>6133.98</v>
      </c>
      <c r="G8" t="n">
        <v>5.14</v>
      </c>
      <c r="H8" t="inlineStr">
        <is>
          <t>Large Cap</t>
        </is>
      </c>
      <c r="J8" t="n">
        <v>-2.03049659081738</v>
      </c>
    </row>
    <row r="9">
      <c r="B9" t="inlineStr">
        <is>
          <t>ICICI Bank Ltd</t>
        </is>
      </c>
      <c r="C9" t="inlineStr">
        <is>
          <t>INE090A01021</t>
        </is>
      </c>
      <c r="D9" t="inlineStr">
        <is>
          <t>Banks</t>
        </is>
      </c>
      <c r="E9" t="n">
        <v>454800</v>
      </c>
      <c r="F9" t="n">
        <v>6107.51</v>
      </c>
      <c r="G9" t="n">
        <v>5.12</v>
      </c>
      <c r="H9" t="inlineStr">
        <is>
          <t>Large Cap</t>
        </is>
      </c>
      <c r="J9" t="n">
        <v>-2.13981109746165</v>
      </c>
    </row>
    <row r="10">
      <c r="B10" t="inlineStr">
        <is>
          <t>Bharti Airtel Ltd</t>
        </is>
      </c>
      <c r="C10" t="inlineStr">
        <is>
          <t>INE397D01024</t>
        </is>
      </c>
      <c r="D10" t="inlineStr">
        <is>
          <t>Telecom - Services</t>
        </is>
      </c>
      <c r="E10" t="n">
        <v>269550</v>
      </c>
      <c r="F10" t="n">
        <v>5675.64</v>
      </c>
      <c r="G10" t="n">
        <v>4.76</v>
      </c>
      <c r="H10" t="inlineStr">
        <is>
          <t>Large Cap</t>
        </is>
      </c>
      <c r="J10" t="n">
        <v>-2.82641392180872</v>
      </c>
    </row>
    <row r="11">
      <c r="B11" t="inlineStr">
        <is>
          <t>Larsen &amp; Toubro Ltd</t>
        </is>
      </c>
      <c r="C11" t="inlineStr">
        <is>
          <t>INE018A01030</t>
        </is>
      </c>
      <c r="D11" t="inlineStr">
        <is>
          <t>Construction</t>
        </is>
      </c>
      <c r="E11" t="n">
        <v>115600</v>
      </c>
      <c r="F11" t="n">
        <v>4720.53</v>
      </c>
      <c r="G11" t="n">
        <v>3.96</v>
      </c>
      <c r="H11" t="inlineStr">
        <is>
          <t>Large Cap</t>
        </is>
      </c>
      <c r="J11" t="n">
        <v>-1.68717657940136</v>
      </c>
    </row>
    <row r="12">
      <c r="B12" t="inlineStr">
        <is>
          <t>Infosys Ltd</t>
        </is>
      </c>
      <c r="C12" t="inlineStr">
        <is>
          <t>INE009A01021</t>
        </is>
      </c>
      <c r="D12" t="inlineStr">
        <is>
          <t>IT - Software</t>
        </is>
      </c>
      <c r="E12" t="n">
        <v>167205</v>
      </c>
      <c r="F12" t="n">
        <v>2701.03</v>
      </c>
      <c r="G12" t="n">
        <v>2.26</v>
      </c>
      <c r="H12" t="inlineStr">
        <is>
          <t>Large Cap</t>
        </is>
      </c>
    </row>
    <row r="13">
      <c r="B13" t="inlineStr">
        <is>
          <t>Bajaj Finance Ltd</t>
        </is>
      </c>
      <c r="C13" t="inlineStr">
        <is>
          <t>INE296A01032</t>
        </is>
      </c>
      <c r="D13" t="inlineStr">
        <is>
          <t>Finance</t>
        </is>
      </c>
      <c r="E13" t="n">
        <v>267520</v>
      </c>
      <c r="F13" t="n">
        <v>2639.89</v>
      </c>
      <c r="G13" t="n">
        <v>2.21</v>
      </c>
      <c r="H13" t="inlineStr">
        <is>
          <t>Large Cap</t>
        </is>
      </c>
      <c r="J13" t="n">
        <v>-0.349646478254794</v>
      </c>
      <c r="M13" t="inlineStr">
        <is>
          <t>Benchmark: 65% BSE 200 TRI + 20% NIFTY Short Duration Debt Index + 10% Domestic Price of Gold + 5% Domestic Price of Silver</t>
        </is>
      </c>
    </row>
    <row r="14">
      <c r="B14" t="inlineStr">
        <is>
          <t>Mahindra &amp; Mahindra Ltd</t>
        </is>
      </c>
      <c r="C14" t="inlineStr">
        <is>
          <t>INE101A01026</t>
        </is>
      </c>
      <c r="D14" t="inlineStr">
        <is>
          <t>Automobiles</t>
        </is>
      </c>
      <c r="E14" t="n">
        <v>58170</v>
      </c>
      <c r="F14" t="n">
        <v>2157.64</v>
      </c>
      <c r="G14" t="n">
        <v>1.81</v>
      </c>
      <c r="H14" t="inlineStr">
        <is>
          <t>Large Cap</t>
        </is>
      </c>
    </row>
    <row r="15">
      <c r="B15" t="inlineStr">
        <is>
          <t>Titan Co Ltd</t>
        </is>
      </c>
      <c r="C15" t="inlineStr">
        <is>
          <t>INE280A01028</t>
        </is>
      </c>
      <c r="D15" t="inlineStr">
        <is>
          <t>Consumer Durables</t>
        </is>
      </c>
      <c r="E15" t="n">
        <v>52940</v>
      </c>
      <c r="F15" t="n">
        <v>2144.86</v>
      </c>
      <c r="G15" t="n">
        <v>1.8</v>
      </c>
      <c r="H15" t="inlineStr">
        <is>
          <t>Large Cap</t>
        </is>
      </c>
    </row>
    <row r="16">
      <c r="B16" t="inlineStr">
        <is>
          <t>State Bank of India</t>
        </is>
      </c>
      <c r="C16" t="inlineStr">
        <is>
          <t>INE062A01020</t>
        </is>
      </c>
      <c r="D16" t="inlineStr">
        <is>
          <t>Banks</t>
        </is>
      </c>
      <c r="E16" t="n">
        <v>216862</v>
      </c>
      <c r="F16" t="n">
        <v>2130.02</v>
      </c>
      <c r="G16" t="n">
        <v>1.79</v>
      </c>
      <c r="H16" t="inlineStr">
        <is>
          <t>Large Cap</t>
        </is>
      </c>
    </row>
    <row r="17">
      <c r="B17" t="inlineStr">
        <is>
          <t>Axis Bank Ltd</t>
        </is>
      </c>
      <c r="C17" t="inlineStr">
        <is>
          <t>INE238A01034</t>
        </is>
      </c>
      <c r="D17" t="inlineStr">
        <is>
          <t>Banks</t>
        </is>
      </c>
      <c r="E17" t="n">
        <v>160600</v>
      </c>
      <c r="F17" t="n">
        <v>2038.66</v>
      </c>
      <c r="G17" t="n">
        <v>1.71</v>
      </c>
      <c r="H17" t="inlineStr">
        <is>
          <t>Large Cap</t>
        </is>
      </c>
    </row>
    <row r="18">
      <c r="B18" t="inlineStr">
        <is>
          <t>Varun Beverages Ltd</t>
        </is>
      </c>
      <c r="C18" t="inlineStr">
        <is>
          <t>INE200M01039</t>
        </is>
      </c>
      <c r="D18" t="inlineStr">
        <is>
          <t>Beverages</t>
        </is>
      </c>
      <c r="E18" t="n">
        <v>405520</v>
      </c>
      <c r="F18" t="n">
        <v>1986.44</v>
      </c>
      <c r="G18" t="n">
        <v>1.67</v>
      </c>
      <c r="H18" t="inlineStr">
        <is>
          <t>Large Cap</t>
        </is>
      </c>
    </row>
    <row r="19">
      <c r="B19" t="inlineStr">
        <is>
          <t>Torrent Pharmaceuticals Ltd</t>
        </is>
      </c>
      <c r="C19" t="inlineStr">
        <is>
          <t>INE685A01028</t>
        </is>
      </c>
      <c r="D19" t="inlineStr">
        <is>
          <t>Pharmaceuticals &amp; Biotechnology</t>
        </is>
      </c>
      <c r="E19" t="n">
        <v>48540</v>
      </c>
      <c r="F19" t="n">
        <v>1868.79</v>
      </c>
      <c r="G19" t="n">
        <v>1.57</v>
      </c>
      <c r="H19" t="inlineStr">
        <is>
          <t>Large Cap</t>
        </is>
      </c>
    </row>
    <row r="20">
      <c r="B20" t="inlineStr">
        <is>
          <t>Max Healthcare Institute Ltd</t>
        </is>
      </c>
      <c r="C20" t="inlineStr">
        <is>
          <t>INE027H01010</t>
        </is>
      </c>
      <c r="D20" t="inlineStr">
        <is>
          <t>Healthcare Services</t>
        </is>
      </c>
      <c r="E20" t="n">
        <v>175489</v>
      </c>
      <c r="F20" t="n">
        <v>1834.04</v>
      </c>
      <c r="G20" t="n">
        <v>1.54</v>
      </c>
      <c r="H20" t="inlineStr">
        <is>
          <t>Large Cap</t>
        </is>
      </c>
    </row>
    <row r="21">
      <c r="B21" t="inlineStr">
        <is>
          <t>Eternal Ltd</t>
        </is>
      </c>
      <c r="C21" t="inlineStr">
        <is>
          <t>INE758T01015</t>
        </is>
      </c>
      <c r="D21" t="inlineStr">
        <is>
          <t>Retailing</t>
        </is>
      </c>
      <c r="E21" t="n">
        <v>631380</v>
      </c>
      <c r="F21" t="n">
        <v>1755.55</v>
      </c>
      <c r="G21" t="n">
        <v>1.47</v>
      </c>
      <c r="H21" t="inlineStr">
        <is>
          <t>Large Cap</t>
        </is>
      </c>
    </row>
    <row r="22">
      <c r="B22" t="inlineStr">
        <is>
          <t>Indian Hotels Co Ltd</t>
        </is>
      </c>
      <c r="C22" t="inlineStr">
        <is>
          <t>INE053A01029</t>
        </is>
      </c>
      <c r="D22" t="inlineStr">
        <is>
          <t>Leisure Services</t>
        </is>
      </c>
      <c r="E22" t="n">
        <v>204100</v>
      </c>
      <c r="F22" t="n">
        <v>1507.99</v>
      </c>
      <c r="G22" t="n">
        <v>1.26</v>
      </c>
      <c r="H22" t="inlineStr">
        <is>
          <t>Large Cap</t>
        </is>
      </c>
    </row>
    <row r="23">
      <c r="B23" t="inlineStr">
        <is>
          <t>TVS Motor Co Ltd</t>
        </is>
      </c>
      <c r="C23" t="inlineStr">
        <is>
          <t>INE494B01023</t>
        </is>
      </c>
      <c r="D23" t="inlineStr">
        <is>
          <t>Automobiles</t>
        </is>
      </c>
      <c r="E23" t="n">
        <v>40320</v>
      </c>
      <c r="F23" t="n">
        <v>1499.82</v>
      </c>
      <c r="G23" t="n">
        <v>1.26</v>
      </c>
      <c r="H23" t="inlineStr">
        <is>
          <t>Large Cap</t>
        </is>
      </c>
    </row>
    <row r="24">
      <c r="B24" t="inlineStr">
        <is>
          <t>Max Financial Services Ltd</t>
        </is>
      </c>
      <c r="C24" t="inlineStr">
        <is>
          <t>INE180A01020</t>
        </is>
      </c>
      <c r="D24" t="inlineStr">
        <is>
          <t>Insurance</t>
        </is>
      </c>
      <c r="E24" t="n">
        <v>87400</v>
      </c>
      <c r="F24" t="n">
        <v>1461.15</v>
      </c>
      <c r="G24" t="n">
        <v>1.22</v>
      </c>
      <c r="H24" t="inlineStr">
        <is>
          <t>Mid Cap</t>
        </is>
      </c>
    </row>
    <row r="25">
      <c r="B25" t="inlineStr">
        <is>
          <t>Interglobe Aviation Ltd</t>
        </is>
      </c>
      <c r="C25" t="inlineStr">
        <is>
          <t>INE646L01027</t>
        </is>
      </c>
      <c r="D25" t="inlineStr">
        <is>
          <t>Transport Services</t>
        </is>
      </c>
      <c r="E25" t="n">
        <v>28750</v>
      </c>
      <c r="F25" t="n">
        <v>1454.61</v>
      </c>
      <c r="G25" t="n">
        <v>1.22</v>
      </c>
      <c r="H25" t="inlineStr">
        <is>
          <t>Large Cap</t>
        </is>
      </c>
    </row>
    <row r="26">
      <c r="B26" t="inlineStr">
        <is>
          <t>Vishal Mega Mart Ltd</t>
        </is>
      </c>
      <c r="C26" t="inlineStr">
        <is>
          <t>INE01EA01019</t>
        </is>
      </c>
      <c r="D26" t="inlineStr">
        <is>
          <t>Retailing</t>
        </is>
      </c>
      <c r="E26" t="n">
        <v>1060500</v>
      </c>
      <c r="F26" t="n">
        <v>1446.2</v>
      </c>
      <c r="G26" t="n">
        <v>1.21</v>
      </c>
      <c r="H26" t="inlineStr">
        <is>
          <t>Mid Cap</t>
        </is>
      </c>
    </row>
    <row r="27">
      <c r="B27" t="inlineStr">
        <is>
          <t>Kotak Mahindra Bank Ltd</t>
        </is>
      </c>
      <c r="C27" t="inlineStr">
        <is>
          <t>INE237A01028</t>
        </is>
      </c>
      <c r="D27" t="inlineStr">
        <is>
          <t>Banks</t>
        </is>
      </c>
      <c r="E27" t="n">
        <v>65500</v>
      </c>
      <c r="F27" t="n">
        <v>1441.72</v>
      </c>
      <c r="G27" t="n">
        <v>1.21</v>
      </c>
      <c r="H27" t="inlineStr">
        <is>
          <t>Large Cap</t>
        </is>
      </c>
    </row>
    <row r="28">
      <c r="B28" t="inlineStr">
        <is>
          <t>Mankind Pharma Ltd</t>
        </is>
      </c>
      <c r="C28" t="inlineStr">
        <is>
          <t>INE634S01028</t>
        </is>
      </c>
      <c r="D28" t="inlineStr">
        <is>
          <t>Pharmaceuticals &amp; Biotechnology</t>
        </is>
      </c>
      <c r="E28" t="n">
        <v>62610</v>
      </c>
      <c r="F28" t="n">
        <v>1375.23</v>
      </c>
      <c r="G28" t="n">
        <v>1.15</v>
      </c>
      <c r="H28" t="inlineStr">
        <is>
          <t>Mid Cap</t>
        </is>
      </c>
    </row>
    <row r="29">
      <c r="B29" t="inlineStr">
        <is>
          <t>Ultratech Cement Ltd</t>
        </is>
      </c>
      <c r="C29" t="inlineStr">
        <is>
          <t>INE481G01011</t>
        </is>
      </c>
      <c r="D29" t="inlineStr">
        <is>
          <t>Cement &amp; Cement Products</t>
        </is>
      </c>
      <c r="E29" t="n">
        <v>11190</v>
      </c>
      <c r="F29" t="n">
        <v>1318.63</v>
      </c>
      <c r="G29" t="n">
        <v>1.11</v>
      </c>
      <c r="H29" t="inlineStr">
        <is>
          <t>Large Cap</t>
        </is>
      </c>
    </row>
    <row r="30">
      <c r="B30" t="inlineStr">
        <is>
          <t>Jubilant Foodworks Ltd</t>
        </is>
      </c>
      <c r="C30" t="inlineStr">
        <is>
          <t>INE797F01020</t>
        </is>
      </c>
      <c r="D30" t="inlineStr">
        <is>
          <t>Leisure Services</t>
        </is>
      </c>
      <c r="E30" t="n">
        <v>233000</v>
      </c>
      <c r="F30" t="n">
        <v>1301.54</v>
      </c>
      <c r="G30" t="n">
        <v>1.09</v>
      </c>
      <c r="H30" t="inlineStr">
        <is>
          <t>Mid Cap</t>
        </is>
      </c>
    </row>
    <row r="31">
      <c r="B31" t="inlineStr">
        <is>
          <t>Hindustan Aeronautics Ltd</t>
        </is>
      </c>
      <c r="C31" t="inlineStr">
        <is>
          <t>INE066F01020</t>
        </is>
      </c>
      <c r="D31" t="inlineStr">
        <is>
          <t>Aerospace &amp; Defense</t>
        </is>
      </c>
      <c r="E31" t="n">
        <v>29500</v>
      </c>
      <c r="F31" t="n">
        <v>1294.67</v>
      </c>
      <c r="G31" t="n">
        <v>1.09</v>
      </c>
      <c r="H31" t="inlineStr">
        <is>
          <t>Large Cap</t>
        </is>
      </c>
    </row>
    <row r="32">
      <c r="B32" t="inlineStr">
        <is>
          <t>Info Edge (India) Ltd</t>
        </is>
      </c>
      <c r="C32" t="inlineStr">
        <is>
          <t>INE663F01032</t>
        </is>
      </c>
      <c r="D32" t="inlineStr">
        <is>
          <t>Retailing</t>
        </is>
      </c>
      <c r="E32" t="n">
        <v>94030</v>
      </c>
      <c r="F32" t="n">
        <v>1253.98</v>
      </c>
      <c r="G32" t="n">
        <v>1.05</v>
      </c>
      <c r="H32" t="inlineStr">
        <is>
          <t>Mid Cap</t>
        </is>
      </c>
    </row>
    <row r="33">
      <c r="B33" t="inlineStr">
        <is>
          <t>Sun Pharmaceutical Industries Ltd</t>
        </is>
      </c>
      <c r="C33" t="inlineStr">
        <is>
          <t>INE044A01036</t>
        </is>
      </c>
      <c r="D33" t="inlineStr">
        <is>
          <t>Pharmaceuticals &amp; Biotechnology</t>
        </is>
      </c>
      <c r="E33" t="n">
        <v>69160</v>
      </c>
      <c r="F33" t="n">
        <v>1189.34</v>
      </c>
      <c r="G33" t="n">
        <v>1</v>
      </c>
      <c r="H33" t="inlineStr">
        <is>
          <t>Large Cap</t>
        </is>
      </c>
    </row>
    <row r="34">
      <c r="B34" t="inlineStr">
        <is>
          <t>Bharat Electronics Ltd</t>
        </is>
      </c>
      <c r="C34" t="inlineStr">
        <is>
          <t>INE263A01024</t>
        </is>
      </c>
      <c r="D34" t="inlineStr">
        <is>
          <t>Aerospace &amp; Defense</t>
        </is>
      </c>
      <c r="E34" t="n">
        <v>283560</v>
      </c>
      <c r="F34" t="n">
        <v>1133.11</v>
      </c>
      <c r="G34" t="n">
        <v>0.95</v>
      </c>
      <c r="H34" t="inlineStr">
        <is>
          <t>Large Cap</t>
        </is>
      </c>
    </row>
    <row r="35">
      <c r="B35" t="inlineStr">
        <is>
          <t>Divi's Laboratories Ltd</t>
        </is>
      </c>
      <c r="C35" t="inlineStr">
        <is>
          <t>INE361B01024</t>
        </is>
      </c>
      <c r="D35" t="inlineStr">
        <is>
          <t>Pharmaceuticals &amp; Biotechnology</t>
        </is>
      </c>
      <c r="E35" t="n">
        <v>17360</v>
      </c>
      <c r="F35" t="n">
        <v>1109.74</v>
      </c>
      <c r="G35" t="n">
        <v>0.93</v>
      </c>
      <c r="H35" t="inlineStr">
        <is>
          <t>Large Cap</t>
        </is>
      </c>
    </row>
    <row r="36">
      <c r="B36" t="inlineStr">
        <is>
          <t>United Spirits Ltd</t>
        </is>
      </c>
      <c r="C36" t="inlineStr">
        <is>
          <t>INE854D01024</t>
        </is>
      </c>
      <c r="D36" t="inlineStr">
        <is>
          <t>Beverages</t>
        </is>
      </c>
      <c r="E36" t="n">
        <v>71240</v>
      </c>
      <c r="F36" t="n">
        <v>1028.49</v>
      </c>
      <c r="G36" t="n">
        <v>0.86</v>
      </c>
      <c r="H36" t="inlineStr">
        <is>
          <t>Mid Cap</t>
        </is>
      </c>
    </row>
    <row r="37">
      <c r="B37" t="inlineStr">
        <is>
          <t>Dr. Lal Path Labs Ltd</t>
        </is>
      </c>
      <c r="C37" t="inlineStr">
        <is>
          <t>INE600L01024</t>
        </is>
      </c>
      <c r="D37" t="inlineStr">
        <is>
          <t>Healthcare Services</t>
        </is>
      </c>
      <c r="E37" t="n">
        <v>66734</v>
      </c>
      <c r="F37" t="n">
        <v>989.4</v>
      </c>
      <c r="G37" t="n">
        <v>0.83</v>
      </c>
      <c r="H37" t="inlineStr">
        <is>
          <t>Small Cap</t>
        </is>
      </c>
    </row>
    <row r="38">
      <c r="B38" t="inlineStr">
        <is>
          <t>PB Fintech Ltd</t>
        </is>
      </c>
      <c r="C38" t="inlineStr">
        <is>
          <t>INE417T01026</t>
        </is>
      </c>
      <c r="D38" t="inlineStr">
        <is>
          <t>Financial Technology (Fintech)</t>
        </is>
      </c>
      <c r="E38" t="n">
        <v>45450</v>
      </c>
      <c r="F38" t="n">
        <v>829.74</v>
      </c>
      <c r="G38" t="n">
        <v>0.7</v>
      </c>
      <c r="H38" t="inlineStr">
        <is>
          <t>Mid Cap</t>
        </is>
      </c>
    </row>
    <row r="39">
      <c r="B39" t="inlineStr">
        <is>
          <t>PI Industries Ltd</t>
        </is>
      </c>
      <c r="C39" t="inlineStr">
        <is>
          <t>INE603J01030</t>
        </is>
      </c>
      <c r="D39" t="inlineStr">
        <is>
          <t>Fertilizers &amp; Agrochemicals</t>
        </is>
      </c>
      <c r="E39" t="n">
        <v>24670</v>
      </c>
      <c r="F39" t="n">
        <v>798.86</v>
      </c>
      <c r="G39" t="n">
        <v>0.67</v>
      </c>
      <c r="H39" t="inlineStr">
        <is>
          <t>Mid Cap</t>
        </is>
      </c>
    </row>
    <row r="40">
      <c r="B40" t="inlineStr">
        <is>
          <t>Trent Ltd</t>
        </is>
      </c>
      <c r="C40" t="inlineStr">
        <is>
          <t>INE849A01020</t>
        </is>
      </c>
      <c r="D40" t="inlineStr">
        <is>
          <t>Retailing</t>
        </is>
      </c>
      <c r="E40" t="n">
        <v>18370</v>
      </c>
      <c r="F40" t="n">
        <v>786.05</v>
      </c>
      <c r="G40" t="n">
        <v>0.66</v>
      </c>
      <c r="H40" t="inlineStr">
        <is>
          <t>Large Cap</t>
        </is>
      </c>
    </row>
    <row r="41">
      <c r="B41" t="inlineStr">
        <is>
          <t>KEI Industries Ltd</t>
        </is>
      </c>
      <c r="C41" t="inlineStr">
        <is>
          <t>INE878B01027</t>
        </is>
      </c>
      <c r="D41" t="inlineStr">
        <is>
          <t>Industrial Products</t>
        </is>
      </c>
      <c r="E41" t="n">
        <v>17100</v>
      </c>
      <c r="F41" t="n">
        <v>762.6900000000001</v>
      </c>
      <c r="G41" t="n">
        <v>0.64</v>
      </c>
      <c r="H41" t="inlineStr">
        <is>
          <t>Mid Cap</t>
        </is>
      </c>
    </row>
    <row r="42">
      <c r="B42" t="inlineStr">
        <is>
          <t>Dixon Technologies (India) Ltd</t>
        </is>
      </c>
      <c r="C42" t="inlineStr">
        <is>
          <t>INE935N01020</t>
        </is>
      </c>
      <c r="D42" t="inlineStr">
        <is>
          <t>Consumer Durables</t>
        </is>
      </c>
      <c r="E42" t="n">
        <v>6250</v>
      </c>
      <c r="F42" t="n">
        <v>756.38</v>
      </c>
      <c r="G42" t="n">
        <v>0.63</v>
      </c>
      <c r="H42" t="inlineStr">
        <is>
          <t>Mid Cap</t>
        </is>
      </c>
    </row>
    <row r="43">
      <c r="B43" t="inlineStr">
        <is>
          <t>Persistent Systems Ltd</t>
        </is>
      </c>
      <c r="C43" t="inlineStr">
        <is>
          <t>INE262H01021</t>
        </is>
      </c>
      <c r="D43" t="inlineStr">
        <is>
          <t>IT - Software</t>
        </is>
      </c>
      <c r="E43" t="n">
        <v>11050</v>
      </c>
      <c r="F43" t="n">
        <v>693.0599999999999</v>
      </c>
      <c r="G43" t="n">
        <v>0.58</v>
      </c>
      <c r="H43" t="inlineStr">
        <is>
          <t>Mid Cap</t>
        </is>
      </c>
    </row>
    <row r="44">
      <c r="B44" t="inlineStr">
        <is>
          <t>Havells India Ltd</t>
        </is>
      </c>
      <c r="C44" t="inlineStr">
        <is>
          <t>INE176B01034</t>
        </is>
      </c>
      <c r="D44" t="inlineStr">
        <is>
          <t>Consumer Durables</t>
        </is>
      </c>
      <c r="E44" t="n">
        <v>42270</v>
      </c>
      <c r="F44" t="n">
        <v>602.3099999999999</v>
      </c>
      <c r="G44" t="n">
        <v>0.5</v>
      </c>
      <c r="H44" t="inlineStr">
        <is>
          <t>Mid Cap</t>
        </is>
      </c>
    </row>
    <row r="45">
      <c r="B45" t="inlineStr">
        <is>
          <t>Mrs Bectors Food Specialities Ltd</t>
        </is>
      </c>
      <c r="C45" t="inlineStr">
        <is>
          <t>INE495P01020</t>
        </is>
      </c>
      <c r="D45" t="inlineStr">
        <is>
          <t>Food Products</t>
        </is>
      </c>
      <c r="E45" t="n">
        <v>174045</v>
      </c>
      <c r="F45" t="n">
        <v>401</v>
      </c>
      <c r="G45" t="n">
        <v>0.34</v>
      </c>
      <c r="H45" t="inlineStr">
        <is>
          <t>Small Cap</t>
        </is>
      </c>
    </row>
    <row r="46">
      <c r="B46" t="inlineStr">
        <is>
          <t>HDFC Asset Management Co Ltd</t>
        </is>
      </c>
      <c r="C46" t="inlineStr">
        <is>
          <t>INE127D01025</t>
        </is>
      </c>
      <c r="D46" t="inlineStr">
        <is>
          <t>Capital Markets</t>
        </is>
      </c>
      <c r="E46" t="n">
        <v>5880</v>
      </c>
      <c r="F46" t="n">
        <v>157.13</v>
      </c>
      <c r="G46" t="n">
        <v>0.13</v>
      </c>
      <c r="H46" t="inlineStr">
        <is>
          <t>Large Cap</t>
        </is>
      </c>
    </row>
    <row r="47">
      <c r="B47" t="inlineStr">
        <is>
          <t>Sub Total</t>
        </is>
      </c>
      <c r="F47">
        <f>SUM(F7:F46)</f>
        <v/>
      </c>
      <c r="G47">
        <f>SUM(G7:G46)</f>
        <v/>
      </c>
      <c r="J47">
        <f>SUM(J7:J46)</f>
        <v/>
      </c>
    </row>
    <row r="48">
      <c r="B48" t="inlineStr">
        <is>
          <t>Total</t>
        </is>
      </c>
      <c r="F48">
        <f>F47</f>
        <v/>
      </c>
      <c r="G48">
        <f>G47</f>
        <v/>
      </c>
      <c r="J48">
        <f>J47</f>
        <v/>
      </c>
    </row>
    <row r="49">
      <c r="B49" t="inlineStr">
        <is>
          <t>Debt Instruments</t>
        </is>
      </c>
    </row>
    <row r="50">
      <c r="B50" t="inlineStr">
        <is>
          <t>(a) Listed / awaiting listing on Stock Exchanges</t>
        </is>
      </c>
    </row>
    <row r="51">
      <c r="B51" t="inlineStr">
        <is>
          <t>7.7951% BAJAJ FINANCE LTD 10-DEC-27 **</t>
        </is>
      </c>
      <c r="C51" t="inlineStr">
        <is>
          <t>INE296A07TF2</t>
        </is>
      </c>
      <c r="D51" t="inlineStr">
        <is>
          <t>CRISIL AAA</t>
        </is>
      </c>
      <c r="E51" t="n">
        <v>2500</v>
      </c>
      <c r="F51" t="n">
        <v>2527.46</v>
      </c>
      <c r="G51" t="n">
        <v>2.12</v>
      </c>
      <c r="I51" t="n">
        <v>7.16</v>
      </c>
    </row>
    <row r="52">
      <c r="B52" t="inlineStr">
        <is>
          <t>7.58% National Bank For Agriculture &amp; Rural Development (31/07/2026)</t>
        </is>
      </c>
      <c r="C52" t="inlineStr">
        <is>
          <t>INE261F08DX0</t>
        </is>
      </c>
      <c r="D52" t="inlineStr">
        <is>
          <t>CRISIL AAA</t>
        </is>
      </c>
      <c r="E52" t="n">
        <v>2500</v>
      </c>
      <c r="F52" t="n">
        <v>2508.54</v>
      </c>
      <c r="G52" t="n">
        <v>2.1</v>
      </c>
      <c r="I52" t="n">
        <v>6.75</v>
      </c>
    </row>
    <row r="53">
      <c r="B53" t="inlineStr">
        <is>
          <t>7.02% Bajaj Housing Finance Ltd (26/05/2028) **</t>
        </is>
      </c>
      <c r="C53" t="inlineStr">
        <is>
          <t>INE377Y07565</t>
        </is>
      </c>
      <c r="D53" t="inlineStr">
        <is>
          <t>CRISIL AAA</t>
        </is>
      </c>
      <c r="E53" t="n">
        <v>2500</v>
      </c>
      <c r="F53" t="n">
        <v>2495.62</v>
      </c>
      <c r="G53" t="n">
        <v>2.09</v>
      </c>
      <c r="I53" t="n">
        <v>7.08</v>
      </c>
    </row>
    <row r="54">
      <c r="B54" t="inlineStr">
        <is>
          <t>8.00% Bajaj Housing Finance Ltd (16/02/2026) **</t>
        </is>
      </c>
      <c r="C54" t="inlineStr">
        <is>
          <t>INE377Y07466</t>
        </is>
      </c>
      <c r="D54" t="inlineStr">
        <is>
          <t>CRISIL AAA</t>
        </is>
      </c>
      <c r="E54" t="n">
        <v>500</v>
      </c>
      <c r="F54" t="n">
        <v>501.01</v>
      </c>
      <c r="G54" t="n">
        <v>0.42</v>
      </c>
      <c r="I54" t="n">
        <v>5.97</v>
      </c>
    </row>
    <row r="55">
      <c r="B55" t="inlineStr">
        <is>
          <t>6.00% TVS Motor Co Ltd NCRPS **</t>
        </is>
      </c>
      <c r="C55" t="inlineStr">
        <is>
          <t>INE494B04019</t>
        </is>
      </c>
      <c r="D55" t="inlineStr">
        <is>
          <t>CARE A1+</t>
        </is>
      </c>
      <c r="E55" t="n">
        <v>183280</v>
      </c>
      <c r="F55" t="n">
        <v>18.67</v>
      </c>
      <c r="G55" t="n">
        <v>0.02</v>
      </c>
      <c r="I55" t="n">
        <v>6.105</v>
      </c>
    </row>
    <row r="56">
      <c r="B56" t="inlineStr">
        <is>
          <t>Sub Total</t>
        </is>
      </c>
      <c r="F56">
        <f>SUM(F50:F55)</f>
        <v/>
      </c>
      <c r="G56">
        <f>SUM(G50:G55)</f>
        <v/>
      </c>
    </row>
    <row r="57">
      <c r="B57" t="inlineStr">
        <is>
          <t>Total</t>
        </is>
      </c>
      <c r="F57">
        <f>F56</f>
        <v/>
      </c>
      <c r="G57">
        <f>G56</f>
        <v/>
      </c>
    </row>
    <row r="58">
      <c r="B58" t="inlineStr">
        <is>
          <t>Money Market Instruments</t>
        </is>
      </c>
    </row>
    <row r="59">
      <c r="B59" t="inlineStr">
        <is>
          <t>Certificate of Deposit</t>
        </is>
      </c>
    </row>
    <row r="60">
      <c r="B60" t="inlineStr">
        <is>
          <t>National Bank For Agriculture &amp; Rural Development (25/03/2026) ** #</t>
        </is>
      </c>
      <c r="C60" t="inlineStr">
        <is>
          <t>INE261F16AA7</t>
        </is>
      </c>
      <c r="D60" t="inlineStr">
        <is>
          <t>CRISIL A1+</t>
        </is>
      </c>
      <c r="E60" t="n">
        <v>500</v>
      </c>
      <c r="F60" t="n">
        <v>2466.41</v>
      </c>
      <c r="G60" t="n">
        <v>2.07</v>
      </c>
      <c r="I60" t="n">
        <v>5.99</v>
      </c>
    </row>
    <row r="61">
      <c r="B61" t="inlineStr">
        <is>
          <t>Sub Total</t>
        </is>
      </c>
      <c r="F61">
        <f>SUM(F59:F60)</f>
        <v/>
      </c>
      <c r="G61">
        <f>SUM(G59:G60)</f>
        <v/>
      </c>
    </row>
    <row r="62">
      <c r="B62" t="inlineStr">
        <is>
          <t>Treasury Bill</t>
        </is>
      </c>
    </row>
    <row r="63">
      <c r="B63" t="inlineStr">
        <is>
          <t>182 DTB (28-MAY-2026)</t>
        </is>
      </c>
      <c r="C63" t="inlineStr">
        <is>
          <t>IN002025Y354</t>
        </is>
      </c>
      <c r="D63" t="inlineStr">
        <is>
          <t xml:space="preserve"> Sovereign</t>
        </is>
      </c>
      <c r="E63" t="n">
        <v>2500000</v>
      </c>
      <c r="F63" t="n">
        <v>2447.03</v>
      </c>
      <c r="G63" t="n">
        <v>2.05</v>
      </c>
      <c r="I63" t="n">
        <v>5.37</v>
      </c>
    </row>
    <row r="64">
      <c r="B64" t="inlineStr">
        <is>
          <t>182 DTB (21-MAY-2026)</t>
        </is>
      </c>
      <c r="C64" t="inlineStr">
        <is>
          <t>IN002025Y347</t>
        </is>
      </c>
      <c r="D64" t="inlineStr">
        <is>
          <t xml:space="preserve"> Sovereign</t>
        </is>
      </c>
      <c r="E64" t="n">
        <v>1000000</v>
      </c>
      <c r="F64" t="n">
        <v>979.83</v>
      </c>
      <c r="G64" t="n">
        <v>0.82</v>
      </c>
      <c r="I64" t="n">
        <v>5.37</v>
      </c>
    </row>
    <row r="65">
      <c r="B65" t="inlineStr">
        <is>
          <t>364 DTB (04-JUN-2026)</t>
        </is>
      </c>
      <c r="C65" t="inlineStr">
        <is>
          <t>IN002025Z104</t>
        </is>
      </c>
      <c r="D65" t="inlineStr">
        <is>
          <t xml:space="preserve"> Sovereign</t>
        </is>
      </c>
      <c r="E65" t="n">
        <v>500000</v>
      </c>
      <c r="F65" t="n">
        <v>488.88</v>
      </c>
      <c r="G65" t="n">
        <v>0.41</v>
      </c>
      <c r="I65" t="n">
        <v>5.39</v>
      </c>
    </row>
    <row r="66">
      <c r="B66" t="inlineStr">
        <is>
          <t>Sub Total</t>
        </is>
      </c>
      <c r="F66">
        <f>SUM(F62:F65)</f>
        <v/>
      </c>
      <c r="G66">
        <f>SUM(G62:G65)</f>
        <v/>
      </c>
    </row>
    <row r="67">
      <c r="B67" t="inlineStr">
        <is>
          <t>Total</t>
        </is>
      </c>
      <c r="F67">
        <f>F61+F66</f>
        <v/>
      </c>
      <c r="G67">
        <f>G61+G66</f>
        <v/>
      </c>
    </row>
    <row r="68">
      <c r="B68" t="inlineStr">
        <is>
          <t>Exchange Traded Fund</t>
        </is>
      </c>
    </row>
    <row r="69">
      <c r="B69" t="inlineStr">
        <is>
          <t>Nippon India ETF Gold Bees</t>
        </is>
      </c>
      <c r="C69" t="inlineStr">
        <is>
          <t>INF204KB17I5</t>
        </is>
      </c>
      <c r="D69" t="inlineStr">
        <is>
          <t>Exchange Traded Fund</t>
        </is>
      </c>
      <c r="E69" t="n">
        <v>12814507</v>
      </c>
      <c r="F69" t="n">
        <v>14110.05</v>
      </c>
      <c r="G69" t="n">
        <v>11.83</v>
      </c>
    </row>
    <row r="70">
      <c r="B70" t="inlineStr">
        <is>
          <t>Nippon India Silver ETF</t>
        </is>
      </c>
      <c r="C70" t="inlineStr">
        <is>
          <t>INF204KC1402</t>
        </is>
      </c>
      <c r="D70" t="inlineStr">
        <is>
          <t>Exchange Traded Fund</t>
        </is>
      </c>
      <c r="E70" t="n">
        <v>2016300</v>
      </c>
      <c r="F70" t="n">
        <v>4343.72</v>
      </c>
      <c r="G70" t="n">
        <v>3.64</v>
      </c>
    </row>
    <row r="71">
      <c r="B71" t="inlineStr">
        <is>
          <t>Total</t>
        </is>
      </c>
      <c r="F71">
        <f>SUM(F69:F70)</f>
        <v/>
      </c>
      <c r="G71">
        <f>SUM(G69:G70)</f>
        <v/>
      </c>
    </row>
    <row r="72">
      <c r="B72" t="inlineStr">
        <is>
          <t>TREPS</t>
        </is>
      </c>
    </row>
    <row r="73">
      <c r="B73" t="inlineStr">
        <is>
          <t>TREPS</t>
        </is>
      </c>
      <c r="F73" t="n">
        <v>7552.06</v>
      </c>
      <c r="G73" t="n">
        <v>6.33</v>
      </c>
    </row>
    <row r="74">
      <c r="B74" t="inlineStr">
        <is>
          <t>Sub Total</t>
        </is>
      </c>
      <c r="F74">
        <f>SUM(F72:F73)</f>
        <v/>
      </c>
      <c r="G74">
        <f>SUM(G72:G73)</f>
        <v/>
      </c>
    </row>
    <row r="75">
      <c r="B75" t="inlineStr">
        <is>
          <t>Total</t>
        </is>
      </c>
      <c r="F75">
        <f>F74</f>
        <v/>
      </c>
      <c r="G75">
        <f>G74</f>
        <v/>
      </c>
    </row>
    <row r="76">
      <c r="B76" t="inlineStr">
        <is>
          <t>Margin on Derivatives</t>
        </is>
      </c>
      <c r="F76" t="n">
        <v>-65.68405</v>
      </c>
      <c r="G76">
        <f>F76/F78*100</f>
        <v/>
      </c>
    </row>
    <row r="77">
      <c r="B77" t="inlineStr">
        <is>
          <t>Net Receivables / (Payables)</t>
        </is>
      </c>
      <c r="F77">
        <f>F78-(+F48+F57+F67+F71+F75+F76)</f>
        <v/>
      </c>
      <c r="G77">
        <f>G78-(+G48+G57+G67+G71+G75+G76)</f>
        <v/>
      </c>
    </row>
    <row r="78">
      <c r="B78" t="inlineStr">
        <is>
          <t>Grand Total</t>
        </is>
      </c>
      <c r="F78" t="n">
        <v>119292.49</v>
      </c>
      <c r="G78" t="n">
        <v>100</v>
      </c>
    </row>
    <row r="79"/>
    <row r="80">
      <c r="B80" t="inlineStr">
        <is>
          <t>** Non Traded Security</t>
        </is>
      </c>
    </row>
    <row r="81">
      <c r="B81" t="inlineStr">
        <is>
          <t>#  Unlisted Security</t>
        </is>
      </c>
    </row>
    <row r="82"/>
    <row r="83">
      <c r="B83" t="inlineStr">
        <is>
          <t>Modified Duration (In Years)</t>
        </is>
      </c>
      <c r="C83" t="n">
        <v>0.5058</v>
      </c>
    </row>
    <row r="84"/>
    <row r="85">
      <c r="B85" t="inlineStr">
        <is>
          <t>Annualised Portfolio YTM</t>
        </is>
      </c>
      <c r="C85" t="n">
        <v>0.0591</v>
      </c>
    </row>
    <row r="86"/>
    <row r="87">
      <c r="B87" t="inlineStr">
        <is>
          <t>Macaulay Duration (In Years)</t>
        </is>
      </c>
      <c r="C87" t="n">
        <v>0.539</v>
      </c>
    </row>
    <row r="88"/>
    <row r="89">
      <c r="B89" t="inlineStr">
        <is>
          <t>Outstanding Exposure In Derivative Instruments (Rs. In Lacs)</t>
        </is>
      </c>
      <c r="C89" t="n">
        <v>12608.564425</v>
      </c>
    </row>
    <row r="90"/>
    <row r="91">
      <c r="B91" t="inlineStr">
        <is>
          <t>Outstanding Derivative Exposure (%)</t>
        </is>
      </c>
      <c r="C91">
        <f>ROUND(C89/F78,4)*100</f>
        <v/>
      </c>
    </row>
    <row r="92"/>
    <row r="93">
      <c r="B93" t="inlineStr">
        <is>
          <t>Please refer the below link for the performance of the Schemes managed by Canara Robeco Mutual Fund</t>
        </is>
      </c>
    </row>
    <row r="94"/>
    <row r="95">
      <c r="B95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55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MID CAP FUND</t>
        </is>
      </c>
    </row>
    <row r="2"/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Persistent Systems Ltd</t>
        </is>
      </c>
      <c r="C7" t="inlineStr">
        <is>
          <t>INE262H01021</t>
        </is>
      </c>
      <c r="D7" t="inlineStr">
        <is>
          <t>IT - Software</t>
        </is>
      </c>
      <c r="E7" t="n">
        <v>189344</v>
      </c>
      <c r="F7" t="n">
        <v>11875.66</v>
      </c>
      <c r="G7" t="n">
        <v>2.92</v>
      </c>
      <c r="H7" t="inlineStr">
        <is>
          <t>Mid Cap</t>
        </is>
      </c>
    </row>
    <row r="8">
      <c r="B8" t="inlineStr">
        <is>
          <t>Bharat Heavy Electricals Ltd</t>
        </is>
      </c>
      <c r="C8" t="inlineStr">
        <is>
          <t>INE257A01026</t>
        </is>
      </c>
      <c r="D8" t="inlineStr">
        <is>
          <t>Electrical Equipment</t>
        </is>
      </c>
      <c r="E8" t="n">
        <v>3780195</v>
      </c>
      <c r="F8" t="n">
        <v>10866.17</v>
      </c>
      <c r="G8" t="n">
        <v>2.67</v>
      </c>
      <c r="H8" t="inlineStr">
        <is>
          <t>Mid Cap</t>
        </is>
      </c>
    </row>
    <row r="9">
      <c r="B9" t="inlineStr">
        <is>
          <t>One 97 Communications Ltd</t>
        </is>
      </c>
      <c r="C9" t="inlineStr">
        <is>
          <t>INE982J01020</t>
        </is>
      </c>
      <c r="D9" t="inlineStr">
        <is>
          <t>Financial Technology (Fintech)</t>
        </is>
      </c>
      <c r="E9" t="n">
        <v>797332</v>
      </c>
      <c r="F9" t="n">
        <v>10356.55</v>
      </c>
      <c r="G9" t="n">
        <v>2.55</v>
      </c>
      <c r="H9" t="inlineStr">
        <is>
          <t>Mid Cap</t>
        </is>
      </c>
    </row>
    <row r="10">
      <c r="B10" t="inlineStr">
        <is>
          <t>Indian Bank</t>
        </is>
      </c>
      <c r="C10" t="inlineStr">
        <is>
          <t>INE562A01011</t>
        </is>
      </c>
      <c r="D10" t="inlineStr">
        <is>
          <t>Banks</t>
        </is>
      </c>
      <c r="E10" t="n">
        <v>1224468</v>
      </c>
      <c r="F10" t="n">
        <v>10251.86</v>
      </c>
      <c r="G10" t="n">
        <v>2.52</v>
      </c>
      <c r="H10" t="inlineStr">
        <is>
          <t>Mid Cap</t>
        </is>
      </c>
    </row>
    <row r="11">
      <c r="B11" t="inlineStr">
        <is>
          <t>Federal Bank Ltd</t>
        </is>
      </c>
      <c r="C11" t="inlineStr">
        <is>
          <t>INE171A01029</t>
        </is>
      </c>
      <c r="D11" t="inlineStr">
        <is>
          <t>Banks</t>
        </is>
      </c>
      <c r="E11" t="n">
        <v>3786188</v>
      </c>
      <c r="F11" t="n">
        <v>10112.91</v>
      </c>
      <c r="G11" t="n">
        <v>2.49</v>
      </c>
      <c r="H11" t="inlineStr">
        <is>
          <t>Mid Cap</t>
        </is>
      </c>
    </row>
    <row r="12">
      <c r="B12" t="inlineStr">
        <is>
          <t>Phoenix Mills Ltd</t>
        </is>
      </c>
      <c r="C12" t="inlineStr">
        <is>
          <t>INE211B01039</t>
        </is>
      </c>
      <c r="D12" t="inlineStr">
        <is>
          <t>Realty</t>
        </is>
      </c>
      <c r="E12" t="n">
        <v>531133</v>
      </c>
      <c r="F12" t="n">
        <v>9844.549999999999</v>
      </c>
      <c r="G12" t="n">
        <v>2.42</v>
      </c>
      <c r="H12" t="inlineStr">
        <is>
          <t>Mid Cap</t>
        </is>
      </c>
    </row>
    <row r="13">
      <c r="B13" t="inlineStr">
        <is>
          <t>Multi Commodity Exchange Of India Ltd</t>
        </is>
      </c>
      <c r="C13" t="inlineStr">
        <is>
          <t>INE745G01035</t>
        </is>
      </c>
      <c r="D13" t="inlineStr">
        <is>
          <t>Capital Markets</t>
        </is>
      </c>
      <c r="E13" t="n">
        <v>83580</v>
      </c>
      <c r="F13" t="n">
        <v>9307.469999999999</v>
      </c>
      <c r="G13" t="n">
        <v>2.29</v>
      </c>
      <c r="H13" t="inlineStr">
        <is>
          <t>Mid Cap</t>
        </is>
      </c>
      <c r="L13" t="inlineStr">
        <is>
          <t>Benchmark: BSE 150 Mid Cap Index TRI</t>
        </is>
      </c>
    </row>
    <row r="14">
      <c r="B14" t="inlineStr">
        <is>
          <t>Bank Of Maharashtra</t>
        </is>
      </c>
      <c r="C14" t="inlineStr">
        <is>
          <t>INE457A01014</t>
        </is>
      </c>
      <c r="D14" t="inlineStr">
        <is>
          <t>Banks</t>
        </is>
      </c>
      <c r="E14" t="n">
        <v>14182185</v>
      </c>
      <c r="F14" t="n">
        <v>8800.049999999999</v>
      </c>
      <c r="G14" t="n">
        <v>2.16</v>
      </c>
      <c r="H14" t="inlineStr">
        <is>
          <t>Mid Cap</t>
        </is>
      </c>
    </row>
    <row r="15">
      <c r="B15" t="inlineStr">
        <is>
          <t>Mahindra &amp; Mahindra Ltd</t>
        </is>
      </c>
      <c r="C15" t="inlineStr">
        <is>
          <t>INE101A01026</t>
        </is>
      </c>
      <c r="D15" t="inlineStr">
        <is>
          <t>Automobiles</t>
        </is>
      </c>
      <c r="E15" t="n">
        <v>237119</v>
      </c>
      <c r="F15" t="n">
        <v>8795.219999999999</v>
      </c>
      <c r="G15" t="n">
        <v>2.16</v>
      </c>
      <c r="H15" t="inlineStr">
        <is>
          <t>Large Cap</t>
        </is>
      </c>
    </row>
    <row r="16">
      <c r="B16" t="inlineStr">
        <is>
          <t>J.K. Cement Ltd</t>
        </is>
      </c>
      <c r="C16" t="inlineStr">
        <is>
          <t>INE823G01014</t>
        </is>
      </c>
      <c r="D16" t="inlineStr">
        <is>
          <t>Cement &amp; Cement Products</t>
        </is>
      </c>
      <c r="E16" t="n">
        <v>158990</v>
      </c>
      <c r="F16" t="n">
        <v>8793.74</v>
      </c>
      <c r="G16" t="n">
        <v>2.16</v>
      </c>
      <c r="H16" t="inlineStr">
        <is>
          <t>Mid Cap</t>
        </is>
      </c>
    </row>
    <row r="17">
      <c r="B17" t="inlineStr">
        <is>
          <t>Prestige Estates Projects Ltd</t>
        </is>
      </c>
      <c r="C17" t="inlineStr">
        <is>
          <t>INE811K01011</t>
        </is>
      </c>
      <c r="D17" t="inlineStr">
        <is>
          <t>Realty</t>
        </is>
      </c>
      <c r="E17" t="n">
        <v>550941</v>
      </c>
      <c r="F17" t="n">
        <v>8786.41</v>
      </c>
      <c r="G17" t="n">
        <v>2.16</v>
      </c>
      <c r="H17" t="inlineStr">
        <is>
          <t>Mid Cap</t>
        </is>
      </c>
    </row>
    <row r="18">
      <c r="B18" t="inlineStr">
        <is>
          <t>Global Health Ltd</t>
        </is>
      </c>
      <c r="C18" t="inlineStr">
        <is>
          <t>INE474Q01031</t>
        </is>
      </c>
      <c r="D18" t="inlineStr">
        <is>
          <t>Healthcare Services</t>
        </is>
      </c>
      <c r="E18" t="n">
        <v>722585</v>
      </c>
      <c r="F18" t="n">
        <v>8572.75</v>
      </c>
      <c r="G18" t="n">
        <v>2.11</v>
      </c>
      <c r="H18" t="inlineStr">
        <is>
          <t>Mid Cap</t>
        </is>
      </c>
    </row>
    <row r="19">
      <c r="B19" t="inlineStr">
        <is>
          <t>ICICI Prudential Asset Management Co Ltd</t>
        </is>
      </c>
      <c r="C19" t="inlineStr">
        <is>
          <t>INE346A01027</t>
        </is>
      </c>
      <c r="D19" t="inlineStr">
        <is>
          <t>Capital Markets</t>
        </is>
      </c>
      <c r="E19" t="n">
        <v>312158</v>
      </c>
      <c r="F19" t="n">
        <v>8306.84</v>
      </c>
      <c r="G19" t="n">
        <v>2.04</v>
      </c>
      <c r="H19" t="inlineStr">
        <is>
          <t>Large Cap</t>
        </is>
      </c>
    </row>
    <row r="20">
      <c r="B20" t="inlineStr">
        <is>
          <t>Uno Minda Ltd</t>
        </is>
      </c>
      <c r="C20" t="inlineStr">
        <is>
          <t>INE405E01023</t>
        </is>
      </c>
      <c r="D20" t="inlineStr">
        <is>
          <t>Auto Components</t>
        </is>
      </c>
      <c r="E20" t="n">
        <v>631507</v>
      </c>
      <c r="F20" t="n">
        <v>8119.92</v>
      </c>
      <c r="G20" t="n">
        <v>2</v>
      </c>
      <c r="H20" t="inlineStr">
        <is>
          <t>Mid Cap</t>
        </is>
      </c>
    </row>
    <row r="21">
      <c r="B21" t="inlineStr">
        <is>
          <t>Max Financial Services Ltd</t>
        </is>
      </c>
      <c r="C21" t="inlineStr">
        <is>
          <t>INE180A01020</t>
        </is>
      </c>
      <c r="D21" t="inlineStr">
        <is>
          <t>Insurance</t>
        </is>
      </c>
      <c r="E21" t="n">
        <v>483146</v>
      </c>
      <c r="F21" t="n">
        <v>8077.23</v>
      </c>
      <c r="G21" t="n">
        <v>1.99</v>
      </c>
      <c r="H21" t="inlineStr">
        <is>
          <t>Mid Cap</t>
        </is>
      </c>
    </row>
    <row r="22">
      <c r="B22" t="inlineStr">
        <is>
          <t>Eternal Ltd</t>
        </is>
      </c>
      <c r="C22" t="inlineStr">
        <is>
          <t>INE758T01015</t>
        </is>
      </c>
      <c r="D22" t="inlineStr">
        <is>
          <t>Retailing</t>
        </is>
      </c>
      <c r="E22" t="n">
        <v>2880823</v>
      </c>
      <c r="F22" t="n">
        <v>8010.13</v>
      </c>
      <c r="G22" t="n">
        <v>1.97</v>
      </c>
      <c r="H22" t="inlineStr">
        <is>
          <t>Large Cap</t>
        </is>
      </c>
    </row>
    <row r="23">
      <c r="B23" t="inlineStr">
        <is>
          <t>Swiggy Ltd</t>
        </is>
      </c>
      <c r="C23" t="inlineStr">
        <is>
          <t>INE00H001014</t>
        </is>
      </c>
      <c r="D23" t="inlineStr">
        <is>
          <t>Retailing</t>
        </is>
      </c>
      <c r="E23" t="n">
        <v>2051215</v>
      </c>
      <c r="F23" t="n">
        <v>7922.82</v>
      </c>
      <c r="G23" t="n">
        <v>1.95</v>
      </c>
      <c r="H23" t="inlineStr">
        <is>
          <t>Mid Cap</t>
        </is>
      </c>
    </row>
    <row r="24">
      <c r="B24" t="inlineStr">
        <is>
          <t>HDFC Asset Management Co Ltd</t>
        </is>
      </c>
      <c r="C24" t="inlineStr">
        <is>
          <t>INE127D01025</t>
        </is>
      </c>
      <c r="D24" t="inlineStr">
        <is>
          <t>Capital Markets</t>
        </is>
      </c>
      <c r="E24" t="n">
        <v>296474</v>
      </c>
      <c r="F24" t="n">
        <v>7922.38</v>
      </c>
      <c r="G24" t="n">
        <v>1.95</v>
      </c>
      <c r="H24" t="inlineStr">
        <is>
          <t>Large Cap</t>
        </is>
      </c>
    </row>
    <row r="25">
      <c r="B25" t="inlineStr">
        <is>
          <t>Coforge Ltd</t>
        </is>
      </c>
      <c r="C25" t="inlineStr">
        <is>
          <t>INE591G01025</t>
        </is>
      </c>
      <c r="D25" t="inlineStr">
        <is>
          <t>IT - Software</t>
        </is>
      </c>
      <c r="E25" t="n">
        <v>467924</v>
      </c>
      <c r="F25" t="n">
        <v>7781.58</v>
      </c>
      <c r="G25" t="n">
        <v>1.91</v>
      </c>
      <c r="H25" t="inlineStr">
        <is>
          <t>Mid Cap</t>
        </is>
      </c>
    </row>
    <row r="26">
      <c r="B26" t="inlineStr">
        <is>
          <t>Jubilant Foodworks Ltd</t>
        </is>
      </c>
      <c r="C26" t="inlineStr">
        <is>
          <t>INE797F01020</t>
        </is>
      </c>
      <c r="D26" t="inlineStr">
        <is>
          <t>Leisure Services</t>
        </is>
      </c>
      <c r="E26" t="n">
        <v>1365478</v>
      </c>
      <c r="F26" t="n">
        <v>7627.56</v>
      </c>
      <c r="G26" t="n">
        <v>1.88</v>
      </c>
      <c r="H26" t="inlineStr">
        <is>
          <t>Mid Cap</t>
        </is>
      </c>
    </row>
    <row r="27">
      <c r="B27" t="inlineStr">
        <is>
          <t>L&amp;T Technology Services Ltd</t>
        </is>
      </c>
      <c r="C27" t="inlineStr">
        <is>
          <t>INE010V01017</t>
        </is>
      </c>
      <c r="D27" t="inlineStr">
        <is>
          <t>IT - Services</t>
        </is>
      </c>
      <c r="E27" t="n">
        <v>167267</v>
      </c>
      <c r="F27" t="n">
        <v>7463.79</v>
      </c>
      <c r="G27" t="n">
        <v>1.83</v>
      </c>
      <c r="H27" t="inlineStr">
        <is>
          <t>Mid Cap</t>
        </is>
      </c>
    </row>
    <row r="28">
      <c r="B28" t="inlineStr">
        <is>
          <t>PB Fintech Ltd</t>
        </is>
      </c>
      <c r="C28" t="inlineStr">
        <is>
          <t>INE417T01026</t>
        </is>
      </c>
      <c r="D28" t="inlineStr">
        <is>
          <t>Financial Technology (Fintech)</t>
        </is>
      </c>
      <c r="E28" t="n">
        <v>390745</v>
      </c>
      <c r="F28" t="n">
        <v>7133.44</v>
      </c>
      <c r="G28" t="n">
        <v>1.75</v>
      </c>
      <c r="H28" t="inlineStr">
        <is>
          <t>Mid Cap</t>
        </is>
      </c>
    </row>
    <row r="29">
      <c r="B29" t="inlineStr">
        <is>
          <t>Solar Industries India Ltd</t>
        </is>
      </c>
      <c r="C29" t="inlineStr">
        <is>
          <t>INE343H01029</t>
        </is>
      </c>
      <c r="D29" t="inlineStr">
        <is>
          <t>Chemicals &amp; Petrochemicals</t>
        </is>
      </c>
      <c r="E29" t="n">
        <v>57931</v>
      </c>
      <c r="F29" t="n">
        <v>7097.71</v>
      </c>
      <c r="G29" t="n">
        <v>1.74</v>
      </c>
      <c r="H29" t="inlineStr">
        <is>
          <t>Large Cap</t>
        </is>
      </c>
    </row>
    <row r="30">
      <c r="B30" t="inlineStr">
        <is>
          <t>Dixon Technologies (India) Ltd</t>
        </is>
      </c>
      <c r="C30" t="inlineStr">
        <is>
          <t>INE935N01020</t>
        </is>
      </c>
      <c r="D30" t="inlineStr">
        <is>
          <t>Consumer Durables</t>
        </is>
      </c>
      <c r="E30" t="n">
        <v>57511</v>
      </c>
      <c r="F30" t="n">
        <v>6959.98</v>
      </c>
      <c r="G30" t="n">
        <v>1.71</v>
      </c>
      <c r="H30" t="inlineStr">
        <is>
          <t>Mid Cap</t>
        </is>
      </c>
    </row>
    <row r="31">
      <c r="B31" t="inlineStr">
        <is>
          <t>Interglobe Aviation Ltd</t>
        </is>
      </c>
      <c r="C31" t="inlineStr">
        <is>
          <t>INE646L01027</t>
        </is>
      </c>
      <c r="D31" t="inlineStr">
        <is>
          <t>Transport Services</t>
        </is>
      </c>
      <c r="E31" t="n">
        <v>136494</v>
      </c>
      <c r="F31" t="n">
        <v>6905.91</v>
      </c>
      <c r="G31" t="n">
        <v>1.7</v>
      </c>
      <c r="H31" t="inlineStr">
        <is>
          <t>Large Cap</t>
        </is>
      </c>
    </row>
    <row r="32">
      <c r="B32" t="inlineStr">
        <is>
          <t>Ge Vernova T&amp;D India Ltd</t>
        </is>
      </c>
      <c r="C32" t="inlineStr">
        <is>
          <t>INE200A01026</t>
        </is>
      </c>
      <c r="D32" t="inlineStr">
        <is>
          <t>Electrical Equipment</t>
        </is>
      </c>
      <c r="E32" t="n">
        <v>218552</v>
      </c>
      <c r="F32" t="n">
        <v>6846.14</v>
      </c>
      <c r="G32" t="n">
        <v>1.68</v>
      </c>
      <c r="H32" t="inlineStr">
        <is>
          <t>Mid Cap</t>
        </is>
      </c>
    </row>
    <row r="33">
      <c r="B33" t="inlineStr">
        <is>
          <t>Info Edge (India) Ltd</t>
        </is>
      </c>
      <c r="C33" t="inlineStr">
        <is>
          <t>INE663F01032</t>
        </is>
      </c>
      <c r="D33" t="inlineStr">
        <is>
          <t>Retailing</t>
        </is>
      </c>
      <c r="E33" t="n">
        <v>499565</v>
      </c>
      <c r="F33" t="n">
        <v>6662.2</v>
      </c>
      <c r="G33" t="n">
        <v>1.64</v>
      </c>
      <c r="H33" t="inlineStr">
        <is>
          <t>Mid Cap</t>
        </is>
      </c>
    </row>
    <row r="34">
      <c r="B34" t="inlineStr">
        <is>
          <t>L&amp;T Finance Ltd</t>
        </is>
      </c>
      <c r="C34" t="inlineStr">
        <is>
          <t>INE498L01015</t>
        </is>
      </c>
      <c r="D34" t="inlineStr">
        <is>
          <t>Finance</t>
        </is>
      </c>
      <c r="E34" t="n">
        <v>2108275</v>
      </c>
      <c r="F34" t="n">
        <v>6661.09</v>
      </c>
      <c r="G34" t="n">
        <v>1.64</v>
      </c>
      <c r="H34" t="inlineStr">
        <is>
          <t>Mid Cap</t>
        </is>
      </c>
    </row>
    <row r="35">
      <c r="B35" t="inlineStr">
        <is>
          <t>Max Healthcare Institute Ltd</t>
        </is>
      </c>
      <c r="C35" t="inlineStr">
        <is>
          <t>INE027H01010</t>
        </is>
      </c>
      <c r="D35" t="inlineStr">
        <is>
          <t>Healthcare Services</t>
        </is>
      </c>
      <c r="E35" t="n">
        <v>630741</v>
      </c>
      <c r="F35" t="n">
        <v>6591.87</v>
      </c>
      <c r="G35" t="n">
        <v>1.62</v>
      </c>
      <c r="H35" t="inlineStr">
        <is>
          <t>Large Cap</t>
        </is>
      </c>
    </row>
    <row r="36">
      <c r="B36" t="inlineStr">
        <is>
          <t>Cummins India Ltd</t>
        </is>
      </c>
      <c r="C36" t="inlineStr">
        <is>
          <t>INE298A01020</t>
        </is>
      </c>
      <c r="D36" t="inlineStr">
        <is>
          <t>Industrial Products</t>
        </is>
      </c>
      <c r="E36" t="n">
        <v>144184</v>
      </c>
      <c r="F36" t="n">
        <v>6393.7</v>
      </c>
      <c r="G36" t="n">
        <v>1.57</v>
      </c>
      <c r="H36" t="inlineStr">
        <is>
          <t>Large Cap</t>
        </is>
      </c>
    </row>
    <row r="37">
      <c r="B37" t="inlineStr">
        <is>
          <t>PI Industries Ltd</t>
        </is>
      </c>
      <c r="C37" t="inlineStr">
        <is>
          <t>INE603J01030</t>
        </is>
      </c>
      <c r="D37" t="inlineStr">
        <is>
          <t>Fertilizers &amp; Agrochemicals</t>
        </is>
      </c>
      <c r="E37" t="n">
        <v>195930</v>
      </c>
      <c r="F37" t="n">
        <v>6344.61</v>
      </c>
      <c r="G37" t="n">
        <v>1.56</v>
      </c>
      <c r="H37" t="inlineStr">
        <is>
          <t>Mid Cap</t>
        </is>
      </c>
    </row>
    <row r="38">
      <c r="B38" t="inlineStr">
        <is>
          <t>Bharat Electronics Ltd</t>
        </is>
      </c>
      <c r="C38" t="inlineStr">
        <is>
          <t>INE263A01024</t>
        </is>
      </c>
      <c r="D38" t="inlineStr">
        <is>
          <t>Aerospace &amp; Defense</t>
        </is>
      </c>
      <c r="E38" t="n">
        <v>1576707</v>
      </c>
      <c r="F38" t="n">
        <v>6300.52</v>
      </c>
      <c r="G38" t="n">
        <v>1.55</v>
      </c>
      <c r="H38" t="inlineStr">
        <is>
          <t>Large Cap</t>
        </is>
      </c>
    </row>
    <row r="39">
      <c r="B39" t="inlineStr">
        <is>
          <t>Chalet Hotels Ltd</t>
        </is>
      </c>
      <c r="C39" t="inlineStr">
        <is>
          <t>INE427F01016</t>
        </is>
      </c>
      <c r="D39" t="inlineStr">
        <is>
          <t>Leisure Services</t>
        </is>
      </c>
      <c r="E39" t="n">
        <v>720554</v>
      </c>
      <c r="F39" t="n">
        <v>6272.78</v>
      </c>
      <c r="G39" t="n">
        <v>1.54</v>
      </c>
      <c r="H39" t="inlineStr">
        <is>
          <t>Small Cap</t>
        </is>
      </c>
    </row>
    <row r="40">
      <c r="B40" t="inlineStr">
        <is>
          <t>Torrent Power Ltd</t>
        </is>
      </c>
      <c r="C40" t="inlineStr">
        <is>
          <t>INE813H01021</t>
        </is>
      </c>
      <c r="D40" t="inlineStr">
        <is>
          <t>Power</t>
        </is>
      </c>
      <c r="E40" t="n">
        <v>476764</v>
      </c>
      <c r="F40" t="n">
        <v>6229.88</v>
      </c>
      <c r="G40" t="n">
        <v>1.53</v>
      </c>
      <c r="H40" t="inlineStr">
        <is>
          <t>Mid Cap</t>
        </is>
      </c>
    </row>
    <row r="41">
      <c r="B41" t="inlineStr">
        <is>
          <t>AU Small Finance Bank Ltd</t>
        </is>
      </c>
      <c r="C41" t="inlineStr">
        <is>
          <t>INE949L01017</t>
        </is>
      </c>
      <c r="D41" t="inlineStr">
        <is>
          <t>Banks</t>
        </is>
      </c>
      <c r="E41" t="n">
        <v>621430</v>
      </c>
      <c r="F41" t="n">
        <v>6180.12</v>
      </c>
      <c r="G41" t="n">
        <v>1.52</v>
      </c>
      <c r="H41" t="inlineStr">
        <is>
          <t>Mid Cap</t>
        </is>
      </c>
    </row>
    <row r="42">
      <c r="B42" t="inlineStr">
        <is>
          <t>Ajanta Pharma Ltd</t>
        </is>
      </c>
      <c r="C42" t="inlineStr">
        <is>
          <t>INE031B01049</t>
        </is>
      </c>
      <c r="D42" t="inlineStr">
        <is>
          <t>Pharmaceuticals &amp; Biotechnology</t>
        </is>
      </c>
      <c r="E42" t="n">
        <v>221385</v>
      </c>
      <c r="F42" t="n">
        <v>6129.93</v>
      </c>
      <c r="G42" t="n">
        <v>1.51</v>
      </c>
      <c r="H42" t="inlineStr">
        <is>
          <t>Small Cap</t>
        </is>
      </c>
    </row>
    <row r="43">
      <c r="B43" t="inlineStr">
        <is>
          <t>Premier Energies Ltd</t>
        </is>
      </c>
      <c r="C43" t="inlineStr">
        <is>
          <t>INE0BS701011</t>
        </is>
      </c>
      <c r="D43" t="inlineStr">
        <is>
          <t>Electrical Equipment</t>
        </is>
      </c>
      <c r="E43" t="n">
        <v>708780</v>
      </c>
      <c r="F43" t="n">
        <v>5968.99</v>
      </c>
      <c r="G43" t="n">
        <v>1.47</v>
      </c>
      <c r="H43" t="inlineStr">
        <is>
          <t>Mid Cap</t>
        </is>
      </c>
    </row>
    <row r="44">
      <c r="B44" t="inlineStr">
        <is>
          <t>Balkrishna Industries Ltd</t>
        </is>
      </c>
      <c r="C44" t="inlineStr">
        <is>
          <t>INE787D01026</t>
        </is>
      </c>
      <c r="D44" t="inlineStr">
        <is>
          <t>Auto Components</t>
        </is>
      </c>
      <c r="E44" t="n">
        <v>256939</v>
      </c>
      <c r="F44" t="n">
        <v>5960.21</v>
      </c>
      <c r="G44" t="n">
        <v>1.47</v>
      </c>
      <c r="H44" t="inlineStr">
        <is>
          <t>Mid Cap</t>
        </is>
      </c>
    </row>
    <row r="45">
      <c r="B45" t="inlineStr">
        <is>
          <t>Apar Industries Ltd</t>
        </is>
      </c>
      <c r="C45" t="inlineStr">
        <is>
          <t>INE372A01015</t>
        </is>
      </c>
      <c r="D45" t="inlineStr">
        <is>
          <t>Electrical Equipment</t>
        </is>
      </c>
      <c r="E45" t="n">
        <v>66991</v>
      </c>
      <c r="F45" t="n">
        <v>5605.47</v>
      </c>
      <c r="G45" t="n">
        <v>1.38</v>
      </c>
      <c r="H45" t="inlineStr">
        <is>
          <t>Mid Cap</t>
        </is>
      </c>
    </row>
    <row r="46">
      <c r="B46" t="inlineStr">
        <is>
          <t>KPIT Technologies Ltd</t>
        </is>
      </c>
      <c r="C46" t="inlineStr">
        <is>
          <t>INE04I401011</t>
        </is>
      </c>
      <c r="D46" t="inlineStr">
        <is>
          <t>IT - Software</t>
        </is>
      </c>
      <c r="E46" t="n">
        <v>470991</v>
      </c>
      <c r="F46" t="n">
        <v>5522.37</v>
      </c>
      <c r="G46" t="n">
        <v>1.36</v>
      </c>
      <c r="H46" t="inlineStr">
        <is>
          <t>Small Cap</t>
        </is>
      </c>
    </row>
    <row r="47">
      <c r="B47" t="inlineStr">
        <is>
          <t>NHPC Ltd</t>
        </is>
      </c>
      <c r="C47" t="inlineStr">
        <is>
          <t>INE848E01016</t>
        </is>
      </c>
      <c r="D47" t="inlineStr">
        <is>
          <t>Power</t>
        </is>
      </c>
      <c r="E47" t="n">
        <v>6914359</v>
      </c>
      <c r="F47" t="n">
        <v>5477.56</v>
      </c>
      <c r="G47" t="n">
        <v>1.35</v>
      </c>
      <c r="H47" t="inlineStr">
        <is>
          <t>Mid Cap</t>
        </is>
      </c>
    </row>
    <row r="48">
      <c r="B48" t="inlineStr">
        <is>
          <t>KEI Industries Ltd</t>
        </is>
      </c>
      <c r="C48" t="inlineStr">
        <is>
          <t>INE878B01027</t>
        </is>
      </c>
      <c r="D48" t="inlineStr">
        <is>
          <t>Industrial Products</t>
        </is>
      </c>
      <c r="E48" t="n">
        <v>121026</v>
      </c>
      <c r="F48" t="n">
        <v>5398</v>
      </c>
      <c r="G48" t="n">
        <v>1.33</v>
      </c>
      <c r="H48" t="inlineStr">
        <is>
          <t>Mid Cap</t>
        </is>
      </c>
    </row>
    <row r="49">
      <c r="B49" t="inlineStr">
        <is>
          <t>National Aluminium Co Ltd</t>
        </is>
      </c>
      <c r="C49" t="inlineStr">
        <is>
          <t>INE139A01034</t>
        </is>
      </c>
      <c r="D49" t="inlineStr">
        <is>
          <t>Non - Ferrous Metals</t>
        </is>
      </c>
      <c r="E49" t="n">
        <v>1704523</v>
      </c>
      <c r="F49" t="n">
        <v>5357.32</v>
      </c>
      <c r="G49" t="n">
        <v>1.32</v>
      </c>
      <c r="H49" t="inlineStr">
        <is>
          <t>Mid Cap</t>
        </is>
      </c>
    </row>
    <row r="50">
      <c r="B50" t="inlineStr">
        <is>
          <t>Hindustan Aeronautics Ltd</t>
        </is>
      </c>
      <c r="C50" t="inlineStr">
        <is>
          <t>INE066F01020</t>
        </is>
      </c>
      <c r="D50" t="inlineStr">
        <is>
          <t>Aerospace &amp; Defense</t>
        </is>
      </c>
      <c r="E50" t="n">
        <v>118181</v>
      </c>
      <c r="F50" t="n">
        <v>5186.61</v>
      </c>
      <c r="G50" t="n">
        <v>1.28</v>
      </c>
      <c r="H50" t="inlineStr">
        <is>
          <t>Large Cap</t>
        </is>
      </c>
    </row>
    <row r="51">
      <c r="B51" t="inlineStr">
        <is>
          <t>Trent Ltd</t>
        </is>
      </c>
      <c r="C51" t="inlineStr">
        <is>
          <t>INE849A01020</t>
        </is>
      </c>
      <c r="D51" t="inlineStr">
        <is>
          <t>Retailing</t>
        </is>
      </c>
      <c r="E51" t="n">
        <v>118113</v>
      </c>
      <c r="F51" t="n">
        <v>5054.06</v>
      </c>
      <c r="G51" t="n">
        <v>1.24</v>
      </c>
      <c r="H51" t="inlineStr">
        <is>
          <t>Large Cap</t>
        </is>
      </c>
    </row>
    <row r="52">
      <c r="B52" t="inlineStr">
        <is>
          <t>Delhivery Ltd</t>
        </is>
      </c>
      <c r="C52" t="inlineStr">
        <is>
          <t>INE148O01028</t>
        </is>
      </c>
      <c r="D52" t="inlineStr">
        <is>
          <t>Transport Services</t>
        </is>
      </c>
      <c r="E52" t="n">
        <v>1243793</v>
      </c>
      <c r="F52" t="n">
        <v>5023.06</v>
      </c>
      <c r="G52" t="n">
        <v>1.23</v>
      </c>
      <c r="H52" t="inlineStr">
        <is>
          <t>Small Cap</t>
        </is>
      </c>
    </row>
    <row r="53">
      <c r="B53" t="inlineStr">
        <is>
          <t>Linde India Ltd</t>
        </is>
      </c>
      <c r="C53" t="inlineStr">
        <is>
          <t>INE473A01011</t>
        </is>
      </c>
      <c r="D53" t="inlineStr">
        <is>
          <t>Chemicals &amp; Petrochemicals</t>
        </is>
      </c>
      <c r="E53" t="n">
        <v>83816</v>
      </c>
      <c r="F53" t="n">
        <v>4991.66</v>
      </c>
      <c r="G53" t="n">
        <v>1.23</v>
      </c>
      <c r="H53" t="inlineStr">
        <is>
          <t>Mid Cap</t>
        </is>
      </c>
    </row>
    <row r="54">
      <c r="B54" t="inlineStr">
        <is>
          <t>APL Apollo Tubes Ltd</t>
        </is>
      </c>
      <c r="C54" t="inlineStr">
        <is>
          <t>INE702C01027</t>
        </is>
      </c>
      <c r="D54" t="inlineStr">
        <is>
          <t>Industrial Products</t>
        </is>
      </c>
      <c r="E54" t="n">
        <v>255510</v>
      </c>
      <c r="F54" t="n">
        <v>4890.46</v>
      </c>
      <c r="G54" t="n">
        <v>1.2</v>
      </c>
      <c r="H54" t="inlineStr">
        <is>
          <t>Mid Cap</t>
        </is>
      </c>
    </row>
    <row r="55">
      <c r="B55" t="inlineStr">
        <is>
          <t>CRISIL Ltd</t>
        </is>
      </c>
      <c r="C55" t="inlineStr">
        <is>
          <t>INE007A01025</t>
        </is>
      </c>
      <c r="D55" t="inlineStr">
        <is>
          <t>Finance</t>
        </is>
      </c>
      <c r="E55" t="n">
        <v>106660</v>
      </c>
      <c r="F55" t="n">
        <v>4609.42</v>
      </c>
      <c r="G55" t="n">
        <v>1.13</v>
      </c>
      <c r="H55" t="inlineStr">
        <is>
          <t>Mid Cap</t>
        </is>
      </c>
    </row>
    <row r="56">
      <c r="B56" t="inlineStr">
        <is>
          <t>Titan Co Ltd</t>
        </is>
      </c>
      <c r="C56" t="inlineStr">
        <is>
          <t>INE280A01028</t>
        </is>
      </c>
      <c r="D56" t="inlineStr">
        <is>
          <t>Consumer Durables</t>
        </is>
      </c>
      <c r="E56" t="n">
        <v>111467</v>
      </c>
      <c r="F56" t="n">
        <v>4516.09</v>
      </c>
      <c r="G56" t="n">
        <v>1.11</v>
      </c>
      <c r="H56" t="inlineStr">
        <is>
          <t>Large Cap</t>
        </is>
      </c>
    </row>
    <row r="57">
      <c r="B57" t="inlineStr">
        <is>
          <t>Escorts Kubota Ltd</t>
        </is>
      </c>
      <c r="C57" t="inlineStr">
        <is>
          <t>INE042A01014</t>
        </is>
      </c>
      <c r="D57" t="inlineStr">
        <is>
          <t>Agricultural, Commercial &amp; Construction Vehicles</t>
        </is>
      </c>
      <c r="E57" t="n">
        <v>119578</v>
      </c>
      <c r="F57" t="n">
        <v>4448.06</v>
      </c>
      <c r="G57" t="n">
        <v>1.09</v>
      </c>
      <c r="H57" t="inlineStr">
        <is>
          <t>Mid Cap</t>
        </is>
      </c>
    </row>
    <row r="58">
      <c r="B58" t="inlineStr">
        <is>
          <t>Metro Brands Ltd</t>
        </is>
      </c>
      <c r="C58" t="inlineStr">
        <is>
          <t>INE317I01021</t>
        </is>
      </c>
      <c r="D58" t="inlineStr">
        <is>
          <t>Consumer Durables</t>
        </is>
      </c>
      <c r="E58" t="n">
        <v>360543</v>
      </c>
      <c r="F58" t="n">
        <v>4352.11</v>
      </c>
      <c r="G58" t="n">
        <v>1.07</v>
      </c>
      <c r="H58" t="inlineStr">
        <is>
          <t>Small Cap</t>
        </is>
      </c>
    </row>
    <row r="59">
      <c r="B59" t="inlineStr">
        <is>
          <t>Vishal Mega Mart Ltd</t>
        </is>
      </c>
      <c r="C59" t="inlineStr">
        <is>
          <t>INE01EA01019</t>
        </is>
      </c>
      <c r="D59" t="inlineStr">
        <is>
          <t>Retailing</t>
        </is>
      </c>
      <c r="E59" t="n">
        <v>3159874</v>
      </c>
      <c r="F59" t="n">
        <v>4309.12</v>
      </c>
      <c r="G59" t="n">
        <v>1.06</v>
      </c>
      <c r="H59" t="inlineStr">
        <is>
          <t>Mid Cap</t>
        </is>
      </c>
    </row>
    <row r="60">
      <c r="B60" t="inlineStr">
        <is>
          <t>Abbott India Ltd</t>
        </is>
      </c>
      <c r="C60" t="inlineStr">
        <is>
          <t>INE358A01014</t>
        </is>
      </c>
      <c r="D60" t="inlineStr">
        <is>
          <t>Pharmaceuticals &amp; Biotechnology</t>
        </is>
      </c>
      <c r="E60" t="n">
        <v>13676</v>
      </c>
      <c r="F60" t="n">
        <v>3969.46</v>
      </c>
      <c r="G60" t="n">
        <v>0.98</v>
      </c>
      <c r="H60" t="inlineStr">
        <is>
          <t>Mid Cap</t>
        </is>
      </c>
    </row>
    <row r="61">
      <c r="B61" t="inlineStr">
        <is>
          <t>Schaeffler India Ltd</t>
        </is>
      </c>
      <c r="C61" t="inlineStr">
        <is>
          <t>INE513A01022</t>
        </is>
      </c>
      <c r="D61" t="inlineStr">
        <is>
          <t>Auto Components</t>
        </is>
      </c>
      <c r="E61" t="n">
        <v>100785</v>
      </c>
      <c r="F61" t="n">
        <v>3909.45</v>
      </c>
      <c r="G61" t="n">
        <v>0.96</v>
      </c>
      <c r="H61" t="inlineStr">
        <is>
          <t>Mid Cap</t>
        </is>
      </c>
    </row>
    <row r="62">
      <c r="B62" t="inlineStr">
        <is>
          <t>Bharti Hexacom Ltd</t>
        </is>
      </c>
      <c r="C62" t="inlineStr">
        <is>
          <t>INE343G01021</t>
        </is>
      </c>
      <c r="D62" t="inlineStr">
        <is>
          <t>Telecom - Services</t>
        </is>
      </c>
      <c r="E62" t="n">
        <v>212867</v>
      </c>
      <c r="F62" t="n">
        <v>3877.8</v>
      </c>
      <c r="G62" t="n">
        <v>0.95</v>
      </c>
      <c r="H62" t="inlineStr">
        <is>
          <t>Mid Cap</t>
        </is>
      </c>
    </row>
    <row r="63">
      <c r="B63" t="inlineStr">
        <is>
          <t>Oberoi Realty Ltd</t>
        </is>
      </c>
      <c r="C63" t="inlineStr">
        <is>
          <t>INE093I01010</t>
        </is>
      </c>
      <c r="D63" t="inlineStr">
        <is>
          <t>Realty</t>
        </is>
      </c>
      <c r="E63" t="n">
        <v>230871</v>
      </c>
      <c r="F63" t="n">
        <v>3856.93</v>
      </c>
      <c r="G63" t="n">
        <v>0.95</v>
      </c>
      <c r="H63" t="inlineStr">
        <is>
          <t>Mid Cap</t>
        </is>
      </c>
    </row>
    <row r="64">
      <c r="B64" t="inlineStr">
        <is>
          <t>Blue Star Ltd</t>
        </is>
      </c>
      <c r="C64" t="inlineStr">
        <is>
          <t>INE472A01039</t>
        </is>
      </c>
      <c r="D64" t="inlineStr">
        <is>
          <t>Consumer Durables</t>
        </is>
      </c>
      <c r="E64" t="n">
        <v>195454</v>
      </c>
      <c r="F64" t="n">
        <v>3382.72</v>
      </c>
      <c r="G64" t="n">
        <v>0.83</v>
      </c>
      <c r="H64" t="inlineStr">
        <is>
          <t>Mid Cap</t>
        </is>
      </c>
    </row>
    <row r="65">
      <c r="B65" t="inlineStr">
        <is>
          <t>Physicswallah Ltd</t>
        </is>
      </c>
      <c r="C65" t="inlineStr">
        <is>
          <t>INE0LP301011</t>
        </is>
      </c>
      <c r="D65" t="inlineStr">
        <is>
          <t>Other Consumer Services</t>
        </is>
      </c>
      <c r="E65" t="n">
        <v>2150491</v>
      </c>
      <c r="F65" t="n">
        <v>2856.07</v>
      </c>
      <c r="G65" t="n">
        <v>0.7</v>
      </c>
      <c r="H65" t="inlineStr">
        <is>
          <t>Mid Cap</t>
        </is>
      </c>
    </row>
    <row r="66">
      <c r="B66" t="inlineStr">
        <is>
          <t>Endurance Technologies Ltd</t>
        </is>
      </c>
      <c r="C66" t="inlineStr">
        <is>
          <t>INE913H01037</t>
        </is>
      </c>
      <c r="D66" t="inlineStr">
        <is>
          <t>Auto Components</t>
        </is>
      </c>
      <c r="E66" t="n">
        <v>30293</v>
      </c>
      <c r="F66" t="n">
        <v>784.5599999999999</v>
      </c>
      <c r="G66" t="n">
        <v>0.19</v>
      </c>
      <c r="H66" t="inlineStr">
        <is>
          <t>Mid Cap</t>
        </is>
      </c>
    </row>
    <row r="67">
      <c r="B67" t="inlineStr">
        <is>
          <t>Sub Total</t>
        </is>
      </c>
      <c r="F67">
        <f>SUM(F7:F66)</f>
        <v/>
      </c>
      <c r="G67">
        <f>SUM(G7:G66)</f>
        <v/>
      </c>
    </row>
    <row r="68">
      <c r="B68" t="inlineStr">
        <is>
          <t>Total</t>
        </is>
      </c>
      <c r="F68">
        <f>F67</f>
        <v/>
      </c>
      <c r="G68">
        <f>G67</f>
        <v/>
      </c>
    </row>
    <row r="69">
      <c r="B69" t="inlineStr">
        <is>
          <t>TREPS</t>
        </is>
      </c>
    </row>
    <row r="70">
      <c r="B70" t="inlineStr">
        <is>
          <t>TREPS</t>
        </is>
      </c>
      <c r="F70" t="n">
        <v>11819.66</v>
      </c>
      <c r="G70" t="n">
        <v>2.91</v>
      </c>
    </row>
    <row r="71">
      <c r="B71" t="inlineStr">
        <is>
          <t>Sub Total</t>
        </is>
      </c>
      <c r="F71">
        <f>SUM(F69:F70)</f>
        <v/>
      </c>
      <c r="G71">
        <f>SUM(G69:G70)</f>
        <v/>
      </c>
    </row>
    <row r="72">
      <c r="B72" t="inlineStr">
        <is>
          <t>Total</t>
        </is>
      </c>
      <c r="F72">
        <f>F71</f>
        <v/>
      </c>
      <c r="G72">
        <f>G71</f>
        <v/>
      </c>
    </row>
    <row r="73">
      <c r="B73" t="inlineStr">
        <is>
          <t>Net Receivables / (Payables)</t>
        </is>
      </c>
      <c r="F73">
        <f>F74-(+F68+F72)</f>
        <v/>
      </c>
      <c r="G73">
        <f>G74-(+G68+G72)</f>
        <v/>
      </c>
    </row>
    <row r="74">
      <c r="B74" t="inlineStr">
        <is>
          <t>Grand Total</t>
        </is>
      </c>
      <c r="F74" t="n">
        <v>406787.41</v>
      </c>
      <c r="G74" t="n">
        <v>100</v>
      </c>
    </row>
    <row r="75"/>
    <row r="76"/>
    <row r="77">
      <c r="B77" t="inlineStr">
        <is>
          <t>Residual Maturity</t>
        </is>
      </c>
      <c r="C77" t="inlineStr">
        <is>
          <t>0.0027 Years</t>
        </is>
      </c>
    </row>
    <row r="78"/>
    <row r="79">
      <c r="B79" t="inlineStr">
        <is>
          <t>Please refer the below link for the performance of the Schemes managed by Canara Robeco Mutual Fund</t>
        </is>
      </c>
    </row>
    <row r="80"/>
    <row r="81">
      <c r="B81" t="inlineStr">
        <is>
          <t>https://www.canararobeco.com/docs/default-source/default-document-library/Scheme_Performance_December_25.pdf</t>
        </is>
      </c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MULTI CAP FUND</t>
        </is>
      </c>
    </row>
    <row r="2"/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2600000</v>
      </c>
      <c r="F7" t="n">
        <v>25771.2</v>
      </c>
      <c r="G7" t="n">
        <v>5</v>
      </c>
      <c r="H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1415000</v>
      </c>
      <c r="F8" t="n">
        <v>19002.04</v>
      </c>
      <c r="G8" t="n">
        <v>3.68</v>
      </c>
      <c r="H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1010000</v>
      </c>
      <c r="F9" t="n">
        <v>15861.04</v>
      </c>
      <c r="G9" t="n">
        <v>3.08</v>
      </c>
      <c r="H9" t="inlineStr">
        <is>
          <t>Large Cap</t>
        </is>
      </c>
    </row>
    <row r="10">
      <c r="B10" t="inlineStr">
        <is>
          <t>Infosys Ltd</t>
        </is>
      </c>
      <c r="C10" t="inlineStr">
        <is>
          <t>INE009A01021</t>
        </is>
      </c>
      <c r="D10" t="inlineStr">
        <is>
          <t>IT - Software</t>
        </is>
      </c>
      <c r="E10" t="n">
        <v>847908</v>
      </c>
      <c r="F10" t="n">
        <v>13697.11</v>
      </c>
      <c r="G10" t="n">
        <v>2.66</v>
      </c>
      <c r="H10" t="inlineStr">
        <is>
          <t>Large Cap</t>
        </is>
      </c>
    </row>
    <row r="11">
      <c r="B11" t="inlineStr">
        <is>
          <t>Bharti Airtel Ltd</t>
        </is>
      </c>
      <c r="C11" t="inlineStr">
        <is>
          <t>INE397D01024</t>
        </is>
      </c>
      <c r="D11" t="inlineStr">
        <is>
          <t>Telecom - Services</t>
        </is>
      </c>
      <c r="E11" t="n">
        <v>504000</v>
      </c>
      <c r="F11" t="n">
        <v>10612.22</v>
      </c>
      <c r="G11" t="n">
        <v>2.06</v>
      </c>
      <c r="H11" t="inlineStr">
        <is>
          <t>Large Cap</t>
        </is>
      </c>
    </row>
    <row r="12">
      <c r="B12" t="inlineStr">
        <is>
          <t>Larsen &amp; Toubro Ltd</t>
        </is>
      </c>
      <c r="C12" t="inlineStr">
        <is>
          <t>INE018A01030</t>
        </is>
      </c>
      <c r="D12" t="inlineStr">
        <is>
          <t>Construction</t>
        </is>
      </c>
      <c r="E12" t="n">
        <v>244221</v>
      </c>
      <c r="F12" t="n">
        <v>9972.76</v>
      </c>
      <c r="G12" t="n">
        <v>1.93</v>
      </c>
      <c r="H12" t="inlineStr">
        <is>
          <t>Large Cap</t>
        </is>
      </c>
    </row>
    <row r="13">
      <c r="B13" t="inlineStr">
        <is>
          <t>State Bank of India</t>
        </is>
      </c>
      <c r="C13" t="inlineStr">
        <is>
          <t>INE062A01020</t>
        </is>
      </c>
      <c r="D13" t="inlineStr">
        <is>
          <t>Banks</t>
        </is>
      </c>
      <c r="E13" t="n">
        <v>1013598</v>
      </c>
      <c r="F13" t="n">
        <v>9955.559999999999</v>
      </c>
      <c r="G13" t="n">
        <v>1.93</v>
      </c>
      <c r="H13" t="inlineStr">
        <is>
          <t>Large Cap</t>
        </is>
      </c>
      <c r="L13" t="inlineStr">
        <is>
          <t>Benchmark: NIFTY 500 Multicap 50:25:25 Index TRI</t>
        </is>
      </c>
    </row>
    <row r="14">
      <c r="B14" t="inlineStr">
        <is>
          <t>Ajanta Pharma Ltd</t>
        </is>
      </c>
      <c r="C14" t="inlineStr">
        <is>
          <t>INE031B01049</t>
        </is>
      </c>
      <c r="D14" t="inlineStr">
        <is>
          <t>Pharmaceuticals &amp; Biotechnology</t>
        </is>
      </c>
      <c r="E14" t="n">
        <v>338307</v>
      </c>
      <c r="F14" t="n">
        <v>9367.379999999999</v>
      </c>
      <c r="G14" t="n">
        <v>1.82</v>
      </c>
      <c r="H14" t="inlineStr">
        <is>
          <t>Small Cap</t>
        </is>
      </c>
    </row>
    <row r="15">
      <c r="B15" t="inlineStr">
        <is>
          <t>TBO Tek Ltd</t>
        </is>
      </c>
      <c r="C15" t="inlineStr">
        <is>
          <t>INE673O01025</t>
        </is>
      </c>
      <c r="D15" t="inlineStr">
        <is>
          <t>Leisure Services</t>
        </is>
      </c>
      <c r="E15" t="n">
        <v>557664</v>
      </c>
      <c r="F15" t="n">
        <v>9272.280000000001</v>
      </c>
      <c r="G15" t="n">
        <v>1.8</v>
      </c>
      <c r="H15" t="inlineStr">
        <is>
          <t>Small Cap</t>
        </is>
      </c>
    </row>
    <row r="16">
      <c r="B16" t="inlineStr">
        <is>
          <t>Mahindra &amp; Mahindra Ltd</t>
        </is>
      </c>
      <c r="C16" t="inlineStr">
        <is>
          <t>INE101A01026</t>
        </is>
      </c>
      <c r="D16" t="inlineStr">
        <is>
          <t>Automobiles</t>
        </is>
      </c>
      <c r="E16" t="n">
        <v>229500</v>
      </c>
      <c r="F16" t="n">
        <v>8512.610000000001</v>
      </c>
      <c r="G16" t="n">
        <v>1.65</v>
      </c>
      <c r="H16" t="inlineStr">
        <is>
          <t>Large Cap</t>
        </is>
      </c>
    </row>
    <row r="17">
      <c r="B17" t="inlineStr">
        <is>
          <t>Ge Vernova T&amp;D India Ltd</t>
        </is>
      </c>
      <c r="C17" t="inlineStr">
        <is>
          <t>INE200A01026</t>
        </is>
      </c>
      <c r="D17" t="inlineStr">
        <is>
          <t>Electrical Equipment</t>
        </is>
      </c>
      <c r="E17" t="n">
        <v>237493</v>
      </c>
      <c r="F17" t="n">
        <v>7439.47</v>
      </c>
      <c r="G17" t="n">
        <v>1.44</v>
      </c>
      <c r="H17" t="inlineStr">
        <is>
          <t>Mid Cap</t>
        </is>
      </c>
    </row>
    <row r="18">
      <c r="B18" t="inlineStr">
        <is>
          <t>ITC Ltd</t>
        </is>
      </c>
      <c r="C18" t="inlineStr">
        <is>
          <t>INE154A01025</t>
        </is>
      </c>
      <c r="D18" t="inlineStr">
        <is>
          <t>Diversified Fmcg</t>
        </is>
      </c>
      <c r="E18" t="n">
        <v>1775000</v>
      </c>
      <c r="F18" t="n">
        <v>7153.25</v>
      </c>
      <c r="G18" t="n">
        <v>1.39</v>
      </c>
      <c r="H18" t="inlineStr">
        <is>
          <t>Large Cap</t>
        </is>
      </c>
    </row>
    <row r="19">
      <c r="B19" t="inlineStr">
        <is>
          <t>J.B. Chemicals &amp; Pharmaceuticals Ltd</t>
        </is>
      </c>
      <c r="C19" t="inlineStr">
        <is>
          <t>INE572A01036</t>
        </is>
      </c>
      <c r="D19" t="inlineStr">
        <is>
          <t>Pharmaceuticals &amp; Biotechnology</t>
        </is>
      </c>
      <c r="E19" t="n">
        <v>369649</v>
      </c>
      <c r="F19" t="n">
        <v>6726.5</v>
      </c>
      <c r="G19" t="n">
        <v>1.3</v>
      </c>
      <c r="H19" t="inlineStr">
        <is>
          <t>Small Cap</t>
        </is>
      </c>
    </row>
    <row r="20">
      <c r="B20" t="inlineStr">
        <is>
          <t>Uno Minda Ltd</t>
        </is>
      </c>
      <c r="C20" t="inlineStr">
        <is>
          <t>INE405E01023</t>
        </is>
      </c>
      <c r="D20" t="inlineStr">
        <is>
          <t>Auto Components</t>
        </is>
      </c>
      <c r="E20" t="n">
        <v>518434</v>
      </c>
      <c r="F20" t="n">
        <v>6666.02</v>
      </c>
      <c r="G20" t="n">
        <v>1.29</v>
      </c>
      <c r="H20" t="inlineStr">
        <is>
          <t>Mid Cap</t>
        </is>
      </c>
    </row>
    <row r="21">
      <c r="B21" t="inlineStr">
        <is>
          <t>TVS Motor Co Ltd</t>
        </is>
      </c>
      <c r="C21" t="inlineStr">
        <is>
          <t>INE494B01023</t>
        </is>
      </c>
      <c r="D21" t="inlineStr">
        <is>
          <t>Automobiles</t>
        </is>
      </c>
      <c r="E21" t="n">
        <v>174661</v>
      </c>
      <c r="F21" t="n">
        <v>6497.04</v>
      </c>
      <c r="G21" t="n">
        <v>1.26</v>
      </c>
      <c r="H21" t="inlineStr">
        <is>
          <t>Large Cap</t>
        </is>
      </c>
    </row>
    <row r="22">
      <c r="B22" t="inlineStr">
        <is>
          <t>Bharat Electronics Ltd</t>
        </is>
      </c>
      <c r="C22" t="inlineStr">
        <is>
          <t>INE263A01024</t>
        </is>
      </c>
      <c r="D22" t="inlineStr">
        <is>
          <t>Aerospace &amp; Defense</t>
        </is>
      </c>
      <c r="E22" t="n">
        <v>1620000</v>
      </c>
      <c r="F22" t="n">
        <v>6473.52</v>
      </c>
      <c r="G22" t="n">
        <v>1.26</v>
      </c>
      <c r="H22" t="inlineStr">
        <is>
          <t>Large Cap</t>
        </is>
      </c>
    </row>
    <row r="23">
      <c r="B23" t="inlineStr">
        <is>
          <t>Tata Consumer Products Ltd</t>
        </is>
      </c>
      <c r="C23" t="inlineStr">
        <is>
          <t>INE192A01025</t>
        </is>
      </c>
      <c r="D23" t="inlineStr">
        <is>
          <t>Agricultural Food &amp; Other Products</t>
        </is>
      </c>
      <c r="E23" t="n">
        <v>541889</v>
      </c>
      <c r="F23" t="n">
        <v>6459.32</v>
      </c>
      <c r="G23" t="n">
        <v>1.25</v>
      </c>
      <c r="H23" t="inlineStr">
        <is>
          <t>Large Cap</t>
        </is>
      </c>
    </row>
    <row r="24">
      <c r="B24" t="inlineStr">
        <is>
          <t>Federal Bank Ltd</t>
        </is>
      </c>
      <c r="C24" t="inlineStr">
        <is>
          <t>INE171A01029</t>
        </is>
      </c>
      <c r="D24" t="inlineStr">
        <is>
          <t>Banks</t>
        </is>
      </c>
      <c r="E24" t="n">
        <v>2400000</v>
      </c>
      <c r="F24" t="n">
        <v>6410.4</v>
      </c>
      <c r="G24" t="n">
        <v>1.24</v>
      </c>
      <c r="H24" t="inlineStr">
        <is>
          <t>Mid Cap</t>
        </is>
      </c>
    </row>
    <row r="25">
      <c r="B25" t="inlineStr">
        <is>
          <t>KEI Industries Ltd</t>
        </is>
      </c>
      <c r="C25" t="inlineStr">
        <is>
          <t>INE878B01027</t>
        </is>
      </c>
      <c r="D25" t="inlineStr">
        <is>
          <t>Industrial Products</t>
        </is>
      </c>
      <c r="E25" t="n">
        <v>142339</v>
      </c>
      <c r="F25" t="n">
        <v>6348.6</v>
      </c>
      <c r="G25" t="n">
        <v>1.23</v>
      </c>
      <c r="H25" t="inlineStr">
        <is>
          <t>Mid Cap</t>
        </is>
      </c>
    </row>
    <row r="26">
      <c r="B26" t="inlineStr">
        <is>
          <t>Eternal Ltd</t>
        </is>
      </c>
      <c r="C26" t="inlineStr">
        <is>
          <t>INE758T01015</t>
        </is>
      </c>
      <c r="D26" t="inlineStr">
        <is>
          <t>Retailing</t>
        </is>
      </c>
      <c r="E26" t="n">
        <v>2233867</v>
      </c>
      <c r="F26" t="n">
        <v>6211.27</v>
      </c>
      <c r="G26" t="n">
        <v>1.2</v>
      </c>
      <c r="H26" t="inlineStr">
        <is>
          <t>Large Cap</t>
        </is>
      </c>
    </row>
    <row r="27">
      <c r="B27" t="inlineStr">
        <is>
          <t>Sun Pharmaceutical Industries Ltd</t>
        </is>
      </c>
      <c r="C27" t="inlineStr">
        <is>
          <t>INE044A01036</t>
        </is>
      </c>
      <c r="D27" t="inlineStr">
        <is>
          <t>Pharmaceuticals &amp; Biotechnology</t>
        </is>
      </c>
      <c r="E27" t="n">
        <v>360000</v>
      </c>
      <c r="F27" t="n">
        <v>6190.92</v>
      </c>
      <c r="G27" t="n">
        <v>1.2</v>
      </c>
      <c r="H27" t="inlineStr">
        <is>
          <t>Large Cap</t>
        </is>
      </c>
    </row>
    <row r="28">
      <c r="B28" t="inlineStr">
        <is>
          <t>Max Financial Services Ltd</t>
        </is>
      </c>
      <c r="C28" t="inlineStr">
        <is>
          <t>INE180A01020</t>
        </is>
      </c>
      <c r="D28" t="inlineStr">
        <is>
          <t>Insurance</t>
        </is>
      </c>
      <c r="E28" t="n">
        <v>369500</v>
      </c>
      <c r="F28" t="n">
        <v>6177.3</v>
      </c>
      <c r="G28" t="n">
        <v>1.2</v>
      </c>
      <c r="H28" t="inlineStr">
        <is>
          <t>Mid Cap</t>
        </is>
      </c>
    </row>
    <row r="29">
      <c r="B29" t="inlineStr">
        <is>
          <t>Multi Commodity Exchange Of India Ltd</t>
        </is>
      </c>
      <c r="C29" t="inlineStr">
        <is>
          <t>INE745G01035</t>
        </is>
      </c>
      <c r="D29" t="inlineStr">
        <is>
          <t>Capital Markets</t>
        </is>
      </c>
      <c r="E29" t="n">
        <v>55112</v>
      </c>
      <c r="F29" t="n">
        <v>6137.27</v>
      </c>
      <c r="G29" t="n">
        <v>1.19</v>
      </c>
      <c r="H29" t="inlineStr">
        <is>
          <t>Mid Cap</t>
        </is>
      </c>
    </row>
    <row r="30">
      <c r="B30" t="inlineStr">
        <is>
          <t>Doms Industries Ltd</t>
        </is>
      </c>
      <c r="C30" t="inlineStr">
        <is>
          <t>INE321T01012</t>
        </is>
      </c>
      <c r="D30" t="inlineStr">
        <is>
          <t>Household Products</t>
        </is>
      </c>
      <c r="E30" t="n">
        <v>228924</v>
      </c>
      <c r="F30" t="n">
        <v>5987.28</v>
      </c>
      <c r="G30" t="n">
        <v>1.16</v>
      </c>
      <c r="H30" t="inlineStr">
        <is>
          <t>Small Cap</t>
        </is>
      </c>
    </row>
    <row r="31">
      <c r="B31" t="inlineStr">
        <is>
          <t>Shriram Finance Ltd</t>
        </is>
      </c>
      <c r="C31" t="inlineStr">
        <is>
          <t>INE721A01047</t>
        </is>
      </c>
      <c r="D31" t="inlineStr">
        <is>
          <t>Finance</t>
        </is>
      </c>
      <c r="E31" t="n">
        <v>600000</v>
      </c>
      <c r="F31" t="n">
        <v>5977.2</v>
      </c>
      <c r="G31" t="n">
        <v>1.16</v>
      </c>
      <c r="H31" t="inlineStr">
        <is>
          <t>Large Cap</t>
        </is>
      </c>
    </row>
    <row r="32">
      <c r="B32" t="inlineStr">
        <is>
          <t>Tech Mahindra Ltd</t>
        </is>
      </c>
      <c r="C32" t="inlineStr">
        <is>
          <t>INE669C01036</t>
        </is>
      </c>
      <c r="D32" t="inlineStr">
        <is>
          <t>IT - Software</t>
        </is>
      </c>
      <c r="E32" t="n">
        <v>375000</v>
      </c>
      <c r="F32" t="n">
        <v>5965.88</v>
      </c>
      <c r="G32" t="n">
        <v>1.16</v>
      </c>
      <c r="H32" t="inlineStr">
        <is>
          <t>Large Cap</t>
        </is>
      </c>
    </row>
    <row r="33">
      <c r="B33" t="inlineStr">
        <is>
          <t>Varun Beverages Ltd</t>
        </is>
      </c>
      <c r="C33" t="inlineStr">
        <is>
          <t>INE200M01039</t>
        </is>
      </c>
      <c r="D33" t="inlineStr">
        <is>
          <t>Beverages</t>
        </is>
      </c>
      <c r="E33" t="n">
        <v>1207139</v>
      </c>
      <c r="F33" t="n">
        <v>5913.17</v>
      </c>
      <c r="G33" t="n">
        <v>1.15</v>
      </c>
      <c r="H33" t="inlineStr">
        <is>
          <t>Large Cap</t>
        </is>
      </c>
    </row>
    <row r="34">
      <c r="B34" t="inlineStr">
        <is>
          <t>EIH Ltd</t>
        </is>
      </c>
      <c r="C34" t="inlineStr">
        <is>
          <t>INE230A01023</t>
        </is>
      </c>
      <c r="D34" t="inlineStr">
        <is>
          <t>Leisure Services</t>
        </is>
      </c>
      <c r="E34" t="n">
        <v>1547895</v>
      </c>
      <c r="F34" t="n">
        <v>5700.12</v>
      </c>
      <c r="G34" t="n">
        <v>1.11</v>
      </c>
      <c r="H34" t="inlineStr">
        <is>
          <t>Small Cap</t>
        </is>
      </c>
    </row>
    <row r="35">
      <c r="B35" t="inlineStr">
        <is>
          <t>Max Healthcare Institute Ltd</t>
        </is>
      </c>
      <c r="C35" t="inlineStr">
        <is>
          <t>INE027H01010</t>
        </is>
      </c>
      <c r="D35" t="inlineStr">
        <is>
          <t>Healthcare Services</t>
        </is>
      </c>
      <c r="E35" t="n">
        <v>542500</v>
      </c>
      <c r="F35" t="n">
        <v>5669.67</v>
      </c>
      <c r="G35" t="n">
        <v>1.1</v>
      </c>
      <c r="H35" t="inlineStr">
        <is>
          <t>Large Cap</t>
        </is>
      </c>
    </row>
    <row r="36">
      <c r="B36" t="inlineStr">
        <is>
          <t>Motherson Sumi Wiring India Ltd</t>
        </is>
      </c>
      <c r="C36" t="inlineStr">
        <is>
          <t>INE0FS801015</t>
        </is>
      </c>
      <c r="D36" t="inlineStr">
        <is>
          <t>Auto Components</t>
        </is>
      </c>
      <c r="E36" t="n">
        <v>11600000</v>
      </c>
      <c r="F36" t="n">
        <v>5628.32</v>
      </c>
      <c r="G36" t="n">
        <v>1.09</v>
      </c>
      <c r="H36" t="inlineStr">
        <is>
          <t>Small Cap</t>
        </is>
      </c>
    </row>
    <row r="37">
      <c r="B37" t="inlineStr">
        <is>
          <t>J.K. Cement Ltd</t>
        </is>
      </c>
      <c r="C37" t="inlineStr">
        <is>
          <t>INE823G01014</t>
        </is>
      </c>
      <c r="D37" t="inlineStr">
        <is>
          <t>Cement &amp; Cement Products</t>
        </is>
      </c>
      <c r="E37" t="n">
        <v>100111</v>
      </c>
      <c r="F37" t="n">
        <v>5537.14</v>
      </c>
      <c r="G37" t="n">
        <v>1.07</v>
      </c>
      <c r="H37" t="inlineStr">
        <is>
          <t>Mid Cap</t>
        </is>
      </c>
    </row>
    <row r="38">
      <c r="B38" t="inlineStr">
        <is>
          <t>WeWork India Management Ltd</t>
        </is>
      </c>
      <c r="C38" t="inlineStr">
        <is>
          <t>INE085001019</t>
        </is>
      </c>
      <c r="D38" t="inlineStr">
        <is>
          <t>Commercial Services &amp; Supplies</t>
        </is>
      </c>
      <c r="E38" t="n">
        <v>907393</v>
      </c>
      <c r="F38" t="n">
        <v>5486.55</v>
      </c>
      <c r="G38" t="n">
        <v>1.06</v>
      </c>
      <c r="H38" t="inlineStr">
        <is>
          <t>Small Cap</t>
        </is>
      </c>
    </row>
    <row r="39">
      <c r="B39" t="inlineStr">
        <is>
          <t>Affle 3i Ltd</t>
        </is>
      </c>
      <c r="C39" t="inlineStr">
        <is>
          <t>INE00WC01027</t>
        </is>
      </c>
      <c r="D39" t="inlineStr">
        <is>
          <t>IT - Services</t>
        </is>
      </c>
      <c r="E39" t="n">
        <v>300182</v>
      </c>
      <c r="F39" t="n">
        <v>5401.47</v>
      </c>
      <c r="G39" t="n">
        <v>1.05</v>
      </c>
      <c r="H39" t="inlineStr">
        <is>
          <t>Small Cap</t>
        </is>
      </c>
    </row>
    <row r="40">
      <c r="B40" t="inlineStr">
        <is>
          <t>Kotak Mahindra Bank Ltd</t>
        </is>
      </c>
      <c r="C40" t="inlineStr">
        <is>
          <t>INE237A01028</t>
        </is>
      </c>
      <c r="D40" t="inlineStr">
        <is>
          <t>Banks</t>
        </is>
      </c>
      <c r="E40" t="n">
        <v>240000</v>
      </c>
      <c r="F40" t="n">
        <v>5282.64</v>
      </c>
      <c r="G40" t="n">
        <v>1.02</v>
      </c>
      <c r="H40" t="inlineStr">
        <is>
          <t>Large Cap</t>
        </is>
      </c>
    </row>
    <row r="41">
      <c r="B41" t="inlineStr">
        <is>
          <t>Vishal Mega Mart Ltd</t>
        </is>
      </c>
      <c r="C41" t="inlineStr">
        <is>
          <t>INE01EA01019</t>
        </is>
      </c>
      <c r="D41" t="inlineStr">
        <is>
          <t>Retailing</t>
        </is>
      </c>
      <c r="E41" t="n">
        <v>3838916</v>
      </c>
      <c r="F41" t="n">
        <v>5235.13</v>
      </c>
      <c r="G41" t="n">
        <v>1.02</v>
      </c>
      <c r="H41" t="inlineStr">
        <is>
          <t>Mid Cap</t>
        </is>
      </c>
    </row>
    <row r="42">
      <c r="B42" t="inlineStr">
        <is>
          <t>Bajaj Finance Ltd</t>
        </is>
      </c>
      <c r="C42" t="inlineStr">
        <is>
          <t>INE296A01032</t>
        </is>
      </c>
      <c r="D42" t="inlineStr">
        <is>
          <t>Finance</t>
        </is>
      </c>
      <c r="E42" t="n">
        <v>530090</v>
      </c>
      <c r="F42" t="n">
        <v>5230.93</v>
      </c>
      <c r="G42" t="n">
        <v>1.01</v>
      </c>
      <c r="H42" t="inlineStr">
        <is>
          <t>Large Cap</t>
        </is>
      </c>
    </row>
    <row r="43">
      <c r="B43" t="inlineStr">
        <is>
          <t>Axis Bank Ltd</t>
        </is>
      </c>
      <c r="C43" t="inlineStr">
        <is>
          <t>INE238A01034</t>
        </is>
      </c>
      <c r="D43" t="inlineStr">
        <is>
          <t>Banks</t>
        </is>
      </c>
      <c r="E43" t="n">
        <v>410000</v>
      </c>
      <c r="F43" t="n">
        <v>5204.54</v>
      </c>
      <c r="G43" t="n">
        <v>1.01</v>
      </c>
      <c r="H43" t="inlineStr">
        <is>
          <t>Large Cap</t>
        </is>
      </c>
    </row>
    <row r="44">
      <c r="B44" t="inlineStr">
        <is>
          <t>PB Fintech Ltd</t>
        </is>
      </c>
      <c r="C44" t="inlineStr">
        <is>
          <t>INE417T01026</t>
        </is>
      </c>
      <c r="D44" t="inlineStr">
        <is>
          <t>Financial Technology (Fintech)</t>
        </is>
      </c>
      <c r="E44" t="n">
        <v>285000</v>
      </c>
      <c r="F44" t="n">
        <v>5202.96</v>
      </c>
      <c r="G44" t="n">
        <v>1.01</v>
      </c>
      <c r="H44" t="inlineStr">
        <is>
          <t>Mid Cap</t>
        </is>
      </c>
    </row>
    <row r="45">
      <c r="B45" t="inlineStr">
        <is>
          <t>Computer Age Management Services Ltd</t>
        </is>
      </c>
      <c r="C45" t="inlineStr">
        <is>
          <t>INE596I01020</t>
        </is>
      </c>
      <c r="D45" t="inlineStr">
        <is>
          <t>Capital Markets</t>
        </is>
      </c>
      <c r="E45" t="n">
        <v>701110</v>
      </c>
      <c r="F45" t="n">
        <v>5194.52</v>
      </c>
      <c r="G45" t="n">
        <v>1.01</v>
      </c>
      <c r="H45" t="inlineStr">
        <is>
          <t>Small Cap</t>
        </is>
      </c>
    </row>
    <row r="46">
      <c r="B46" t="inlineStr">
        <is>
          <t>Mphasis Ltd</t>
        </is>
      </c>
      <c r="C46" t="inlineStr">
        <is>
          <t>INE356A01018</t>
        </is>
      </c>
      <c r="D46" t="inlineStr">
        <is>
          <t>IT - Software</t>
        </is>
      </c>
      <c r="E46" t="n">
        <v>177500</v>
      </c>
      <c r="F46" t="n">
        <v>4954.38</v>
      </c>
      <c r="G46" t="n">
        <v>0.96</v>
      </c>
      <c r="H46" t="inlineStr">
        <is>
          <t>Mid Cap</t>
        </is>
      </c>
    </row>
    <row r="47">
      <c r="B47" t="inlineStr">
        <is>
          <t>Crompton Greaves Consumer Electricals Ltd</t>
        </is>
      </c>
      <c r="C47" t="inlineStr">
        <is>
          <t>INE299U01018</t>
        </is>
      </c>
      <c r="D47" t="inlineStr">
        <is>
          <t>Consumer Durables</t>
        </is>
      </c>
      <c r="E47" t="n">
        <v>1915000</v>
      </c>
      <c r="F47" t="n">
        <v>4830.59</v>
      </c>
      <c r="G47" t="n">
        <v>0.9399999999999999</v>
      </c>
      <c r="H47" t="inlineStr">
        <is>
          <t>Small Cap</t>
        </is>
      </c>
    </row>
    <row r="48">
      <c r="B48" t="inlineStr">
        <is>
          <t>Jubilant Foodworks Ltd</t>
        </is>
      </c>
      <c r="C48" t="inlineStr">
        <is>
          <t>INE797F01020</t>
        </is>
      </c>
      <c r="D48" t="inlineStr">
        <is>
          <t>Leisure Services</t>
        </is>
      </c>
      <c r="E48" t="n">
        <v>855000</v>
      </c>
      <c r="F48" t="n">
        <v>4776.03</v>
      </c>
      <c r="G48" t="n">
        <v>0.93</v>
      </c>
      <c r="H48" t="inlineStr">
        <is>
          <t>Mid Cap</t>
        </is>
      </c>
    </row>
    <row r="49">
      <c r="B49" t="inlineStr">
        <is>
          <t>PNB Housing Finance Ltd</t>
        </is>
      </c>
      <c r="C49" t="inlineStr">
        <is>
          <t>INE572E01012</t>
        </is>
      </c>
      <c r="D49" t="inlineStr">
        <is>
          <t>Finance</t>
        </is>
      </c>
      <c r="E49" t="n">
        <v>488950</v>
      </c>
      <c r="F49" t="n">
        <v>4652.36</v>
      </c>
      <c r="G49" t="n">
        <v>0.9</v>
      </c>
      <c r="H49" t="inlineStr">
        <is>
          <t>Small Cap</t>
        </is>
      </c>
    </row>
    <row r="50">
      <c r="B50" t="inlineStr">
        <is>
          <t>Aditya Birla Real Estate Ltd</t>
        </is>
      </c>
      <c r="C50" t="inlineStr">
        <is>
          <t>INE055A01016</t>
        </is>
      </c>
      <c r="D50" t="inlineStr">
        <is>
          <t>Paper, Forest &amp; Jute Products</t>
        </is>
      </c>
      <c r="E50" t="n">
        <v>273507</v>
      </c>
      <c r="F50" t="n">
        <v>4580.7</v>
      </c>
      <c r="G50" t="n">
        <v>0.89</v>
      </c>
      <c r="H50" t="inlineStr">
        <is>
          <t>Small Cap</t>
        </is>
      </c>
    </row>
    <row r="51">
      <c r="B51" t="inlineStr">
        <is>
          <t>Karur Vysya Bank Ltd</t>
        </is>
      </c>
      <c r="C51" t="inlineStr">
        <is>
          <t>INE036D01028</t>
        </is>
      </c>
      <c r="D51" t="inlineStr">
        <is>
          <t>Banks</t>
        </is>
      </c>
      <c r="E51" t="n">
        <v>1732833</v>
      </c>
      <c r="F51" t="n">
        <v>4571.73</v>
      </c>
      <c r="G51" t="n">
        <v>0.89</v>
      </c>
      <c r="H51" t="inlineStr">
        <is>
          <t>Small Cap</t>
        </is>
      </c>
    </row>
    <row r="52">
      <c r="B52" t="inlineStr">
        <is>
          <t>FSN E-Commerce Ventures Ltd</t>
        </is>
      </c>
      <c r="C52" t="inlineStr">
        <is>
          <t>INE388Y01029</t>
        </is>
      </c>
      <c r="D52" t="inlineStr">
        <is>
          <t>Retailing</t>
        </is>
      </c>
      <c r="E52" t="n">
        <v>1700000</v>
      </c>
      <c r="F52" t="n">
        <v>4507.55</v>
      </c>
      <c r="G52" t="n">
        <v>0.87</v>
      </c>
      <c r="H52" t="inlineStr">
        <is>
          <t>Mid Cap</t>
        </is>
      </c>
    </row>
    <row r="53">
      <c r="B53" t="inlineStr">
        <is>
          <t>HDFC Asset Management Co Ltd</t>
        </is>
      </c>
      <c r="C53" t="inlineStr">
        <is>
          <t>INE127D01025</t>
        </is>
      </c>
      <c r="D53" t="inlineStr">
        <is>
          <t>Capital Markets</t>
        </is>
      </c>
      <c r="E53" t="n">
        <v>165250</v>
      </c>
      <c r="F53" t="n">
        <v>4415.81</v>
      </c>
      <c r="G53" t="n">
        <v>0.86</v>
      </c>
      <c r="H53" t="inlineStr">
        <is>
          <t>Large Cap</t>
        </is>
      </c>
    </row>
    <row r="54">
      <c r="B54" t="inlineStr">
        <is>
          <t>Dr. Lal Path Labs Ltd</t>
        </is>
      </c>
      <c r="C54" t="inlineStr">
        <is>
          <t>INE600L01024</t>
        </is>
      </c>
      <c r="D54" t="inlineStr">
        <is>
          <t>Healthcare Services</t>
        </is>
      </c>
      <c r="E54" t="n">
        <v>289202</v>
      </c>
      <c r="F54" t="n">
        <v>4287.71</v>
      </c>
      <c r="G54" t="n">
        <v>0.83</v>
      </c>
      <c r="H54" t="inlineStr">
        <is>
          <t>Small Cap</t>
        </is>
      </c>
    </row>
    <row r="55">
      <c r="B55" t="inlineStr">
        <is>
          <t>Tata Power Co Ltd</t>
        </is>
      </c>
      <c r="C55" t="inlineStr">
        <is>
          <t>INE245A01021</t>
        </is>
      </c>
      <c r="D55" t="inlineStr">
        <is>
          <t>Power</t>
        </is>
      </c>
      <c r="E55" t="n">
        <v>1050000</v>
      </c>
      <c r="F55" t="n">
        <v>3985.8</v>
      </c>
      <c r="G55" t="n">
        <v>0.77</v>
      </c>
      <c r="H55" t="inlineStr">
        <is>
          <t>Large Cap</t>
        </is>
      </c>
    </row>
    <row r="56">
      <c r="B56" t="inlineStr">
        <is>
          <t>Brigade Enterprises Ltd</t>
        </is>
      </c>
      <c r="C56" t="inlineStr">
        <is>
          <t>INE791I01019</t>
        </is>
      </c>
      <c r="D56" t="inlineStr">
        <is>
          <t>Realty</t>
        </is>
      </c>
      <c r="E56" t="n">
        <v>442712</v>
      </c>
      <c r="F56" t="n">
        <v>3918</v>
      </c>
      <c r="G56" t="n">
        <v>0.76</v>
      </c>
      <c r="H56" t="inlineStr">
        <is>
          <t>Small Cap</t>
        </is>
      </c>
    </row>
    <row r="57">
      <c r="B57" t="inlineStr">
        <is>
          <t>KPIT Technologies Ltd</t>
        </is>
      </c>
      <c r="C57" t="inlineStr">
        <is>
          <t>INE04I401011</t>
        </is>
      </c>
      <c r="D57" t="inlineStr">
        <is>
          <t>IT - Software</t>
        </is>
      </c>
      <c r="E57" t="n">
        <v>334092</v>
      </c>
      <c r="F57" t="n">
        <v>3917.23</v>
      </c>
      <c r="G57" t="n">
        <v>0.76</v>
      </c>
      <c r="H57" t="inlineStr">
        <is>
          <t>Small Cap</t>
        </is>
      </c>
    </row>
    <row r="58">
      <c r="B58" t="inlineStr">
        <is>
          <t>Cholamandalam Investment and Finance Co Ltd</t>
        </is>
      </c>
      <c r="C58" t="inlineStr">
        <is>
          <t>INE121A01024</t>
        </is>
      </c>
      <c r="D58" t="inlineStr">
        <is>
          <t>Finance</t>
        </is>
      </c>
      <c r="E58" t="n">
        <v>230000</v>
      </c>
      <c r="F58" t="n">
        <v>3915.06</v>
      </c>
      <c r="G58" t="n">
        <v>0.76</v>
      </c>
      <c r="H58" t="inlineStr">
        <is>
          <t>Large Cap</t>
        </is>
      </c>
    </row>
    <row r="59">
      <c r="B59" t="inlineStr">
        <is>
          <t>Cera Sanitaryware Ltd</t>
        </is>
      </c>
      <c r="C59" t="inlineStr">
        <is>
          <t>INE739E01017</t>
        </is>
      </c>
      <c r="D59" t="inlineStr">
        <is>
          <t>Consumer Durables</t>
        </is>
      </c>
      <c r="E59" t="n">
        <v>74675</v>
      </c>
      <c r="F59" t="n">
        <v>3909.61</v>
      </c>
      <c r="G59" t="n">
        <v>0.76</v>
      </c>
      <c r="H59" t="inlineStr">
        <is>
          <t>Small Cap</t>
        </is>
      </c>
    </row>
    <row r="60">
      <c r="B60" t="inlineStr">
        <is>
          <t>Safari Industries (India) Ltd</t>
        </is>
      </c>
      <c r="C60" t="inlineStr">
        <is>
          <t>INE429E01023</t>
        </is>
      </c>
      <c r="D60" t="inlineStr">
        <is>
          <t>Consumer Durables</t>
        </is>
      </c>
      <c r="E60" t="n">
        <v>179471</v>
      </c>
      <c r="F60" t="n">
        <v>3902.42</v>
      </c>
      <c r="G60" t="n">
        <v>0.76</v>
      </c>
      <c r="H60" t="inlineStr">
        <is>
          <t>Small Cap</t>
        </is>
      </c>
    </row>
    <row r="61">
      <c r="B61" t="inlineStr">
        <is>
          <t>Cummins India Ltd</t>
        </is>
      </c>
      <c r="C61" t="inlineStr">
        <is>
          <t>INE298A01020</t>
        </is>
      </c>
      <c r="D61" t="inlineStr">
        <is>
          <t>Industrial Products</t>
        </is>
      </c>
      <c r="E61" t="n">
        <v>86271</v>
      </c>
      <c r="F61" t="n">
        <v>3825.6</v>
      </c>
      <c r="G61" t="n">
        <v>0.74</v>
      </c>
      <c r="H61" t="inlineStr">
        <is>
          <t>Large Cap</t>
        </is>
      </c>
    </row>
    <row r="62">
      <c r="B62" t="inlineStr">
        <is>
          <t>Mrs Bectors Food Specialities Ltd</t>
        </is>
      </c>
      <c r="C62" t="inlineStr">
        <is>
          <t>INE495P01020</t>
        </is>
      </c>
      <c r="D62" t="inlineStr">
        <is>
          <t>Food Products</t>
        </is>
      </c>
      <c r="E62" t="n">
        <v>1634440</v>
      </c>
      <c r="F62" t="n">
        <v>3765.75</v>
      </c>
      <c r="G62" t="n">
        <v>0.73</v>
      </c>
      <c r="H62" t="inlineStr">
        <is>
          <t>Small Cap</t>
        </is>
      </c>
    </row>
    <row r="63">
      <c r="B63" t="inlineStr">
        <is>
          <t>V-Guard Industries Ltd</t>
        </is>
      </c>
      <c r="C63" t="inlineStr">
        <is>
          <t>INE951I01027</t>
        </is>
      </c>
      <c r="D63" t="inlineStr">
        <is>
          <t>Consumer Durables</t>
        </is>
      </c>
      <c r="E63" t="n">
        <v>1143177</v>
      </c>
      <c r="F63" t="n">
        <v>3749.62</v>
      </c>
      <c r="G63" t="n">
        <v>0.73</v>
      </c>
      <c r="H63" t="inlineStr">
        <is>
          <t>Small Cap</t>
        </is>
      </c>
    </row>
    <row r="64">
      <c r="B64" t="inlineStr">
        <is>
          <t>Mankind Pharma Ltd</t>
        </is>
      </c>
      <c r="C64" t="inlineStr">
        <is>
          <t>INE634S01028</t>
        </is>
      </c>
      <c r="D64" t="inlineStr">
        <is>
          <t>Pharmaceuticals &amp; Biotechnology</t>
        </is>
      </c>
      <c r="E64" t="n">
        <v>170397</v>
      </c>
      <c r="F64" t="n">
        <v>3742.77</v>
      </c>
      <c r="G64" t="n">
        <v>0.73</v>
      </c>
      <c r="H64" t="inlineStr">
        <is>
          <t>Mid Cap</t>
        </is>
      </c>
    </row>
    <row r="65">
      <c r="B65" t="inlineStr">
        <is>
          <t>K.P.R. Mill Ltd</t>
        </is>
      </c>
      <c r="C65" t="inlineStr">
        <is>
          <t>INE930H01031</t>
        </is>
      </c>
      <c r="D65" t="inlineStr">
        <is>
          <t>Textiles &amp; Apparels</t>
        </is>
      </c>
      <c r="E65" t="n">
        <v>395000</v>
      </c>
      <c r="F65" t="n">
        <v>3722.48</v>
      </c>
      <c r="G65" t="n">
        <v>0.72</v>
      </c>
      <c r="H65" t="inlineStr">
        <is>
          <t>Mid Cap</t>
        </is>
      </c>
    </row>
    <row r="66">
      <c r="B66" t="inlineStr">
        <is>
          <t>Indian Bank</t>
        </is>
      </c>
      <c r="C66" t="inlineStr">
        <is>
          <t>INE562A01011</t>
        </is>
      </c>
      <c r="D66" t="inlineStr">
        <is>
          <t>Banks</t>
        </is>
      </c>
      <c r="E66" t="n">
        <v>444165</v>
      </c>
      <c r="F66" t="n">
        <v>3718.77</v>
      </c>
      <c r="G66" t="n">
        <v>0.72</v>
      </c>
      <c r="H66" t="inlineStr">
        <is>
          <t>Mid Cap</t>
        </is>
      </c>
    </row>
    <row r="67">
      <c r="B67" t="inlineStr">
        <is>
          <t>Coforge Ltd</t>
        </is>
      </c>
      <c r="C67" t="inlineStr">
        <is>
          <t>INE591G01025</t>
        </is>
      </c>
      <c r="D67" t="inlineStr">
        <is>
          <t>IT - Software</t>
        </is>
      </c>
      <c r="E67" t="n">
        <v>220000</v>
      </c>
      <c r="F67" t="n">
        <v>3658.6</v>
      </c>
      <c r="G67" t="n">
        <v>0.71</v>
      </c>
      <c r="H67" t="inlineStr">
        <is>
          <t>Mid Cap</t>
        </is>
      </c>
    </row>
    <row r="68">
      <c r="B68" t="inlineStr">
        <is>
          <t>Torrent Pharmaceuticals Ltd</t>
        </is>
      </c>
      <c r="C68" t="inlineStr">
        <is>
          <t>INE685A01028</t>
        </is>
      </c>
      <c r="D68" t="inlineStr">
        <is>
          <t>Pharmaceuticals &amp; Biotechnology</t>
        </is>
      </c>
      <c r="E68" t="n">
        <v>92951</v>
      </c>
      <c r="F68" t="n">
        <v>3578.61</v>
      </c>
      <c r="G68" t="n">
        <v>0.6899999999999999</v>
      </c>
      <c r="H68" t="inlineStr">
        <is>
          <t>Large Cap</t>
        </is>
      </c>
    </row>
    <row r="69">
      <c r="B69" t="inlineStr">
        <is>
          <t>Britannia Industries Ltd</t>
        </is>
      </c>
      <c r="C69" t="inlineStr">
        <is>
          <t>INE216A01030</t>
        </is>
      </c>
      <c r="D69" t="inlineStr">
        <is>
          <t>Food Products</t>
        </is>
      </c>
      <c r="E69" t="n">
        <v>58787</v>
      </c>
      <c r="F69" t="n">
        <v>3545.44</v>
      </c>
      <c r="G69" t="n">
        <v>0.6899999999999999</v>
      </c>
      <c r="H69" t="inlineStr">
        <is>
          <t>Large Cap</t>
        </is>
      </c>
    </row>
    <row r="70">
      <c r="B70" t="inlineStr">
        <is>
          <t>Can Fin Homes Ltd</t>
        </is>
      </c>
      <c r="C70" t="inlineStr">
        <is>
          <t>INE477A01020</t>
        </is>
      </c>
      <c r="D70" t="inlineStr">
        <is>
          <t>Finance</t>
        </is>
      </c>
      <c r="E70" t="n">
        <v>375000</v>
      </c>
      <c r="F70" t="n">
        <v>3487.69</v>
      </c>
      <c r="G70" t="n">
        <v>0.68</v>
      </c>
      <c r="H70" t="inlineStr">
        <is>
          <t>Small Cap</t>
        </is>
      </c>
    </row>
    <row r="71">
      <c r="B71" t="inlineStr">
        <is>
          <t>City Union Bank Ltd</t>
        </is>
      </c>
      <c r="C71" t="inlineStr">
        <is>
          <t>INE491A01021</t>
        </is>
      </c>
      <c r="D71" t="inlineStr">
        <is>
          <t>Banks</t>
        </is>
      </c>
      <c r="E71" t="n">
        <v>1190854</v>
      </c>
      <c r="F71" t="n">
        <v>3463</v>
      </c>
      <c r="G71" t="n">
        <v>0.67</v>
      </c>
      <c r="H71" t="inlineStr">
        <is>
          <t>Small Cap</t>
        </is>
      </c>
    </row>
    <row r="72">
      <c r="B72" t="inlineStr">
        <is>
          <t>Dixon Technologies (India) Ltd</t>
        </is>
      </c>
      <c r="C72" t="inlineStr">
        <is>
          <t>INE935N01020</t>
        </is>
      </c>
      <c r="D72" t="inlineStr">
        <is>
          <t>Consumer Durables</t>
        </is>
      </c>
      <c r="E72" t="n">
        <v>28500</v>
      </c>
      <c r="F72" t="n">
        <v>3449.07</v>
      </c>
      <c r="G72" t="n">
        <v>0.67</v>
      </c>
      <c r="H72" t="inlineStr">
        <is>
          <t>Mid Cap</t>
        </is>
      </c>
    </row>
    <row r="73">
      <c r="B73" t="inlineStr">
        <is>
          <t>Global Health Ltd</t>
        </is>
      </c>
      <c r="C73" t="inlineStr">
        <is>
          <t>INE474Q01031</t>
        </is>
      </c>
      <c r="D73" t="inlineStr">
        <is>
          <t>Healthcare Services</t>
        </is>
      </c>
      <c r="E73" t="n">
        <v>286528</v>
      </c>
      <c r="F73" t="n">
        <v>3399.37</v>
      </c>
      <c r="G73" t="n">
        <v>0.66</v>
      </c>
      <c r="H73" t="inlineStr">
        <is>
          <t>Mid Cap</t>
        </is>
      </c>
    </row>
    <row r="74">
      <c r="B74" t="inlineStr">
        <is>
          <t>CG Power and Industrial Solutions Ltd</t>
        </is>
      </c>
      <c r="C74" t="inlineStr">
        <is>
          <t>INE067A01029</t>
        </is>
      </c>
      <c r="D74" t="inlineStr">
        <is>
          <t>Electrical Equipment</t>
        </is>
      </c>
      <c r="E74" t="n">
        <v>518392</v>
      </c>
      <c r="F74" t="n">
        <v>3358.66</v>
      </c>
      <c r="G74" t="n">
        <v>0.65</v>
      </c>
      <c r="H74" t="inlineStr">
        <is>
          <t>Large Cap</t>
        </is>
      </c>
    </row>
    <row r="75">
      <c r="B75" t="inlineStr">
        <is>
          <t>APL Apollo Tubes Ltd</t>
        </is>
      </c>
      <c r="C75" t="inlineStr">
        <is>
          <t>INE702C01027</t>
        </is>
      </c>
      <c r="D75" t="inlineStr">
        <is>
          <t>Industrial Products</t>
        </is>
      </c>
      <c r="E75" t="n">
        <v>174735</v>
      </c>
      <c r="F75" t="n">
        <v>3344.43</v>
      </c>
      <c r="G75" t="n">
        <v>0.65</v>
      </c>
      <c r="H75" t="inlineStr">
        <is>
          <t>Mid Cap</t>
        </is>
      </c>
    </row>
    <row r="76">
      <c r="B76" t="inlineStr">
        <is>
          <t>ICRA Ltd</t>
        </is>
      </c>
      <c r="C76" t="inlineStr">
        <is>
          <t>INE725G01011</t>
        </is>
      </c>
      <c r="D76" t="inlineStr">
        <is>
          <t>Capital Markets</t>
        </is>
      </c>
      <c r="E76" t="n">
        <v>54811</v>
      </c>
      <c r="F76" t="n">
        <v>3330.04</v>
      </c>
      <c r="G76" t="n">
        <v>0.65</v>
      </c>
      <c r="H76" t="inlineStr">
        <is>
          <t>Small Cap</t>
        </is>
      </c>
    </row>
    <row r="77">
      <c r="B77" t="inlineStr">
        <is>
          <t>Vinati Organics Ltd</t>
        </is>
      </c>
      <c r="C77" t="inlineStr">
        <is>
          <t>INE410B01037</t>
        </is>
      </c>
      <c r="D77" t="inlineStr">
        <is>
          <t>Chemicals &amp; Petrochemicals</t>
        </is>
      </c>
      <c r="E77" t="n">
        <v>209325</v>
      </c>
      <c r="F77" t="n">
        <v>3326.59</v>
      </c>
      <c r="G77" t="n">
        <v>0.65</v>
      </c>
      <c r="H77" t="inlineStr">
        <is>
          <t>Small Cap</t>
        </is>
      </c>
    </row>
    <row r="78">
      <c r="B78" t="inlineStr">
        <is>
          <t>Meesho Ltd</t>
        </is>
      </c>
      <c r="C78" t="inlineStr">
        <is>
          <t>INE0VDM01015</t>
        </is>
      </c>
      <c r="D78" t="inlineStr">
        <is>
          <t>Retailing</t>
        </is>
      </c>
      <c r="E78" t="n">
        <v>1801710</v>
      </c>
      <c r="F78" t="n">
        <v>3247.04</v>
      </c>
      <c r="G78" t="n">
        <v>0.63</v>
      </c>
      <c r="H78" t="inlineStr">
        <is>
          <t>Mid Cap</t>
        </is>
      </c>
    </row>
    <row r="79">
      <c r="B79" t="inlineStr">
        <is>
          <t>ICICI Prudential Asset Management Co Ltd</t>
        </is>
      </c>
      <c r="C79" t="inlineStr">
        <is>
          <t>INE346A01027</t>
        </is>
      </c>
      <c r="D79" t="inlineStr">
        <is>
          <t>Capital Markets</t>
        </is>
      </c>
      <c r="E79" t="n">
        <v>121911</v>
      </c>
      <c r="F79" t="n">
        <v>3244.17</v>
      </c>
      <c r="G79" t="n">
        <v>0.63</v>
      </c>
      <c r="H79" t="inlineStr">
        <is>
          <t>Large Cap</t>
        </is>
      </c>
    </row>
    <row r="80">
      <c r="B80" t="inlineStr">
        <is>
          <t>Trent Ltd</t>
        </is>
      </c>
      <c r="C80" t="inlineStr">
        <is>
          <t>INE849A01020</t>
        </is>
      </c>
      <c r="D80" t="inlineStr">
        <is>
          <t>Retailing</t>
        </is>
      </c>
      <c r="E80" t="n">
        <v>74697</v>
      </c>
      <c r="F80" t="n">
        <v>3196.28</v>
      </c>
      <c r="G80" t="n">
        <v>0.62</v>
      </c>
      <c r="H80" t="inlineStr">
        <is>
          <t>Large Cap</t>
        </is>
      </c>
    </row>
    <row r="81">
      <c r="B81" t="inlineStr">
        <is>
          <t>National Aluminium Co Ltd</t>
        </is>
      </c>
      <c r="C81" t="inlineStr">
        <is>
          <t>INE139A01034</t>
        </is>
      </c>
      <c r="D81" t="inlineStr">
        <is>
          <t>Non - Ferrous Metals</t>
        </is>
      </c>
      <c r="E81" t="n">
        <v>1000000</v>
      </c>
      <c r="F81" t="n">
        <v>3143</v>
      </c>
      <c r="G81" t="n">
        <v>0.61</v>
      </c>
      <c r="H81" t="inlineStr">
        <is>
          <t>Mid Cap</t>
        </is>
      </c>
    </row>
    <row r="82">
      <c r="B82" t="inlineStr">
        <is>
          <t>PI Industries Ltd</t>
        </is>
      </c>
      <c r="C82" t="inlineStr">
        <is>
          <t>INE603J01030</t>
        </is>
      </c>
      <c r="D82" t="inlineStr">
        <is>
          <t>Fertilizers &amp; Agrochemicals</t>
        </is>
      </c>
      <c r="E82" t="n">
        <v>96709</v>
      </c>
      <c r="F82" t="n">
        <v>3131.63</v>
      </c>
      <c r="G82" t="n">
        <v>0.61</v>
      </c>
      <c r="H82" t="inlineStr">
        <is>
          <t>Mid Cap</t>
        </is>
      </c>
    </row>
    <row r="83">
      <c r="B83" t="inlineStr">
        <is>
          <t>BSE Ltd</t>
        </is>
      </c>
      <c r="C83" t="inlineStr">
        <is>
          <t>INE118H01025</t>
        </is>
      </c>
      <c r="D83" t="inlineStr">
        <is>
          <t>Capital Markets</t>
        </is>
      </c>
      <c r="E83" t="n">
        <v>117500</v>
      </c>
      <c r="F83" t="n">
        <v>3092.84</v>
      </c>
      <c r="G83" t="n">
        <v>0.6</v>
      </c>
      <c r="H83" t="inlineStr">
        <is>
          <t>Mid Cap</t>
        </is>
      </c>
    </row>
    <row r="84">
      <c r="B84" t="inlineStr">
        <is>
          <t>Jyothy Labs Ltd</t>
        </is>
      </c>
      <c r="C84" t="inlineStr">
        <is>
          <t>INE668F01031</t>
        </is>
      </c>
      <c r="D84" t="inlineStr">
        <is>
          <t>Household Products</t>
        </is>
      </c>
      <c r="E84" t="n">
        <v>1060000</v>
      </c>
      <c r="F84" t="n">
        <v>2996.09</v>
      </c>
      <c r="G84" t="n">
        <v>0.58</v>
      </c>
      <c r="H84" t="inlineStr">
        <is>
          <t>Small Cap</t>
        </is>
      </c>
    </row>
    <row r="85">
      <c r="B85" t="inlineStr">
        <is>
          <t>Westlife Foodworld Ltd</t>
        </is>
      </c>
      <c r="C85" t="inlineStr">
        <is>
          <t>INE274F01020</t>
        </is>
      </c>
      <c r="D85" t="inlineStr">
        <is>
          <t>Leisure Services</t>
        </is>
      </c>
      <c r="E85" t="n">
        <v>533644</v>
      </c>
      <c r="F85" t="n">
        <v>2991.34</v>
      </c>
      <c r="G85" t="n">
        <v>0.58</v>
      </c>
      <c r="H85" t="inlineStr">
        <is>
          <t>Small Cap</t>
        </is>
      </c>
    </row>
    <row r="86">
      <c r="B86" t="inlineStr">
        <is>
          <t>Deepak Nitrite Ltd</t>
        </is>
      </c>
      <c r="C86" t="inlineStr">
        <is>
          <t>INE288B01029</t>
        </is>
      </c>
      <c r="D86" t="inlineStr">
        <is>
          <t>Chemicals &amp; Petrochemicals</t>
        </is>
      </c>
      <c r="E86" t="n">
        <v>166324</v>
      </c>
      <c r="F86" t="n">
        <v>2880.23</v>
      </c>
      <c r="G86" t="n">
        <v>0.5600000000000001</v>
      </c>
      <c r="H86" t="inlineStr">
        <is>
          <t>Small Cap</t>
        </is>
      </c>
    </row>
    <row r="87">
      <c r="B87" t="inlineStr">
        <is>
          <t>Kajaria Ceramics Ltd</t>
        </is>
      </c>
      <c r="C87" t="inlineStr">
        <is>
          <t>INE217B01036</t>
        </is>
      </c>
      <c r="D87" t="inlineStr">
        <is>
          <t>Consumer Durables</t>
        </is>
      </c>
      <c r="E87" t="n">
        <v>285374</v>
      </c>
      <c r="F87" t="n">
        <v>2763.85</v>
      </c>
      <c r="G87" t="n">
        <v>0.54</v>
      </c>
      <c r="H87" t="inlineStr">
        <is>
          <t>Small Cap</t>
        </is>
      </c>
    </row>
    <row r="88">
      <c r="B88" t="inlineStr">
        <is>
          <t>Sagility Ltd</t>
        </is>
      </c>
      <c r="C88" t="inlineStr">
        <is>
          <t>INE0W2G01015</t>
        </is>
      </c>
      <c r="D88" t="inlineStr">
        <is>
          <t>IT - Services</t>
        </is>
      </c>
      <c r="E88" t="n">
        <v>5278904</v>
      </c>
      <c r="F88" t="n">
        <v>2746.09</v>
      </c>
      <c r="G88" t="n">
        <v>0.53</v>
      </c>
      <c r="H88" t="inlineStr">
        <is>
          <t>Small Cap</t>
        </is>
      </c>
    </row>
    <row r="89">
      <c r="B89" t="inlineStr">
        <is>
          <t>Equitas Small Finance Bank Ltd</t>
        </is>
      </c>
      <c r="C89" t="inlineStr">
        <is>
          <t>INE063P01018</t>
        </is>
      </c>
      <c r="D89" t="inlineStr">
        <is>
          <t>Banks</t>
        </is>
      </c>
      <c r="E89" t="n">
        <v>4345287</v>
      </c>
      <c r="F89" t="n">
        <v>2737.1</v>
      </c>
      <c r="G89" t="n">
        <v>0.53</v>
      </c>
      <c r="H89" t="inlineStr">
        <is>
          <t>Small Cap</t>
        </is>
      </c>
    </row>
    <row r="90">
      <c r="B90" t="inlineStr">
        <is>
          <t>Praj Industries Ltd</t>
        </is>
      </c>
      <c r="C90" t="inlineStr">
        <is>
          <t>INE074A01025</t>
        </is>
      </c>
      <c r="D90" t="inlineStr">
        <is>
          <t>Industrial Manufacturing</t>
        </is>
      </c>
      <c r="E90" t="n">
        <v>841741</v>
      </c>
      <c r="F90" t="n">
        <v>2715.46</v>
      </c>
      <c r="G90" t="n">
        <v>0.53</v>
      </c>
      <c r="H90" t="inlineStr">
        <is>
          <t>Small Cap</t>
        </is>
      </c>
    </row>
    <row r="91">
      <c r="B91" t="inlineStr">
        <is>
          <t>LG Electronics India Ltd</t>
        </is>
      </c>
      <c r="C91" t="inlineStr">
        <is>
          <t>INE324D01010</t>
        </is>
      </c>
      <c r="D91" t="inlineStr">
        <is>
          <t>Consumer Durables</t>
        </is>
      </c>
      <c r="E91" t="n">
        <v>165646</v>
      </c>
      <c r="F91" t="n">
        <v>2520.14</v>
      </c>
      <c r="G91" t="n">
        <v>0.49</v>
      </c>
      <c r="H91" t="inlineStr">
        <is>
          <t>Large Cap</t>
        </is>
      </c>
    </row>
    <row r="92">
      <c r="B92" t="inlineStr">
        <is>
          <t>Tenneco Clean Air India Ltd</t>
        </is>
      </c>
      <c r="C92" t="inlineStr">
        <is>
          <t>INE19RI01016</t>
        </is>
      </c>
      <c r="D92" t="inlineStr">
        <is>
          <t>Auto Components</t>
        </is>
      </c>
      <c r="E92" t="n">
        <v>474604</v>
      </c>
      <c r="F92" t="n">
        <v>2410.51</v>
      </c>
      <c r="G92" t="n">
        <v>0.47</v>
      </c>
      <c r="H92" t="inlineStr">
        <is>
          <t>Small Cap</t>
        </is>
      </c>
    </row>
    <row r="93">
      <c r="B93" t="inlineStr">
        <is>
          <t>Abbott India Ltd</t>
        </is>
      </c>
      <c r="C93" t="inlineStr">
        <is>
          <t>INE358A01014</t>
        </is>
      </c>
      <c r="D93" t="inlineStr">
        <is>
          <t>Pharmaceuticals &amp; Biotechnology</t>
        </is>
      </c>
      <c r="E93" t="n">
        <v>7930</v>
      </c>
      <c r="F93" t="n">
        <v>2301.68</v>
      </c>
      <c r="G93" t="n">
        <v>0.45</v>
      </c>
      <c r="H93" t="inlineStr">
        <is>
          <t>Mid Cap</t>
        </is>
      </c>
    </row>
    <row r="94">
      <c r="B94" t="inlineStr">
        <is>
          <t>CRISIL Ltd</t>
        </is>
      </c>
      <c r="C94" t="inlineStr">
        <is>
          <t>INE007A01025</t>
        </is>
      </c>
      <c r="D94" t="inlineStr">
        <is>
          <t>Finance</t>
        </is>
      </c>
      <c r="E94" t="n">
        <v>52976</v>
      </c>
      <c r="F94" t="n">
        <v>2289.41</v>
      </c>
      <c r="G94" t="n">
        <v>0.44</v>
      </c>
      <c r="H94" t="inlineStr">
        <is>
          <t>Mid Cap</t>
        </is>
      </c>
    </row>
    <row r="95">
      <c r="B95" t="inlineStr">
        <is>
          <t>Schaeffler India Ltd</t>
        </is>
      </c>
      <c r="C95" t="inlineStr">
        <is>
          <t>INE513A01022</t>
        </is>
      </c>
      <c r="D95" t="inlineStr">
        <is>
          <t>Auto Components</t>
        </is>
      </c>
      <c r="E95" t="n">
        <v>55188</v>
      </c>
      <c r="F95" t="n">
        <v>2140.74</v>
      </c>
      <c r="G95" t="n">
        <v>0.42</v>
      </c>
      <c r="H95" t="inlineStr">
        <is>
          <t>Mid Cap</t>
        </is>
      </c>
    </row>
    <row r="96">
      <c r="B96" t="inlineStr">
        <is>
          <t>Interglobe Aviation Ltd</t>
        </is>
      </c>
      <c r="C96" t="inlineStr">
        <is>
          <t>INE646L01027</t>
        </is>
      </c>
      <c r="D96" t="inlineStr">
        <is>
          <t>Transport Services</t>
        </is>
      </c>
      <c r="E96" t="n">
        <v>40853</v>
      </c>
      <c r="F96" t="n">
        <v>2066.96</v>
      </c>
      <c r="G96" t="n">
        <v>0.4</v>
      </c>
      <c r="H96" t="inlineStr">
        <is>
          <t>Large Cap</t>
        </is>
      </c>
    </row>
    <row r="97">
      <c r="B97" t="inlineStr">
        <is>
          <t>Piramal Pharma Ltd</t>
        </is>
      </c>
      <c r="C97" t="inlineStr">
        <is>
          <t>INE0DK501011</t>
        </is>
      </c>
      <c r="D97" t="inlineStr">
        <is>
          <t>Pharmaceuticals &amp; Biotechnology</t>
        </is>
      </c>
      <c r="E97" t="n">
        <v>1133946</v>
      </c>
      <c r="F97" t="n">
        <v>1952.77</v>
      </c>
      <c r="G97" t="n">
        <v>0.38</v>
      </c>
      <c r="H97" t="inlineStr">
        <is>
          <t>Small Cap</t>
        </is>
      </c>
    </row>
    <row r="98">
      <c r="B98" t="inlineStr">
        <is>
          <t>United Breweries Ltd</t>
        </is>
      </c>
      <c r="C98" t="inlineStr">
        <is>
          <t>INE686F01025</t>
        </is>
      </c>
      <c r="D98" t="inlineStr">
        <is>
          <t>Beverages</t>
        </is>
      </c>
      <c r="E98" t="n">
        <v>110887</v>
      </c>
      <c r="F98" t="n">
        <v>1798.25</v>
      </c>
      <c r="G98" t="n">
        <v>0.35</v>
      </c>
      <c r="H98" t="inlineStr">
        <is>
          <t>Mid Cap</t>
        </is>
      </c>
    </row>
    <row r="99">
      <c r="B99" t="inlineStr">
        <is>
          <t>Blue Star Ltd</t>
        </is>
      </c>
      <c r="C99" t="inlineStr">
        <is>
          <t>INE472A01039</t>
        </is>
      </c>
      <c r="D99" t="inlineStr">
        <is>
          <t>Consumer Durables</t>
        </is>
      </c>
      <c r="E99" t="n">
        <v>94854</v>
      </c>
      <c r="F99" t="n">
        <v>1641.64</v>
      </c>
      <c r="G99" t="n">
        <v>0.32</v>
      </c>
      <c r="H99" t="inlineStr">
        <is>
          <t>Mid Cap</t>
        </is>
      </c>
    </row>
    <row r="100">
      <c r="B100" t="inlineStr">
        <is>
          <t>Persistent Systems Ltd</t>
        </is>
      </c>
      <c r="C100" t="inlineStr">
        <is>
          <t>INE262H01021</t>
        </is>
      </c>
      <c r="D100" t="inlineStr">
        <is>
          <t>IT - Software</t>
        </is>
      </c>
      <c r="E100" t="n">
        <v>25000</v>
      </c>
      <c r="F100" t="n">
        <v>1568</v>
      </c>
      <c r="G100" t="n">
        <v>0.3</v>
      </c>
      <c r="H100" t="inlineStr">
        <is>
          <t>Mid Cap</t>
        </is>
      </c>
    </row>
    <row r="101">
      <c r="B101" t="inlineStr">
        <is>
          <t>Phoenix Mills Ltd</t>
        </is>
      </c>
      <c r="C101" t="inlineStr">
        <is>
          <t>INE211B01039</t>
        </is>
      </c>
      <c r="D101" t="inlineStr">
        <is>
          <t>Realty</t>
        </is>
      </c>
      <c r="E101" t="n">
        <v>83700</v>
      </c>
      <c r="F101" t="n">
        <v>1551.38</v>
      </c>
      <c r="G101" t="n">
        <v>0.3</v>
      </c>
      <c r="H101" t="inlineStr">
        <is>
          <t>Mid Cap</t>
        </is>
      </c>
    </row>
    <row r="102">
      <c r="B102" t="inlineStr">
        <is>
          <t>CCL Products (India) Ltd</t>
        </is>
      </c>
      <c r="C102" t="inlineStr">
        <is>
          <t>INE421D01022</t>
        </is>
      </c>
      <c r="D102" t="inlineStr">
        <is>
          <t>Agricultural Food &amp; Other Products</t>
        </is>
      </c>
      <c r="E102" t="n">
        <v>143293</v>
      </c>
      <c r="F102" t="n">
        <v>1352.97</v>
      </c>
      <c r="G102" t="n">
        <v>0.26</v>
      </c>
      <c r="H102" t="inlineStr">
        <is>
          <t>Small Cap</t>
        </is>
      </c>
    </row>
    <row r="103">
      <c r="B103" t="inlineStr">
        <is>
          <t>ZF Commercial Vehicle Control Systems India Ltd</t>
        </is>
      </c>
      <c r="C103" t="inlineStr">
        <is>
          <t>INE342J01019</t>
        </is>
      </c>
      <c r="D103" t="inlineStr">
        <is>
          <t>Auto Components</t>
        </is>
      </c>
      <c r="E103" t="n">
        <v>8308</v>
      </c>
      <c r="F103" t="n">
        <v>1236.06</v>
      </c>
      <c r="G103" t="n">
        <v>0.24</v>
      </c>
      <c r="H103" t="inlineStr">
        <is>
          <t>Small Cap</t>
        </is>
      </c>
    </row>
    <row r="104">
      <c r="B104" t="inlineStr">
        <is>
          <t>Torrent Power Ltd</t>
        </is>
      </c>
      <c r="C104" t="inlineStr">
        <is>
          <t>INE813H01021</t>
        </is>
      </c>
      <c r="D104" t="inlineStr">
        <is>
          <t>Power</t>
        </is>
      </c>
      <c r="E104" t="n">
        <v>74900</v>
      </c>
      <c r="F104" t="n">
        <v>978.72</v>
      </c>
      <c r="G104" t="n">
        <v>0.19</v>
      </c>
      <c r="H104" t="inlineStr">
        <is>
          <t>Mid Cap</t>
        </is>
      </c>
    </row>
    <row r="105">
      <c r="B105" t="inlineStr">
        <is>
          <t>Creditaccess Grameen Ltd</t>
        </is>
      </c>
      <c r="C105" t="inlineStr">
        <is>
          <t>INE741K01010</t>
        </is>
      </c>
      <c r="D105" t="inlineStr">
        <is>
          <t>Finance</t>
        </is>
      </c>
      <c r="E105" t="n">
        <v>64964</v>
      </c>
      <c r="F105" t="n">
        <v>827.38</v>
      </c>
      <c r="G105" t="n">
        <v>0.16</v>
      </c>
      <c r="H105" t="inlineStr">
        <is>
          <t>Small Cap</t>
        </is>
      </c>
    </row>
    <row r="106">
      <c r="B106" t="inlineStr">
        <is>
          <t>L&amp;T Technology Services Ltd</t>
        </is>
      </c>
      <c r="C106" t="inlineStr">
        <is>
          <t>INE010V01017</t>
        </is>
      </c>
      <c r="D106" t="inlineStr">
        <is>
          <t>IT - Services</t>
        </is>
      </c>
      <c r="E106" t="n">
        <v>15000</v>
      </c>
      <c r="F106" t="n">
        <v>669.33</v>
      </c>
      <c r="G106" t="n">
        <v>0.13</v>
      </c>
      <c r="H106" t="inlineStr">
        <is>
          <t>Mid Cap</t>
        </is>
      </c>
    </row>
    <row r="107">
      <c r="B107" t="inlineStr">
        <is>
          <t>Sub Total</t>
        </is>
      </c>
      <c r="F107">
        <f>SUM(F7:F106)</f>
        <v/>
      </c>
      <c r="G107">
        <f>SUM(G7:G106)</f>
        <v/>
      </c>
    </row>
    <row r="108">
      <c r="B108" t="inlineStr">
        <is>
          <t>Total</t>
        </is>
      </c>
      <c r="F108">
        <f>F107</f>
        <v/>
      </c>
      <c r="G108">
        <f>G107</f>
        <v/>
      </c>
    </row>
    <row r="109">
      <c r="B109" t="inlineStr">
        <is>
          <t>Debt Instruments</t>
        </is>
      </c>
    </row>
    <row r="110">
      <c r="B110" t="inlineStr">
        <is>
          <t>(a) Listed / awaiting listing on Stock Exchanges</t>
        </is>
      </c>
    </row>
    <row r="111">
      <c r="B111" t="inlineStr">
        <is>
          <t>6.00% TVS Motor Co Ltd NCRPS **</t>
        </is>
      </c>
      <c r="C111" t="inlineStr">
        <is>
          <t>INE494B04019</t>
        </is>
      </c>
      <c r="D111" t="inlineStr">
        <is>
          <t>CARE A1+</t>
        </is>
      </c>
      <c r="E111" t="n">
        <v>732000</v>
      </c>
      <c r="F111" t="n">
        <v>74.56</v>
      </c>
      <c r="G111" t="n">
        <v>0.01</v>
      </c>
      <c r="I111" t="n">
        <v>6.105</v>
      </c>
    </row>
    <row r="112">
      <c r="B112" t="inlineStr">
        <is>
          <t>Sub Total</t>
        </is>
      </c>
      <c r="F112" t="n">
        <v>74.56</v>
      </c>
      <c r="G112" t="n">
        <v>0.01</v>
      </c>
    </row>
    <row r="113">
      <c r="B113" t="inlineStr">
        <is>
          <t>Total</t>
        </is>
      </c>
      <c r="F113" t="n">
        <v>74.56</v>
      </c>
      <c r="G113" t="n">
        <v>0.01</v>
      </c>
    </row>
    <row r="114">
      <c r="B114" t="inlineStr">
        <is>
          <t>TREPS</t>
        </is>
      </c>
    </row>
    <row r="115">
      <c r="B115" t="inlineStr">
        <is>
          <t>TREPS</t>
        </is>
      </c>
      <c r="F115" t="n">
        <v>19395.11</v>
      </c>
      <c r="G115" t="n">
        <v>3.76</v>
      </c>
    </row>
    <row r="116">
      <c r="B116" t="inlineStr">
        <is>
          <t>Sub Total</t>
        </is>
      </c>
      <c r="F116">
        <f>SUM(F114:F115)</f>
        <v/>
      </c>
      <c r="G116">
        <f>SUM(G114:G115)</f>
        <v/>
      </c>
    </row>
    <row r="117">
      <c r="B117" t="inlineStr">
        <is>
          <t>Total</t>
        </is>
      </c>
      <c r="F117">
        <f>F116</f>
        <v/>
      </c>
      <c r="G117">
        <f>G116</f>
        <v/>
      </c>
    </row>
    <row r="118">
      <c r="B118" t="inlineStr">
        <is>
          <t>Net Receivables / (Payables)</t>
        </is>
      </c>
      <c r="F118">
        <f>F119-(+F108+F117+F113)</f>
        <v/>
      </c>
      <c r="G118">
        <f>G119-(+G108+G117+G113)</f>
        <v/>
      </c>
    </row>
    <row r="119">
      <c r="B119" t="inlineStr">
        <is>
          <t>Grand Total</t>
        </is>
      </c>
      <c r="F119" t="n">
        <v>515744.35</v>
      </c>
      <c r="G119" t="n">
        <v>100</v>
      </c>
    </row>
    <row r="120"/>
    <row r="121"/>
    <row r="122">
      <c r="B122" t="inlineStr">
        <is>
          <t>Residual Maturity</t>
        </is>
      </c>
      <c r="C122" t="inlineStr">
        <is>
          <t>0.0027 Years</t>
        </is>
      </c>
    </row>
    <row r="123"/>
    <row r="124">
      <c r="B124" t="inlineStr">
        <is>
          <t>** Non Traded Security</t>
        </is>
      </c>
    </row>
    <row r="125"/>
    <row r="126">
      <c r="B126" t="inlineStr">
        <is>
          <t>Please refer the below link for the performance of the Schemes managed by Canara Robeco Mutual Fund</t>
        </is>
      </c>
    </row>
    <row r="127"/>
    <row r="128">
      <c r="B128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CONSERVATIVE HYBRID FUND</t>
        </is>
      </c>
    </row>
    <row r="2"/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190064</v>
      </c>
      <c r="F7" t="n">
        <v>1883.91</v>
      </c>
      <c r="G7" t="n">
        <v>2.07</v>
      </c>
      <c r="H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114914</v>
      </c>
      <c r="F8" t="n">
        <v>1543.18</v>
      </c>
      <c r="G8" t="n">
        <v>1.69</v>
      </c>
      <c r="H8" t="inlineStr">
        <is>
          <t>Large Cap</t>
        </is>
      </c>
    </row>
    <row r="9">
      <c r="B9" t="inlineStr">
        <is>
          <t>Bajaj Finance Ltd</t>
        </is>
      </c>
      <c r="C9" t="inlineStr">
        <is>
          <t>INE296A01032</t>
        </is>
      </c>
      <c r="D9" t="inlineStr">
        <is>
          <t>Finance</t>
        </is>
      </c>
      <c r="E9" t="n">
        <v>119000</v>
      </c>
      <c r="F9" t="n">
        <v>1174.29</v>
      </c>
      <c r="G9" t="n">
        <v>1.29</v>
      </c>
      <c r="H9" t="inlineStr">
        <is>
          <t>Large Cap</t>
        </is>
      </c>
    </row>
    <row r="10">
      <c r="B10" t="inlineStr">
        <is>
          <t>Larsen &amp; Toubro Ltd</t>
        </is>
      </c>
      <c r="C10" t="inlineStr">
        <is>
          <t>INE018A01030</t>
        </is>
      </c>
      <c r="D10" t="inlineStr">
        <is>
          <t>Construction</t>
        </is>
      </c>
      <c r="E10" t="n">
        <v>24080</v>
      </c>
      <c r="F10" t="n">
        <v>983.3099999999999</v>
      </c>
      <c r="G10" t="n">
        <v>1.08</v>
      </c>
      <c r="H10" t="inlineStr">
        <is>
          <t>Large Cap</t>
        </is>
      </c>
    </row>
    <row r="11">
      <c r="B11" t="inlineStr">
        <is>
          <t>Infosys Ltd</t>
        </is>
      </c>
      <c r="C11" t="inlineStr">
        <is>
          <t>INE009A01021</t>
        </is>
      </c>
      <c r="D11" t="inlineStr">
        <is>
          <t>IT - Software</t>
        </is>
      </c>
      <c r="E11" t="n">
        <v>57293</v>
      </c>
      <c r="F11" t="n">
        <v>925.51</v>
      </c>
      <c r="G11" t="n">
        <v>1.02</v>
      </c>
      <c r="H11" t="inlineStr">
        <is>
          <t>Large Cap</t>
        </is>
      </c>
    </row>
    <row r="12">
      <c r="B12" t="inlineStr">
        <is>
          <t>Reliance Industries Ltd</t>
        </is>
      </c>
      <c r="C12" t="inlineStr">
        <is>
          <t>INE002A01018</t>
        </is>
      </c>
      <c r="D12" t="inlineStr">
        <is>
          <t>Petroleum Products</t>
        </is>
      </c>
      <c r="E12" t="n">
        <v>54900</v>
      </c>
      <c r="F12" t="n">
        <v>862.15</v>
      </c>
      <c r="G12" t="n">
        <v>0.95</v>
      </c>
      <c r="H12" t="inlineStr">
        <is>
          <t>Large Cap</t>
        </is>
      </c>
    </row>
    <row r="13">
      <c r="B13" t="inlineStr">
        <is>
          <t>J.B. Chemicals &amp; Pharmaceuticals Ltd</t>
        </is>
      </c>
      <c r="C13" t="inlineStr">
        <is>
          <t>INE572A01036</t>
        </is>
      </c>
      <c r="D13" t="inlineStr">
        <is>
          <t>Pharmaceuticals &amp; Biotechnology</t>
        </is>
      </c>
      <c r="E13" t="n">
        <v>45000</v>
      </c>
      <c r="F13" t="n">
        <v>818.87</v>
      </c>
      <c r="G13" t="n">
        <v>0.9</v>
      </c>
      <c r="H13" t="inlineStr">
        <is>
          <t>Small Cap</t>
        </is>
      </c>
      <c r="L13" t="inlineStr">
        <is>
          <t>Benchmark: CRISIL Hybrid 85+15 - Conservative Index</t>
        </is>
      </c>
    </row>
    <row r="14">
      <c r="B14" t="inlineStr">
        <is>
          <t>Global Health Ltd</t>
        </is>
      </c>
      <c r="C14" t="inlineStr">
        <is>
          <t>INE474Q01031</t>
        </is>
      </c>
      <c r="D14" t="inlineStr">
        <is>
          <t>Healthcare Services</t>
        </is>
      </c>
      <c r="E14" t="n">
        <v>63311</v>
      </c>
      <c r="F14" t="n">
        <v>751.12</v>
      </c>
      <c r="G14" t="n">
        <v>0.82</v>
      </c>
      <c r="H14" t="inlineStr">
        <is>
          <t>Mid Cap</t>
        </is>
      </c>
    </row>
    <row r="15">
      <c r="B15" t="inlineStr">
        <is>
          <t>Britannia Industries Ltd</t>
        </is>
      </c>
      <c r="C15" t="inlineStr">
        <is>
          <t>INE216A01030</t>
        </is>
      </c>
      <c r="D15" t="inlineStr">
        <is>
          <t>Food Products</t>
        </is>
      </c>
      <c r="E15" t="n">
        <v>12000</v>
      </c>
      <c r="F15" t="n">
        <v>723.72</v>
      </c>
      <c r="G15" t="n">
        <v>0.79</v>
      </c>
      <c r="H15" t="inlineStr">
        <is>
          <t>Large Cap</t>
        </is>
      </c>
    </row>
    <row r="16">
      <c r="B16" t="inlineStr">
        <is>
          <t>Chalet Hotels Ltd</t>
        </is>
      </c>
      <c r="C16" t="inlineStr">
        <is>
          <t>INE427F01016</t>
        </is>
      </c>
      <c r="D16" t="inlineStr">
        <is>
          <t>Leisure Services</t>
        </is>
      </c>
      <c r="E16" t="n">
        <v>77007</v>
      </c>
      <c r="F16" t="n">
        <v>670.38</v>
      </c>
      <c r="G16" t="n">
        <v>0.74</v>
      </c>
      <c r="H16" t="inlineStr">
        <is>
          <t>Small Cap</t>
        </is>
      </c>
    </row>
    <row r="17">
      <c r="B17" t="inlineStr">
        <is>
          <t>Ltimindtree Ltd</t>
        </is>
      </c>
      <c r="C17" t="inlineStr">
        <is>
          <t>INE214T01019</t>
        </is>
      </c>
      <c r="D17" t="inlineStr">
        <is>
          <t>IT - Software</t>
        </is>
      </c>
      <c r="E17" t="n">
        <v>10500</v>
      </c>
      <c r="F17" t="n">
        <v>636.67</v>
      </c>
      <c r="G17" t="n">
        <v>0.7</v>
      </c>
      <c r="H17" t="inlineStr">
        <is>
          <t>Large Cap</t>
        </is>
      </c>
    </row>
    <row r="18">
      <c r="B18" t="inlineStr">
        <is>
          <t>Mrs Bectors Food Specialities Ltd</t>
        </is>
      </c>
      <c r="C18" t="inlineStr">
        <is>
          <t>INE495P01020</t>
        </is>
      </c>
      <c r="D18" t="inlineStr">
        <is>
          <t>Food Products</t>
        </is>
      </c>
      <c r="E18" t="n">
        <v>266605</v>
      </c>
      <c r="F18" t="n">
        <v>614.26</v>
      </c>
      <c r="G18" t="n">
        <v>0.67</v>
      </c>
      <c r="H18" t="inlineStr">
        <is>
          <t>Small Cap</t>
        </is>
      </c>
    </row>
    <row r="19">
      <c r="B19" t="inlineStr">
        <is>
          <t>Varun Beverages Ltd</t>
        </is>
      </c>
      <c r="C19" t="inlineStr">
        <is>
          <t>INE200M01039</t>
        </is>
      </c>
      <c r="D19" t="inlineStr">
        <is>
          <t>Beverages</t>
        </is>
      </c>
      <c r="E19" t="n">
        <v>124000</v>
      </c>
      <c r="F19" t="n">
        <v>607.41</v>
      </c>
      <c r="G19" t="n">
        <v>0.67</v>
      </c>
      <c r="H19" t="inlineStr">
        <is>
          <t>Large Cap</t>
        </is>
      </c>
    </row>
    <row r="20">
      <c r="B20" t="inlineStr">
        <is>
          <t>Dr. Lal Path Labs Ltd</t>
        </is>
      </c>
      <c r="C20" t="inlineStr">
        <is>
          <t>INE600L01024</t>
        </is>
      </c>
      <c r="D20" t="inlineStr">
        <is>
          <t>Healthcare Services</t>
        </is>
      </c>
      <c r="E20" t="n">
        <v>37384</v>
      </c>
      <c r="F20" t="n">
        <v>554.26</v>
      </c>
      <c r="G20" t="n">
        <v>0.61</v>
      </c>
      <c r="H20" t="inlineStr">
        <is>
          <t>Small Cap</t>
        </is>
      </c>
    </row>
    <row r="21">
      <c r="B21" t="inlineStr">
        <is>
          <t>Interglobe Aviation Ltd</t>
        </is>
      </c>
      <c r="C21" t="inlineStr">
        <is>
          <t>INE646L01027</t>
        </is>
      </c>
      <c r="D21" t="inlineStr">
        <is>
          <t>Transport Services</t>
        </is>
      </c>
      <c r="E21" t="n">
        <v>10500</v>
      </c>
      <c r="F21" t="n">
        <v>531.25</v>
      </c>
      <c r="G21" t="n">
        <v>0.58</v>
      </c>
      <c r="H21" t="inlineStr">
        <is>
          <t>Large Cap</t>
        </is>
      </c>
    </row>
    <row r="22">
      <c r="B22" t="inlineStr">
        <is>
          <t>Avenue Supermarts Ltd</t>
        </is>
      </c>
      <c r="C22" t="inlineStr">
        <is>
          <t>INE192R01011</t>
        </is>
      </c>
      <c r="D22" t="inlineStr">
        <is>
          <t>Retailing</t>
        </is>
      </c>
      <c r="E22" t="n">
        <v>12800</v>
      </c>
      <c r="F22" t="n">
        <v>484.12</v>
      </c>
      <c r="G22" t="n">
        <v>0.53</v>
      </c>
      <c r="H22" t="inlineStr">
        <is>
          <t>Large Cap</t>
        </is>
      </c>
    </row>
    <row r="23">
      <c r="B23" t="inlineStr">
        <is>
          <t>Eternal Ltd</t>
        </is>
      </c>
      <c r="C23" t="inlineStr">
        <is>
          <t>INE758T01015</t>
        </is>
      </c>
      <c r="D23" t="inlineStr">
        <is>
          <t>Retailing</t>
        </is>
      </c>
      <c r="E23" t="n">
        <v>170000</v>
      </c>
      <c r="F23" t="n">
        <v>472.69</v>
      </c>
      <c r="G23" t="n">
        <v>0.52</v>
      </c>
      <c r="H23" t="inlineStr">
        <is>
          <t>Large Cap</t>
        </is>
      </c>
    </row>
    <row r="24">
      <c r="B24" t="inlineStr">
        <is>
          <t>Bharti Airtel Ltd</t>
        </is>
      </c>
      <c r="C24" t="inlineStr">
        <is>
          <t>INE397D01024</t>
        </is>
      </c>
      <c r="D24" t="inlineStr">
        <is>
          <t>Telecom - Services</t>
        </is>
      </c>
      <c r="E24" t="n">
        <v>22000</v>
      </c>
      <c r="F24" t="n">
        <v>463.23</v>
      </c>
      <c r="G24" t="n">
        <v>0.51</v>
      </c>
      <c r="H24" t="inlineStr">
        <is>
          <t>Large Cap</t>
        </is>
      </c>
    </row>
    <row r="25">
      <c r="B25" t="inlineStr">
        <is>
          <t>Bharat Electronics Ltd</t>
        </is>
      </c>
      <c r="C25" t="inlineStr">
        <is>
          <t>INE263A01024</t>
        </is>
      </c>
      <c r="D25" t="inlineStr">
        <is>
          <t>Aerospace &amp; Defense</t>
        </is>
      </c>
      <c r="E25" t="n">
        <v>110000</v>
      </c>
      <c r="F25" t="n">
        <v>439.56</v>
      </c>
      <c r="G25" t="n">
        <v>0.48</v>
      </c>
      <c r="H25" t="inlineStr">
        <is>
          <t>Large Cap</t>
        </is>
      </c>
    </row>
    <row r="26">
      <c r="B26" t="inlineStr">
        <is>
          <t>Aditya Birla Real Estate Ltd</t>
        </is>
      </c>
      <c r="C26" t="inlineStr">
        <is>
          <t>INE055A01016</t>
        </is>
      </c>
      <c r="D26" t="inlineStr">
        <is>
          <t>Paper, Forest &amp; Jute Products</t>
        </is>
      </c>
      <c r="E26" t="n">
        <v>23800</v>
      </c>
      <c r="F26" t="n">
        <v>398.6</v>
      </c>
      <c r="G26" t="n">
        <v>0.44</v>
      </c>
      <c r="H26" t="inlineStr">
        <is>
          <t>Small Cap</t>
        </is>
      </c>
    </row>
    <row r="27">
      <c r="B27" t="inlineStr">
        <is>
          <t>Torrent Pharmaceuticals Ltd</t>
        </is>
      </c>
      <c r="C27" t="inlineStr">
        <is>
          <t>INE685A01028</t>
        </is>
      </c>
      <c r="D27" t="inlineStr">
        <is>
          <t>Pharmaceuticals &amp; Biotechnology</t>
        </is>
      </c>
      <c r="E27" t="n">
        <v>10000</v>
      </c>
      <c r="F27" t="n">
        <v>385</v>
      </c>
      <c r="G27" t="n">
        <v>0.42</v>
      </c>
      <c r="H27" t="inlineStr">
        <is>
          <t>Large Cap</t>
        </is>
      </c>
    </row>
    <row r="28">
      <c r="B28" t="inlineStr">
        <is>
          <t>Mankind Pharma Ltd</t>
        </is>
      </c>
      <c r="C28" t="inlineStr">
        <is>
          <t>INE634S01028</t>
        </is>
      </c>
      <c r="D28" t="inlineStr">
        <is>
          <t>Pharmaceuticals &amp; Biotechnology</t>
        </is>
      </c>
      <c r="E28" t="n">
        <v>16100</v>
      </c>
      <c r="F28" t="n">
        <v>353.64</v>
      </c>
      <c r="G28" t="n">
        <v>0.39</v>
      </c>
      <c r="H28" t="inlineStr">
        <is>
          <t>Mid Cap</t>
        </is>
      </c>
    </row>
    <row r="29">
      <c r="B29" t="inlineStr">
        <is>
          <t>MOIL Ltd</t>
        </is>
      </c>
      <c r="C29" t="inlineStr">
        <is>
          <t>INE490G01020</t>
        </is>
      </c>
      <c r="D29" t="inlineStr">
        <is>
          <t>Minerals &amp; Mining</t>
        </is>
      </c>
      <c r="E29" t="n">
        <v>95000</v>
      </c>
      <c r="F29" t="n">
        <v>350.12</v>
      </c>
      <c r="G29" t="n">
        <v>0.38</v>
      </c>
      <c r="H29" t="inlineStr">
        <is>
          <t>Small Cap</t>
        </is>
      </c>
    </row>
    <row r="30">
      <c r="B30" t="inlineStr">
        <is>
          <t>Deepak Nitrite Ltd</t>
        </is>
      </c>
      <c r="C30" t="inlineStr">
        <is>
          <t>INE288B01029</t>
        </is>
      </c>
      <c r="D30" t="inlineStr">
        <is>
          <t>Chemicals &amp; Petrochemicals</t>
        </is>
      </c>
      <c r="E30" t="n">
        <v>20000</v>
      </c>
      <c r="F30" t="n">
        <v>346.34</v>
      </c>
      <c r="G30" t="n">
        <v>0.38</v>
      </c>
      <c r="H30" t="inlineStr">
        <is>
          <t>Small Cap</t>
        </is>
      </c>
    </row>
    <row r="31">
      <c r="B31" t="inlineStr">
        <is>
          <t>Axis Bank Ltd</t>
        </is>
      </c>
      <c r="C31" t="inlineStr">
        <is>
          <t>INE238A01034</t>
        </is>
      </c>
      <c r="D31" t="inlineStr">
        <is>
          <t>Banks</t>
        </is>
      </c>
      <c r="E31" t="n">
        <v>26500</v>
      </c>
      <c r="F31" t="n">
        <v>336.39</v>
      </c>
      <c r="G31" t="n">
        <v>0.37</v>
      </c>
      <c r="H31" t="inlineStr">
        <is>
          <t>Large Cap</t>
        </is>
      </c>
    </row>
    <row r="32">
      <c r="B32" t="inlineStr">
        <is>
          <t>Ge Vernova T&amp;D India Ltd</t>
        </is>
      </c>
      <c r="C32" t="inlineStr">
        <is>
          <t>INE200A01026</t>
        </is>
      </c>
      <c r="D32" t="inlineStr">
        <is>
          <t>Electrical Equipment</t>
        </is>
      </c>
      <c r="E32" t="n">
        <v>10500</v>
      </c>
      <c r="F32" t="n">
        <v>328.91</v>
      </c>
      <c r="G32" t="n">
        <v>0.36</v>
      </c>
      <c r="H32" t="inlineStr">
        <is>
          <t>Mid Cap</t>
        </is>
      </c>
    </row>
    <row r="33">
      <c r="B33" t="inlineStr">
        <is>
          <t>Max Healthcare Institute Ltd</t>
        </is>
      </c>
      <c r="C33" t="inlineStr">
        <is>
          <t>INE027H01010</t>
        </is>
      </c>
      <c r="D33" t="inlineStr">
        <is>
          <t>Healthcare Services</t>
        </is>
      </c>
      <c r="E33" t="n">
        <v>25000</v>
      </c>
      <c r="F33" t="n">
        <v>261.28</v>
      </c>
      <c r="G33" t="n">
        <v>0.29</v>
      </c>
      <c r="H33" t="inlineStr">
        <is>
          <t>Large Cap</t>
        </is>
      </c>
    </row>
    <row r="34">
      <c r="B34" t="inlineStr">
        <is>
          <t>Trent Ltd</t>
        </is>
      </c>
      <c r="C34" t="inlineStr">
        <is>
          <t>INE849A01020</t>
        </is>
      </c>
      <c r="D34" t="inlineStr">
        <is>
          <t>Retailing</t>
        </is>
      </c>
      <c r="E34" t="n">
        <v>6100</v>
      </c>
      <c r="F34" t="n">
        <v>261.02</v>
      </c>
      <c r="G34" t="n">
        <v>0.29</v>
      </c>
      <c r="H34" t="inlineStr">
        <is>
          <t>Large Cap</t>
        </is>
      </c>
    </row>
    <row r="35">
      <c r="B35" t="inlineStr">
        <is>
          <t>Home First Finance Co India Ltd</t>
        </is>
      </c>
      <c r="C35" t="inlineStr">
        <is>
          <t>INE481N01025</t>
        </is>
      </c>
      <c r="D35" t="inlineStr">
        <is>
          <t>Finance</t>
        </is>
      </c>
      <c r="E35" t="n">
        <v>23000</v>
      </c>
      <c r="F35" t="n">
        <v>253.51</v>
      </c>
      <c r="G35" t="n">
        <v>0.28</v>
      </c>
      <c r="H35" t="inlineStr">
        <is>
          <t>Small Cap</t>
        </is>
      </c>
    </row>
    <row r="36">
      <c r="B36" t="inlineStr">
        <is>
          <t>United Breweries Ltd</t>
        </is>
      </c>
      <c r="C36" t="inlineStr">
        <is>
          <t>INE686F01025</t>
        </is>
      </c>
      <c r="D36" t="inlineStr">
        <is>
          <t>Beverages</t>
        </is>
      </c>
      <c r="E36" t="n">
        <v>15000</v>
      </c>
      <c r="F36" t="n">
        <v>243.26</v>
      </c>
      <c r="G36" t="n">
        <v>0.27</v>
      </c>
      <c r="H36" t="inlineStr">
        <is>
          <t>Mid Cap</t>
        </is>
      </c>
    </row>
    <row r="37">
      <c r="B37" t="inlineStr">
        <is>
          <t>Titan Co Ltd</t>
        </is>
      </c>
      <c r="C37" t="inlineStr">
        <is>
          <t>INE280A01028</t>
        </is>
      </c>
      <c r="D37" t="inlineStr">
        <is>
          <t>Consumer Durables</t>
        </is>
      </c>
      <c r="E37" t="n">
        <v>6000</v>
      </c>
      <c r="F37" t="n">
        <v>243.09</v>
      </c>
      <c r="G37" t="n">
        <v>0.27</v>
      </c>
      <c r="H37" t="inlineStr">
        <is>
          <t>Large Cap</t>
        </is>
      </c>
    </row>
    <row r="38">
      <c r="B38" t="inlineStr">
        <is>
          <t>Crompton Greaves Consumer Electricals Ltd</t>
        </is>
      </c>
      <c r="C38" t="inlineStr">
        <is>
          <t>INE299U01018</t>
        </is>
      </c>
      <c r="D38" t="inlineStr">
        <is>
          <t>Consumer Durables</t>
        </is>
      </c>
      <c r="E38" t="n">
        <v>86000</v>
      </c>
      <c r="F38" t="n">
        <v>216.94</v>
      </c>
      <c r="G38" t="n">
        <v>0.24</v>
      </c>
      <c r="H38" t="inlineStr">
        <is>
          <t>Small Cap</t>
        </is>
      </c>
    </row>
    <row r="39">
      <c r="B39" t="inlineStr">
        <is>
          <t>Ultratech Cement Ltd</t>
        </is>
      </c>
      <c r="C39" t="inlineStr">
        <is>
          <t>INE481G01011</t>
        </is>
      </c>
      <c r="D39" t="inlineStr">
        <is>
          <t>Cement &amp; Cement Products</t>
        </is>
      </c>
      <c r="E39" t="n">
        <v>1800</v>
      </c>
      <c r="F39" t="n">
        <v>212.11</v>
      </c>
      <c r="G39" t="n">
        <v>0.23</v>
      </c>
      <c r="H39" t="inlineStr">
        <is>
          <t>Large Cap</t>
        </is>
      </c>
    </row>
    <row r="40">
      <c r="B40" t="inlineStr">
        <is>
          <t>Cera Sanitaryware Ltd</t>
        </is>
      </c>
      <c r="C40" t="inlineStr">
        <is>
          <t>INE739E01017</t>
        </is>
      </c>
      <c r="D40" t="inlineStr">
        <is>
          <t>Consumer Durables</t>
        </is>
      </c>
      <c r="E40" t="n">
        <v>3568</v>
      </c>
      <c r="F40" t="n">
        <v>186.8</v>
      </c>
      <c r="G40" t="n">
        <v>0.21</v>
      </c>
      <c r="H40" t="inlineStr">
        <is>
          <t>Small Cap</t>
        </is>
      </c>
    </row>
    <row r="41">
      <c r="B41" t="inlineStr">
        <is>
          <t>Info Edge (India) Ltd</t>
        </is>
      </c>
      <c r="C41" t="inlineStr">
        <is>
          <t>INE663F01032</t>
        </is>
      </c>
      <c r="D41" t="inlineStr">
        <is>
          <t>Retailing</t>
        </is>
      </c>
      <c r="E41" t="n">
        <v>14000</v>
      </c>
      <c r="F41" t="n">
        <v>186.7</v>
      </c>
      <c r="G41" t="n">
        <v>0.2</v>
      </c>
      <c r="H41" t="inlineStr">
        <is>
          <t>Mid Cap</t>
        </is>
      </c>
    </row>
    <row r="42">
      <c r="B42" t="inlineStr">
        <is>
          <t>Oberoi Realty Ltd</t>
        </is>
      </c>
      <c r="C42" t="inlineStr">
        <is>
          <t>INE093I01010</t>
        </is>
      </c>
      <c r="D42" t="inlineStr">
        <is>
          <t>Realty</t>
        </is>
      </c>
      <c r="E42" t="n">
        <v>11000</v>
      </c>
      <c r="F42" t="n">
        <v>183.77</v>
      </c>
      <c r="G42" t="n">
        <v>0.2</v>
      </c>
      <c r="H42" t="inlineStr">
        <is>
          <t>Mid Cap</t>
        </is>
      </c>
    </row>
    <row r="43">
      <c r="B43" t="inlineStr">
        <is>
          <t>Vedant Fashions Ltd</t>
        </is>
      </c>
      <c r="C43" t="inlineStr">
        <is>
          <t>INE825V01034</t>
        </is>
      </c>
      <c r="D43" t="inlineStr">
        <is>
          <t>Retailing</t>
        </is>
      </c>
      <c r="E43" t="n">
        <v>30000</v>
      </c>
      <c r="F43" t="n">
        <v>174.63</v>
      </c>
      <c r="G43" t="n">
        <v>0.19</v>
      </c>
      <c r="H43" t="inlineStr">
        <is>
          <t>Small Cap</t>
        </is>
      </c>
    </row>
    <row r="44">
      <c r="B44" t="inlineStr">
        <is>
          <t>Tata Power Co Ltd</t>
        </is>
      </c>
      <c r="C44" t="inlineStr">
        <is>
          <t>INE245A01021</t>
        </is>
      </c>
      <c r="D44" t="inlineStr">
        <is>
          <t>Power</t>
        </is>
      </c>
      <c r="E44" t="n">
        <v>45000</v>
      </c>
      <c r="F44" t="n">
        <v>170.82</v>
      </c>
      <c r="G44" t="n">
        <v>0.19</v>
      </c>
      <c r="H44" t="inlineStr">
        <is>
          <t>Large Cap</t>
        </is>
      </c>
    </row>
    <row r="45">
      <c r="B45" t="inlineStr">
        <is>
          <t>Titagarh Rail Systems Ltd</t>
        </is>
      </c>
      <c r="C45" t="inlineStr">
        <is>
          <t>INE615H01020</t>
        </is>
      </c>
      <c r="D45" t="inlineStr">
        <is>
          <t>Industrial Manufacturing</t>
        </is>
      </c>
      <c r="E45" t="n">
        <v>16300</v>
      </c>
      <c r="F45" t="n">
        <v>145.39</v>
      </c>
      <c r="G45" t="n">
        <v>0.16</v>
      </c>
      <c r="H45" t="inlineStr">
        <is>
          <t>Small Cap</t>
        </is>
      </c>
    </row>
    <row r="46">
      <c r="B46" t="inlineStr">
        <is>
          <t>Havells India Ltd</t>
        </is>
      </c>
      <c r="C46" t="inlineStr">
        <is>
          <t>INE176B01034</t>
        </is>
      </c>
      <c r="D46" t="inlineStr">
        <is>
          <t>Consumer Durables</t>
        </is>
      </c>
      <c r="E46" t="n">
        <v>10000</v>
      </c>
      <c r="F46" t="n">
        <v>142.49</v>
      </c>
      <c r="G46" t="n">
        <v>0.16</v>
      </c>
      <c r="H46" t="inlineStr">
        <is>
          <t>Mid Cap</t>
        </is>
      </c>
    </row>
    <row r="47">
      <c r="B47" t="inlineStr">
        <is>
          <t>Sub Total</t>
        </is>
      </c>
      <c r="F47">
        <f>SUM(F7:F46)</f>
        <v/>
      </c>
      <c r="G47">
        <f>SUM(G7:G46)</f>
        <v/>
      </c>
    </row>
    <row r="48">
      <c r="B48" t="inlineStr">
        <is>
          <t>Total</t>
        </is>
      </c>
      <c r="F48">
        <f>F47</f>
        <v/>
      </c>
      <c r="G48">
        <f>G47</f>
        <v/>
      </c>
    </row>
    <row r="49">
      <c r="B49" t="inlineStr">
        <is>
          <t>Debt Instruments</t>
        </is>
      </c>
    </row>
    <row r="50">
      <c r="B50" t="inlineStr">
        <is>
          <t>(a) Listed / awaiting listing on Stock Exchanges</t>
        </is>
      </c>
    </row>
    <row r="51">
      <c r="B51" t="inlineStr">
        <is>
          <t>7.54% Small Industries Development Bank Of India (12/01/2026) **</t>
        </is>
      </c>
      <c r="C51" t="inlineStr">
        <is>
          <t>INE556F08KF5</t>
        </is>
      </c>
      <c r="D51" t="inlineStr">
        <is>
          <t>ICRA AAA</t>
        </is>
      </c>
      <c r="E51" t="n">
        <v>500</v>
      </c>
      <c r="F51" t="n">
        <v>5002.05</v>
      </c>
      <c r="G51" t="n">
        <v>5.49</v>
      </c>
      <c r="I51" t="n">
        <v>6.14</v>
      </c>
    </row>
    <row r="52">
      <c r="B52" t="inlineStr">
        <is>
          <t>7.51% REC Ltd (31/07/2026) **</t>
        </is>
      </c>
      <c r="C52" t="inlineStr">
        <is>
          <t>INE020B08EI8</t>
        </is>
      </c>
      <c r="D52" t="inlineStr">
        <is>
          <t>CRISIL AAA</t>
        </is>
      </c>
      <c r="E52" t="n">
        <v>3500</v>
      </c>
      <c r="F52" t="n">
        <v>3509.63</v>
      </c>
      <c r="G52" t="n">
        <v>3.85</v>
      </c>
      <c r="I52" t="n">
        <v>6.8</v>
      </c>
    </row>
    <row r="53">
      <c r="B53" t="inlineStr">
        <is>
          <t>7.02% Bajaj Housing Finance Ltd (26/05/2028) **</t>
        </is>
      </c>
      <c r="C53" t="inlineStr">
        <is>
          <t>INE377Y07565</t>
        </is>
      </c>
      <c r="D53" t="inlineStr">
        <is>
          <t>CRISIL AAA</t>
        </is>
      </c>
      <c r="E53" t="n">
        <v>3000</v>
      </c>
      <c r="F53" t="n">
        <v>2994.75</v>
      </c>
      <c r="G53" t="n">
        <v>3.29</v>
      </c>
      <c r="I53" t="n">
        <v>7.08</v>
      </c>
    </row>
    <row r="54">
      <c r="B54" t="inlineStr">
        <is>
          <t>9.00% HDFC Bank Ltd (29/11/2028) **</t>
        </is>
      </c>
      <c r="C54" t="inlineStr">
        <is>
          <t>INE040A08AB1</t>
        </is>
      </c>
      <c r="D54" t="inlineStr">
        <is>
          <t>CRISIL AAA</t>
        </is>
      </c>
      <c r="E54" t="n">
        <v>250</v>
      </c>
      <c r="F54" t="n">
        <v>2622.09</v>
      </c>
      <c r="G54" t="n">
        <v>2.88</v>
      </c>
      <c r="I54" t="n">
        <v>7.07</v>
      </c>
    </row>
    <row r="55">
      <c r="B55" t="inlineStr">
        <is>
          <t>7.75% LIC Housing Finance Ltd (23/08/2029) **</t>
        </is>
      </c>
      <c r="C55" t="inlineStr">
        <is>
          <t>INE115A07QU9</t>
        </is>
      </c>
      <c r="D55" t="inlineStr">
        <is>
          <t>CRISIL AAA</t>
        </is>
      </c>
      <c r="E55" t="n">
        <v>2500</v>
      </c>
      <c r="F55" t="n">
        <v>2543.93</v>
      </c>
      <c r="G55" t="n">
        <v>2.79</v>
      </c>
      <c r="I55" t="n">
        <v>7.17</v>
      </c>
    </row>
    <row r="56">
      <c r="B56" t="inlineStr">
        <is>
          <t>7.68% LIC Housing Finance Ltd (29/05/2034) **</t>
        </is>
      </c>
      <c r="C56" t="inlineStr">
        <is>
          <t>INE115A07QR5</t>
        </is>
      </c>
      <c r="D56" t="inlineStr">
        <is>
          <t>CRISIL AAA</t>
        </is>
      </c>
      <c r="E56" t="n">
        <v>2500</v>
      </c>
      <c r="F56" t="n">
        <v>2539.49</v>
      </c>
      <c r="G56" t="n">
        <v>2.79</v>
      </c>
      <c r="I56" t="n">
        <v>7.41</v>
      </c>
    </row>
    <row r="57">
      <c r="B57" t="inlineStr">
        <is>
          <t>7.79% Small Industries Development Bank Of India (14/05/2027) **</t>
        </is>
      </c>
      <c r="C57" t="inlineStr">
        <is>
          <t>INE556F08KM1</t>
        </is>
      </c>
      <c r="D57" t="inlineStr">
        <is>
          <t>CRISIL AAA</t>
        </is>
      </c>
      <c r="E57" t="n">
        <v>2500</v>
      </c>
      <c r="F57" t="n">
        <v>2532.19</v>
      </c>
      <c r="G57" t="n">
        <v>2.78</v>
      </c>
      <c r="I57" t="n">
        <v>6.81</v>
      </c>
    </row>
    <row r="58">
      <c r="B58" t="inlineStr">
        <is>
          <t>7.42% Power Finance Corporation Ltd (15/04/2028) **</t>
        </is>
      </c>
      <c r="C58" t="inlineStr">
        <is>
          <t>INE134E08NL6</t>
        </is>
      </c>
      <c r="D58" t="inlineStr">
        <is>
          <t>CRISIL AAA</t>
        </is>
      </c>
      <c r="E58" t="n">
        <v>2500</v>
      </c>
      <c r="F58" t="n">
        <v>2529.77</v>
      </c>
      <c r="G58" t="n">
        <v>2.78</v>
      </c>
      <c r="I58" t="n">
        <v>6.84</v>
      </c>
    </row>
    <row r="59">
      <c r="B59" t="inlineStr">
        <is>
          <t>7.2337% BAJAJ FINANCE LTD 28-JUN-27 **</t>
        </is>
      </c>
      <c r="C59" t="inlineStr">
        <is>
          <t>INE296A07TK2</t>
        </is>
      </c>
      <c r="D59" t="inlineStr">
        <is>
          <t>CRISIL AAA</t>
        </is>
      </c>
      <c r="E59" t="n">
        <v>2500</v>
      </c>
      <c r="F59" t="n">
        <v>2501.33</v>
      </c>
      <c r="G59" t="n">
        <v>2.75</v>
      </c>
      <c r="I59" t="n">
        <v>7.12</v>
      </c>
    </row>
    <row r="60">
      <c r="B60" t="inlineStr">
        <is>
          <t>8.55% HDFC Bank Ltd (27/03/2029) **</t>
        </is>
      </c>
      <c r="C60" t="inlineStr">
        <is>
          <t>INE040A08724</t>
        </is>
      </c>
      <c r="D60" t="inlineStr">
        <is>
          <t>CRISIL AAA</t>
        </is>
      </c>
      <c r="E60" t="n">
        <v>150</v>
      </c>
      <c r="F60" t="n">
        <v>1559.7</v>
      </c>
      <c r="G60" t="n">
        <v>1.71</v>
      </c>
      <c r="I60" t="n">
        <v>7.11</v>
      </c>
    </row>
    <row r="61">
      <c r="B61" t="inlineStr">
        <is>
          <t>7.63% Grasim industries Ltd (01/12/2027) **</t>
        </is>
      </c>
      <c r="C61" t="inlineStr">
        <is>
          <t>INE047A08208</t>
        </is>
      </c>
      <c r="D61" t="inlineStr">
        <is>
          <t>CRISIL AAA</t>
        </is>
      </c>
      <c r="E61" t="n">
        <v>150</v>
      </c>
      <c r="F61" t="n">
        <v>1522.71</v>
      </c>
      <c r="G61" t="n">
        <v>1.67</v>
      </c>
      <c r="I61" t="n">
        <v>6.75</v>
      </c>
    </row>
    <row r="62">
      <c r="B62" t="inlineStr">
        <is>
          <t>7.62% National Bank For Agriculture &amp; Rural Development (31/01/2028)</t>
        </is>
      </c>
      <c r="C62" t="inlineStr">
        <is>
          <t>INE261F08DV4</t>
        </is>
      </c>
      <c r="D62" t="inlineStr">
        <is>
          <t>CRISIL AAA</t>
        </is>
      </c>
      <c r="E62" t="n">
        <v>1500</v>
      </c>
      <c r="F62" t="n">
        <v>1522.17</v>
      </c>
      <c r="G62" t="n">
        <v>1.67</v>
      </c>
      <c r="I62" t="n">
        <v>6.82</v>
      </c>
    </row>
    <row r="63">
      <c r="B63" t="inlineStr">
        <is>
          <t>8.45% Indian Railway Finance Corporation Ltd (04/12/2028) **</t>
        </is>
      </c>
      <c r="C63" t="inlineStr">
        <is>
          <t>INE053F07AY7</t>
        </is>
      </c>
      <c r="D63" t="inlineStr">
        <is>
          <t>CRISIL AAA</t>
        </is>
      </c>
      <c r="E63" t="n">
        <v>25</v>
      </c>
      <c r="F63" t="n">
        <v>260.43</v>
      </c>
      <c r="G63" t="n">
        <v>0.29</v>
      </c>
      <c r="I63" t="n">
        <v>6.82</v>
      </c>
    </row>
    <row r="64">
      <c r="B64" t="inlineStr">
        <is>
          <t>Sub Total</t>
        </is>
      </c>
      <c r="F64">
        <f>SUM(F50:F63)</f>
        <v/>
      </c>
      <c r="G64">
        <f>SUM(G50:G63)</f>
        <v/>
      </c>
    </row>
    <row r="65">
      <c r="B65" t="inlineStr">
        <is>
          <t>Total</t>
        </is>
      </c>
      <c r="F65">
        <f>F64</f>
        <v/>
      </c>
      <c r="G65">
        <f>G64</f>
        <v/>
      </c>
    </row>
    <row r="66">
      <c r="B66" t="inlineStr">
        <is>
          <t>Money Market Instruments</t>
        </is>
      </c>
    </row>
    <row r="67">
      <c r="B67" t="inlineStr">
        <is>
          <t>Treasury Bill</t>
        </is>
      </c>
    </row>
    <row r="68">
      <c r="B68" t="inlineStr">
        <is>
          <t>364 DTB (08-JAN-2026)</t>
        </is>
      </c>
      <c r="C68" t="inlineStr">
        <is>
          <t>IN002024Z396</t>
        </is>
      </c>
      <c r="D68" t="inlineStr">
        <is>
          <t xml:space="preserve"> Sovereign</t>
        </is>
      </c>
      <c r="E68" t="n">
        <v>500000</v>
      </c>
      <c r="F68" t="n">
        <v>499.5</v>
      </c>
      <c r="G68" t="n">
        <v>0.55</v>
      </c>
      <c r="I68" t="n">
        <v>5.25</v>
      </c>
    </row>
    <row r="69">
      <c r="B69" t="inlineStr">
        <is>
          <t>364 DTB (10-SEP-2026)</t>
        </is>
      </c>
      <c r="C69" t="inlineStr">
        <is>
          <t>IN002025Z245</t>
        </is>
      </c>
      <c r="D69" t="inlineStr">
        <is>
          <t xml:space="preserve"> Sovereign</t>
        </is>
      </c>
      <c r="E69" t="n">
        <v>500000</v>
      </c>
      <c r="F69" t="n">
        <v>481.83</v>
      </c>
      <c r="G69" t="n">
        <v>0.53</v>
      </c>
      <c r="I69" t="n">
        <v>5.46</v>
      </c>
    </row>
    <row r="70">
      <c r="B70" t="inlineStr">
        <is>
          <t>Sub Total</t>
        </is>
      </c>
      <c r="F70">
        <f>SUM(F67:F69)</f>
        <v/>
      </c>
      <c r="G70">
        <f>SUM(G67:G69)</f>
        <v/>
      </c>
    </row>
    <row r="71">
      <c r="B71" t="inlineStr">
        <is>
          <t>Total</t>
        </is>
      </c>
      <c r="F71">
        <f>+F70</f>
        <v/>
      </c>
      <c r="G71">
        <f>+G70</f>
        <v/>
      </c>
    </row>
    <row r="72">
      <c r="B72" t="inlineStr">
        <is>
          <t>Government Bonds</t>
        </is>
      </c>
    </row>
    <row r="73">
      <c r="B73" t="inlineStr">
        <is>
          <t>6.28% GOI 2032 (14-JUL-2032)</t>
        </is>
      </c>
      <c r="C73" t="inlineStr">
        <is>
          <t>IN0020250059</t>
        </is>
      </c>
      <c r="D73" t="inlineStr">
        <is>
          <t>Sovereign</t>
        </is>
      </c>
      <c r="E73" t="n">
        <v>6148600</v>
      </c>
      <c r="F73" t="n">
        <v>6055.28</v>
      </c>
      <c r="G73" t="n">
        <v>6.65</v>
      </c>
      <c r="I73" t="n">
        <v>6.68</v>
      </c>
    </row>
    <row r="74">
      <c r="B74" t="inlineStr">
        <is>
          <t>GOI FRB 2034 (30-OCT-2034)</t>
        </is>
      </c>
      <c r="C74" t="inlineStr">
        <is>
          <t>IN0020210137</t>
        </is>
      </c>
      <c r="D74" t="inlineStr">
        <is>
          <t>Sovereign</t>
        </is>
      </c>
      <c r="E74" t="n">
        <v>5350000</v>
      </c>
      <c r="F74" t="n">
        <v>5443.63</v>
      </c>
      <c r="G74" t="n">
        <v>5.97</v>
      </c>
      <c r="I74" t="n">
        <v>6.28</v>
      </c>
    </row>
    <row r="75">
      <c r="B75" t="inlineStr">
        <is>
          <t>6.48% GOI 2035 (06-OCT-2035)</t>
        </is>
      </c>
      <c r="C75" t="inlineStr">
        <is>
          <t>IN0020250091</t>
        </is>
      </c>
      <c r="D75" t="inlineStr">
        <is>
          <t>Sovereign</t>
        </is>
      </c>
      <c r="E75" t="n">
        <v>4375000</v>
      </c>
      <c r="F75" t="n">
        <v>4337.2</v>
      </c>
      <c r="G75" t="n">
        <v>4.76</v>
      </c>
      <c r="I75" t="n">
        <v>6.71</v>
      </c>
    </row>
    <row r="76">
      <c r="B76" t="inlineStr">
        <is>
          <t>7.24% GOI 2055 (18-AUG-2055)</t>
        </is>
      </c>
      <c r="C76" t="inlineStr">
        <is>
          <t>IN0020250075</t>
        </is>
      </c>
      <c r="D76" t="inlineStr">
        <is>
          <t>Sovereign</t>
        </is>
      </c>
      <c r="E76" t="n">
        <v>3000000</v>
      </c>
      <c r="F76" t="n">
        <v>2991.82</v>
      </c>
      <c r="G76" t="n">
        <v>3.28</v>
      </c>
      <c r="I76" t="n">
        <v>7.39</v>
      </c>
    </row>
    <row r="77">
      <c r="B77" t="inlineStr">
        <is>
          <t>6.90% GOI 2065 (15-APR-2065)</t>
        </is>
      </c>
      <c r="C77" t="inlineStr">
        <is>
          <t>IN0020250018</t>
        </is>
      </c>
      <c r="D77" t="inlineStr">
        <is>
          <t>Sovereign</t>
        </is>
      </c>
      <c r="E77" t="n">
        <v>3000000</v>
      </c>
      <c r="F77" t="n">
        <v>2830.81</v>
      </c>
      <c r="G77" t="n">
        <v>3.11</v>
      </c>
      <c r="I77" t="n">
        <v>7.47</v>
      </c>
    </row>
    <row r="78">
      <c r="B78" t="inlineStr">
        <is>
          <t>7.02% GOI 2031 (18-JUN-2031)</t>
        </is>
      </c>
      <c r="C78" t="inlineStr">
        <is>
          <t>IN0020240076</t>
        </is>
      </c>
      <c r="D78" t="inlineStr">
        <is>
          <t>Sovereign</t>
        </is>
      </c>
      <c r="E78" t="n">
        <v>2000000</v>
      </c>
      <c r="F78" t="n">
        <v>2049</v>
      </c>
      <c r="G78" t="n">
        <v>2.25</v>
      </c>
      <c r="I78" t="n">
        <v>6.58</v>
      </c>
    </row>
    <row r="79">
      <c r="B79" t="inlineStr">
        <is>
          <t>6.79% GOI 2031 (30-DEC-2031)</t>
        </is>
      </c>
      <c r="C79" t="inlineStr">
        <is>
          <t>IN0020240191</t>
        </is>
      </c>
      <c r="D79" t="inlineStr">
        <is>
          <t>Sovereign</t>
        </is>
      </c>
      <c r="E79" t="n">
        <v>1500000</v>
      </c>
      <c r="F79" t="n">
        <v>1519.8</v>
      </c>
      <c r="G79" t="n">
        <v>1.67</v>
      </c>
      <c r="I79" t="n">
        <v>6.63</v>
      </c>
    </row>
    <row r="80">
      <c r="B80" t="inlineStr">
        <is>
          <t>7.49% RAJASTHAN SDL 28-AUG-35</t>
        </is>
      </c>
      <c r="C80" t="inlineStr">
        <is>
          <t>IN2920250163</t>
        </is>
      </c>
      <c r="D80" t="inlineStr">
        <is>
          <t>Sovereign</t>
        </is>
      </c>
      <c r="E80" t="n">
        <v>1500000</v>
      </c>
      <c r="F80" t="n">
        <v>1501</v>
      </c>
      <c r="G80" t="n">
        <v>1.65</v>
      </c>
      <c r="I80" t="n">
        <v>7.62</v>
      </c>
    </row>
    <row r="81">
      <c r="B81" t="inlineStr">
        <is>
          <t>6.60% GUJARAT SDL 20-MAY-29</t>
        </is>
      </c>
      <c r="C81" t="inlineStr">
        <is>
          <t>IN1520200032</t>
        </is>
      </c>
      <c r="D81" t="inlineStr">
        <is>
          <t>Sovereign</t>
        </is>
      </c>
      <c r="E81" t="n">
        <v>1000000</v>
      </c>
      <c r="F81" t="n">
        <v>999.76</v>
      </c>
      <c r="G81" t="n">
        <v>1.1</v>
      </c>
      <c r="I81" t="n">
        <v>6.71</v>
      </c>
    </row>
    <row r="82">
      <c r="B82" t="inlineStr">
        <is>
          <t>7.34% GOI 2064 (22-APR-2064)</t>
        </is>
      </c>
      <c r="C82" t="inlineStr">
        <is>
          <t>IN0020240035</t>
        </is>
      </c>
      <c r="D82" t="inlineStr">
        <is>
          <t>Sovereign</t>
        </is>
      </c>
      <c r="E82" t="n">
        <v>1000000</v>
      </c>
      <c r="F82" t="n">
        <v>996.99</v>
      </c>
      <c r="G82" t="n">
        <v>1.09</v>
      </c>
      <c r="I82" t="n">
        <v>7.5</v>
      </c>
    </row>
    <row r="83">
      <c r="B83" t="inlineStr">
        <is>
          <t>7.24% RAJASTHAN SDL 04-SEP-34</t>
        </is>
      </c>
      <c r="C83" t="inlineStr">
        <is>
          <t>IN2920240271</t>
        </is>
      </c>
      <c r="D83" t="inlineStr">
        <is>
          <t>Sovereign</t>
        </is>
      </c>
      <c r="E83" t="n">
        <v>1000000</v>
      </c>
      <c r="F83" t="n">
        <v>990.2</v>
      </c>
      <c r="G83" t="n">
        <v>1.09</v>
      </c>
      <c r="I83" t="n">
        <v>7.53</v>
      </c>
    </row>
    <row r="84">
      <c r="B84" t="inlineStr">
        <is>
          <t>7.32% RAJASTHAN SDL 24-SEP-35</t>
        </is>
      </c>
      <c r="C84" t="inlineStr">
        <is>
          <t>IN2920250205</t>
        </is>
      </c>
      <c r="D84" t="inlineStr">
        <is>
          <t>Sovereign</t>
        </is>
      </c>
      <c r="E84" t="n">
        <v>1000000</v>
      </c>
      <c r="F84" t="n">
        <v>989.05</v>
      </c>
      <c r="G84" t="n">
        <v>1.09</v>
      </c>
      <c r="I84" t="n">
        <v>7.62</v>
      </c>
    </row>
    <row r="85">
      <c r="B85" t="inlineStr">
        <is>
          <t>8.53% GUJARAT SDL 20-NOV-28</t>
        </is>
      </c>
      <c r="C85" t="inlineStr">
        <is>
          <t>IN1520180192</t>
        </is>
      </c>
      <c r="D85" t="inlineStr">
        <is>
          <t>Sovereign</t>
        </is>
      </c>
      <c r="E85" t="n">
        <v>500000</v>
      </c>
      <c r="F85" t="n">
        <v>528.14</v>
      </c>
      <c r="G85" t="n">
        <v>0.58</v>
      </c>
      <c r="I85" t="n">
        <v>6.46</v>
      </c>
    </row>
    <row r="86">
      <c r="B86" t="inlineStr">
        <is>
          <t>7.48% KERALA SDL 23-AUG-32</t>
        </is>
      </c>
      <c r="C86" t="inlineStr">
        <is>
          <t>IN2020170089</t>
        </is>
      </c>
      <c r="D86" t="inlineStr">
        <is>
          <t>Sovereign</t>
        </is>
      </c>
      <c r="E86" t="n">
        <v>500000</v>
      </c>
      <c r="F86" t="n">
        <v>505.19</v>
      </c>
      <c r="G86" t="n">
        <v>0.55</v>
      </c>
      <c r="I86" t="n">
        <v>7.41</v>
      </c>
    </row>
    <row r="87">
      <c r="B87" t="inlineStr">
        <is>
          <t>6.55% ANDHRA PRADESH SDL 27-MAY-28</t>
        </is>
      </c>
      <c r="C87" t="inlineStr">
        <is>
          <t>IN1020200144</t>
        </is>
      </c>
      <c r="D87" t="inlineStr">
        <is>
          <t>Sovereign</t>
        </is>
      </c>
      <c r="E87" t="n">
        <v>500000</v>
      </c>
      <c r="F87" t="n">
        <v>502.74</v>
      </c>
      <c r="G87" t="n">
        <v>0.55</v>
      </c>
      <c r="I87" t="n">
        <v>6.4</v>
      </c>
    </row>
    <row r="88">
      <c r="B88" t="inlineStr">
        <is>
          <t>7.26% TAMIL NADU SDL 24-SEP-35</t>
        </is>
      </c>
      <c r="C88" t="inlineStr">
        <is>
          <t>IN3120250300</t>
        </is>
      </c>
      <c r="D88" t="inlineStr">
        <is>
          <t>Sovereign</t>
        </is>
      </c>
      <c r="E88" t="n">
        <v>500000</v>
      </c>
      <c r="F88" t="n">
        <v>495.04</v>
      </c>
      <c r="G88" t="n">
        <v>0.54</v>
      </c>
      <c r="I88" t="n">
        <v>7.54</v>
      </c>
    </row>
    <row r="89">
      <c r="B89" t="inlineStr">
        <is>
          <t>7.09% GOI 2074 (25-NOV-2074)</t>
        </is>
      </c>
      <c r="C89" t="inlineStr">
        <is>
          <t>IN0020240142</t>
        </is>
      </c>
      <c r="D89" t="inlineStr">
        <is>
          <t>Sovereign</t>
        </is>
      </c>
      <c r="E89" t="n">
        <v>500000</v>
      </c>
      <c r="F89" t="n">
        <v>481.56</v>
      </c>
      <c r="G89" t="n">
        <v>0.53</v>
      </c>
      <c r="I89" t="n">
        <v>7.51</v>
      </c>
    </row>
    <row r="90">
      <c r="B90" t="inlineStr">
        <is>
          <t>7.16% TAMIL NADU SDL 19-NOV-35</t>
        </is>
      </c>
      <c r="C90" t="inlineStr">
        <is>
          <t>IN3120250409</t>
        </is>
      </c>
      <c r="D90" t="inlineStr">
        <is>
          <t>Sovereign</t>
        </is>
      </c>
      <c r="E90" t="n">
        <v>433700</v>
      </c>
      <c r="F90" t="n">
        <v>426.37</v>
      </c>
      <c r="G90" t="n">
        <v>0.47</v>
      </c>
      <c r="I90" t="n">
        <v>7.54</v>
      </c>
    </row>
    <row r="91">
      <c r="B91" t="inlineStr">
        <is>
          <t>7.72% INDIA GOVERNMENT 26-OCT-55</t>
        </is>
      </c>
      <c r="C91" t="inlineStr">
        <is>
          <t>IN0020150077</t>
        </is>
      </c>
      <c r="D91" t="inlineStr">
        <is>
          <t>Sovereign</t>
        </is>
      </c>
      <c r="E91" t="n">
        <v>800</v>
      </c>
      <c r="F91" t="n">
        <v>0.84</v>
      </c>
      <c r="G91" t="n">
        <v>0</v>
      </c>
      <c r="I91" t="n">
        <v>7.4</v>
      </c>
    </row>
    <row r="92">
      <c r="B92" t="inlineStr">
        <is>
          <t>Total</t>
        </is>
      </c>
      <c r="F92">
        <f>SUM(F73:F91)</f>
        <v/>
      </c>
      <c r="G92">
        <f>SUM(G73:G91)</f>
        <v/>
      </c>
    </row>
    <row r="93">
      <c r="B93" t="inlineStr">
        <is>
          <t>Alternative Investment Fund</t>
        </is>
      </c>
    </row>
    <row r="94">
      <c r="B94" t="inlineStr">
        <is>
          <t>CORPORATE DEBT MARKET DEVELOPMENT FUND CLASS A2</t>
        </is>
      </c>
      <c r="C94" t="inlineStr">
        <is>
          <t>INF0RQ622028</t>
        </is>
      </c>
      <c r="D94" t="inlineStr">
        <is>
          <t>Alternative Investment Fund</t>
        </is>
      </c>
      <c r="E94" t="n">
        <v>2753.862</v>
      </c>
      <c r="F94" t="n">
        <v>318.18</v>
      </c>
      <c r="G94" t="n">
        <v>0.35</v>
      </c>
      <c r="I94" t="n">
        <v>5.49</v>
      </c>
    </row>
    <row r="95">
      <c r="B95" t="inlineStr">
        <is>
          <t>Total</t>
        </is>
      </c>
      <c r="F95">
        <f>SUM(F94:F94)</f>
        <v/>
      </c>
      <c r="G95">
        <f>SUM(G94:G94)</f>
        <v/>
      </c>
    </row>
    <row r="96">
      <c r="B96" t="inlineStr">
        <is>
          <t>TREPS</t>
        </is>
      </c>
    </row>
    <row r="97">
      <c r="B97" t="inlineStr">
        <is>
          <t>TREPS</t>
        </is>
      </c>
      <c r="F97" t="n">
        <v>2656.45</v>
      </c>
      <c r="G97" t="n">
        <v>2.92</v>
      </c>
    </row>
    <row r="98">
      <c r="B98" t="inlineStr">
        <is>
          <t>Sub Total</t>
        </is>
      </c>
      <c r="F98">
        <f>SUM(F96:F97)</f>
        <v/>
      </c>
      <c r="G98">
        <f>SUM(G96:G97)</f>
        <v/>
      </c>
    </row>
    <row r="99">
      <c r="B99" t="inlineStr">
        <is>
          <t>Total</t>
        </is>
      </c>
      <c r="F99">
        <f>F98</f>
        <v/>
      </c>
      <c r="G99">
        <f>G98</f>
        <v/>
      </c>
    </row>
    <row r="100">
      <c r="B100" t="inlineStr">
        <is>
          <t>Net Receivables / (Payables)</t>
        </is>
      </c>
      <c r="F100">
        <f>F101-(+F48+F65+F71+F92+F95+F99)</f>
        <v/>
      </c>
      <c r="G100">
        <f>G101-(+G48+G65+G71+G92+G95+G99)</f>
        <v/>
      </c>
    </row>
    <row r="101">
      <c r="B101" t="inlineStr">
        <is>
          <t>Grand Total</t>
        </is>
      </c>
      <c r="F101" t="n">
        <v>91113.58</v>
      </c>
      <c r="G101" t="n">
        <v>100</v>
      </c>
    </row>
    <row r="102"/>
    <row r="103">
      <c r="B103" t="inlineStr">
        <is>
          <t>** Non Traded Security</t>
        </is>
      </c>
    </row>
    <row r="104"/>
    <row r="105">
      <c r="B105" t="inlineStr">
        <is>
          <t>Modified Duration (In Years)</t>
        </is>
      </c>
      <c r="C105" t="n">
        <v>3.8384</v>
      </c>
    </row>
    <row r="106"/>
    <row r="107">
      <c r="B107" t="inlineStr">
        <is>
          <t>Annualised Portfolio YTM</t>
        </is>
      </c>
      <c r="C107" t="n">
        <v>0.068</v>
      </c>
    </row>
    <row r="108"/>
    <row r="109">
      <c r="B109" t="inlineStr">
        <is>
          <t>Macaulay Duration (In Years)</t>
        </is>
      </c>
      <c r="C109" t="n">
        <v>4.0219</v>
      </c>
    </row>
    <row r="110"/>
    <row r="111">
      <c r="B111" t="inlineStr">
        <is>
          <t>Please refer the below link for the performance of the Schemes managed by Canara Robeco Mutual Fund</t>
        </is>
      </c>
    </row>
    <row r="112"/>
    <row r="113">
      <c r="B113" t="inlineStr">
        <is>
          <t>https://www.canararobeco.com/docs/default-source/default-document-library/Scheme_Performance_December_25.pdf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55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MANUFACTURING FUND</t>
        </is>
      </c>
    </row>
    <row r="2"/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Mahindra &amp; Mahindra Ltd</t>
        </is>
      </c>
      <c r="C7" t="inlineStr">
        <is>
          <t>INE101A01026</t>
        </is>
      </c>
      <c r="D7" t="inlineStr">
        <is>
          <t>Automobiles</t>
        </is>
      </c>
      <c r="E7" t="n">
        <v>291821</v>
      </c>
      <c r="F7" t="n">
        <v>10824.22</v>
      </c>
      <c r="G7" t="n">
        <v>6.81</v>
      </c>
      <c r="H7" t="inlineStr">
        <is>
          <t>Large Cap</t>
        </is>
      </c>
    </row>
    <row r="8">
      <c r="B8" t="inlineStr">
        <is>
          <t>Bharat Electronics Ltd</t>
        </is>
      </c>
      <c r="C8" t="inlineStr">
        <is>
          <t>INE263A01024</t>
        </is>
      </c>
      <c r="D8" t="inlineStr">
        <is>
          <t>Aerospace &amp; Defense</t>
        </is>
      </c>
      <c r="E8" t="n">
        <v>1964154</v>
      </c>
      <c r="F8" t="n">
        <v>7848.76</v>
      </c>
      <c r="G8" t="n">
        <v>4.94</v>
      </c>
      <c r="H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491299</v>
      </c>
      <c r="F9" t="n">
        <v>7715.36</v>
      </c>
      <c r="G9" t="n">
        <v>4.86</v>
      </c>
      <c r="H9" t="inlineStr">
        <is>
          <t>Large Cap</t>
        </is>
      </c>
    </row>
    <row r="10">
      <c r="B10" t="inlineStr">
        <is>
          <t>Maruti Suzuki India Ltd</t>
        </is>
      </c>
      <c r="C10" t="inlineStr">
        <is>
          <t>INE585B01010</t>
        </is>
      </c>
      <c r="D10" t="inlineStr">
        <is>
          <t>Automobiles</t>
        </is>
      </c>
      <c r="E10" t="n">
        <v>41298</v>
      </c>
      <c r="F10" t="n">
        <v>6895.53</v>
      </c>
      <c r="G10" t="n">
        <v>4.34</v>
      </c>
      <c r="H10" t="inlineStr">
        <is>
          <t>Large Cap</t>
        </is>
      </c>
    </row>
    <row r="11">
      <c r="B11" t="inlineStr">
        <is>
          <t>Tata Steel Ltd</t>
        </is>
      </c>
      <c r="C11" t="inlineStr">
        <is>
          <t>INE081A01020</t>
        </is>
      </c>
      <c r="D11" t="inlineStr">
        <is>
          <t>Ferrous Metals</t>
        </is>
      </c>
      <c r="E11" t="n">
        <v>3665880</v>
      </c>
      <c r="F11" t="n">
        <v>6601.52</v>
      </c>
      <c r="G11" t="n">
        <v>4.16</v>
      </c>
      <c r="H11" t="inlineStr">
        <is>
          <t>Large Cap</t>
        </is>
      </c>
    </row>
    <row r="12">
      <c r="B12" t="inlineStr">
        <is>
          <t>Ge Vernova T&amp;D India Ltd</t>
        </is>
      </c>
      <c r="C12" t="inlineStr">
        <is>
          <t>INE200A01026</t>
        </is>
      </c>
      <c r="D12" t="inlineStr">
        <is>
          <t>Electrical Equipment</t>
        </is>
      </c>
      <c r="E12" t="n">
        <v>180487</v>
      </c>
      <c r="F12" t="n">
        <v>5653.76</v>
      </c>
      <c r="G12" t="n">
        <v>3.56</v>
      </c>
      <c r="H12" t="inlineStr">
        <is>
          <t>Mid Cap</t>
        </is>
      </c>
    </row>
    <row r="13">
      <c r="B13" t="inlineStr">
        <is>
          <t>Hindustan Aeronautics Ltd</t>
        </is>
      </c>
      <c r="C13" t="inlineStr">
        <is>
          <t>INE066F01020</t>
        </is>
      </c>
      <c r="D13" t="inlineStr">
        <is>
          <t>Aerospace &amp; Defense</t>
        </is>
      </c>
      <c r="E13" t="n">
        <v>115371</v>
      </c>
      <c r="F13" t="n">
        <v>5063.29</v>
      </c>
      <c r="G13" t="n">
        <v>3.19</v>
      </c>
      <c r="H13" t="inlineStr">
        <is>
          <t>Large Cap</t>
        </is>
      </c>
      <c r="L13" t="inlineStr">
        <is>
          <t>Benchmark: Nifty India Manufacturing TRI</t>
        </is>
      </c>
    </row>
    <row r="14">
      <c r="B14" t="inlineStr">
        <is>
          <t>Bharat Heavy Electricals Ltd</t>
        </is>
      </c>
      <c r="C14" t="inlineStr">
        <is>
          <t>INE257A01026</t>
        </is>
      </c>
      <c r="D14" t="inlineStr">
        <is>
          <t>Electrical Equipment</t>
        </is>
      </c>
      <c r="E14" t="n">
        <v>1738008</v>
      </c>
      <c r="F14" t="n">
        <v>4995.9</v>
      </c>
      <c r="G14" t="n">
        <v>3.14</v>
      </c>
      <c r="H14" t="inlineStr">
        <is>
          <t>Mid Cap</t>
        </is>
      </c>
    </row>
    <row r="15">
      <c r="B15" t="inlineStr">
        <is>
          <t>Bajaj Auto Ltd</t>
        </is>
      </c>
      <c r="C15" t="inlineStr">
        <is>
          <t>INE917I01010</t>
        </is>
      </c>
      <c r="D15" t="inlineStr">
        <is>
          <t>Automobiles</t>
        </is>
      </c>
      <c r="E15" t="n">
        <v>51226</v>
      </c>
      <c r="F15" t="n">
        <v>4786.05</v>
      </c>
      <c r="G15" t="n">
        <v>3.01</v>
      </c>
      <c r="H15" t="inlineStr">
        <is>
          <t>Large Cap</t>
        </is>
      </c>
    </row>
    <row r="16">
      <c r="B16" t="inlineStr">
        <is>
          <t>Varun Beverages Ltd</t>
        </is>
      </c>
      <c r="C16" t="inlineStr">
        <is>
          <t>INE200M01039</t>
        </is>
      </c>
      <c r="D16" t="inlineStr">
        <is>
          <t>Beverages</t>
        </is>
      </c>
      <c r="E16" t="n">
        <v>912437</v>
      </c>
      <c r="F16" t="n">
        <v>4469.57</v>
      </c>
      <c r="G16" t="n">
        <v>2.81</v>
      </c>
      <c r="H16" t="inlineStr">
        <is>
          <t>Large Cap</t>
        </is>
      </c>
    </row>
    <row r="17">
      <c r="B17" t="inlineStr">
        <is>
          <t>Polycab India Ltd</t>
        </is>
      </c>
      <c r="C17" t="inlineStr">
        <is>
          <t>INE455K01017</t>
        </is>
      </c>
      <c r="D17" t="inlineStr">
        <is>
          <t>Industrial Products</t>
        </is>
      </c>
      <c r="E17" t="n">
        <v>55329</v>
      </c>
      <c r="F17" t="n">
        <v>4215.52</v>
      </c>
      <c r="G17" t="n">
        <v>2.65</v>
      </c>
      <c r="H17" t="inlineStr">
        <is>
          <t>Large Cap</t>
        </is>
      </c>
    </row>
    <row r="18">
      <c r="B18" t="inlineStr">
        <is>
          <t>Cummins India Ltd</t>
        </is>
      </c>
      <c r="C18" t="inlineStr">
        <is>
          <t>INE298A01020</t>
        </is>
      </c>
      <c r="D18" t="inlineStr">
        <is>
          <t>Industrial Products</t>
        </is>
      </c>
      <c r="E18" t="n">
        <v>94648</v>
      </c>
      <c r="F18" t="n">
        <v>4197.07</v>
      </c>
      <c r="G18" t="n">
        <v>2.64</v>
      </c>
      <c r="H18" t="inlineStr">
        <is>
          <t>Large Cap</t>
        </is>
      </c>
    </row>
    <row r="19">
      <c r="B19" t="inlineStr">
        <is>
          <t>Solar Industries India Ltd</t>
        </is>
      </c>
      <c r="C19" t="inlineStr">
        <is>
          <t>INE343H01029</t>
        </is>
      </c>
      <c r="D19" t="inlineStr">
        <is>
          <t>Chemicals &amp; Petrochemicals</t>
        </is>
      </c>
      <c r="E19" t="n">
        <v>33116</v>
      </c>
      <c r="F19" t="n">
        <v>4057.37</v>
      </c>
      <c r="G19" t="n">
        <v>2.55</v>
      </c>
      <c r="H19" t="inlineStr">
        <is>
          <t>Large Cap</t>
        </is>
      </c>
    </row>
    <row r="20">
      <c r="B20" t="inlineStr">
        <is>
          <t>Larsen &amp; Toubro Ltd</t>
        </is>
      </c>
      <c r="C20" t="inlineStr">
        <is>
          <t>INE018A01030</t>
        </is>
      </c>
      <c r="D20" t="inlineStr">
        <is>
          <t>Construction</t>
        </is>
      </c>
      <c r="E20" t="n">
        <v>92109</v>
      </c>
      <c r="F20" t="n">
        <v>3761.27</v>
      </c>
      <c r="G20" t="n">
        <v>2.37</v>
      </c>
      <c r="H20" t="inlineStr">
        <is>
          <t>Large Cap</t>
        </is>
      </c>
    </row>
    <row r="21">
      <c r="B21" t="inlineStr">
        <is>
          <t>Syrma SGS Technology Ltd</t>
        </is>
      </c>
      <c r="C21" t="inlineStr">
        <is>
          <t>INE0DYJ01015</t>
        </is>
      </c>
      <c r="D21" t="inlineStr">
        <is>
          <t>Industrial Manufacturing</t>
        </is>
      </c>
      <c r="E21" t="n">
        <v>442453</v>
      </c>
      <c r="F21" t="n">
        <v>3243.84</v>
      </c>
      <c r="G21" t="n">
        <v>2.04</v>
      </c>
      <c r="H21" t="inlineStr">
        <is>
          <t>Small Cap</t>
        </is>
      </c>
    </row>
    <row r="22">
      <c r="B22" t="inlineStr">
        <is>
          <t>Dixon Technologies (India) Ltd</t>
        </is>
      </c>
      <c r="C22" t="inlineStr">
        <is>
          <t>INE935N01020</t>
        </is>
      </c>
      <c r="D22" t="inlineStr">
        <is>
          <t>Consumer Durables</t>
        </is>
      </c>
      <c r="E22" t="n">
        <v>25980</v>
      </c>
      <c r="F22" t="n">
        <v>3144.1</v>
      </c>
      <c r="G22" t="n">
        <v>1.98</v>
      </c>
      <c r="H22" t="inlineStr">
        <is>
          <t>Mid Cap</t>
        </is>
      </c>
    </row>
    <row r="23">
      <c r="B23" t="inlineStr">
        <is>
          <t>J.K. Cement Ltd</t>
        </is>
      </c>
      <c r="C23" t="inlineStr">
        <is>
          <t>INE823G01014</t>
        </is>
      </c>
      <c r="D23" t="inlineStr">
        <is>
          <t>Cement &amp; Cement Products</t>
        </is>
      </c>
      <c r="E23" t="n">
        <v>54123</v>
      </c>
      <c r="F23" t="n">
        <v>2993.54</v>
      </c>
      <c r="G23" t="n">
        <v>1.88</v>
      </c>
      <c r="H23" t="inlineStr">
        <is>
          <t>Mid Cap</t>
        </is>
      </c>
    </row>
    <row r="24">
      <c r="B24" t="inlineStr">
        <is>
          <t>Waaree Energies Ltd</t>
        </is>
      </c>
      <c r="C24" t="inlineStr">
        <is>
          <t>INE377N01017</t>
        </is>
      </c>
      <c r="D24" t="inlineStr">
        <is>
          <t>Electrical Equipment</t>
        </is>
      </c>
      <c r="E24" t="n">
        <v>86928</v>
      </c>
      <c r="F24" t="n">
        <v>2580.11</v>
      </c>
      <c r="G24" t="n">
        <v>1.62</v>
      </c>
      <c r="H24" t="inlineStr">
        <is>
          <t>Mid Cap</t>
        </is>
      </c>
    </row>
    <row r="25">
      <c r="B25" t="inlineStr">
        <is>
          <t>Rubicon Research Ltd</t>
        </is>
      </c>
      <c r="C25" t="inlineStr">
        <is>
          <t>INE506V01022</t>
        </is>
      </c>
      <c r="D25" t="inlineStr">
        <is>
          <t>Pharmaceuticals &amp; Biotechnology</t>
        </is>
      </c>
      <c r="E25" t="n">
        <v>372780</v>
      </c>
      <c r="F25" t="n">
        <v>2537.7</v>
      </c>
      <c r="G25" t="n">
        <v>1.6</v>
      </c>
      <c r="H25" t="inlineStr">
        <is>
          <t>Small Cap</t>
        </is>
      </c>
    </row>
    <row r="26">
      <c r="B26" t="inlineStr">
        <is>
          <t>Hitachi Energy India Ltd</t>
        </is>
      </c>
      <c r="C26" t="inlineStr">
        <is>
          <t>INE07Y701011</t>
        </is>
      </c>
      <c r="D26" t="inlineStr">
        <is>
          <t>Electrical Equipment</t>
        </is>
      </c>
      <c r="E26" t="n">
        <v>13228</v>
      </c>
      <c r="F26" t="n">
        <v>2422.05</v>
      </c>
      <c r="G26" t="n">
        <v>1.52</v>
      </c>
      <c r="H26" t="inlineStr">
        <is>
          <t>Mid Cap</t>
        </is>
      </c>
    </row>
    <row r="27">
      <c r="B27" t="inlineStr">
        <is>
          <t>The Ramco Cements Ltd</t>
        </is>
      </c>
      <c r="C27" t="inlineStr">
        <is>
          <t>INE331A01037</t>
        </is>
      </c>
      <c r="D27" t="inlineStr">
        <is>
          <t>Cement &amp; Cement Products</t>
        </is>
      </c>
      <c r="E27" t="n">
        <v>226835</v>
      </c>
      <c r="F27" t="n">
        <v>2396.74</v>
      </c>
      <c r="G27" t="n">
        <v>1.51</v>
      </c>
      <c r="H27" t="inlineStr">
        <is>
          <t>Small Cap</t>
        </is>
      </c>
    </row>
    <row r="28">
      <c r="B28" t="inlineStr">
        <is>
          <t>Apar Industries Ltd</t>
        </is>
      </c>
      <c r="C28" t="inlineStr">
        <is>
          <t>INE372A01015</t>
        </is>
      </c>
      <c r="D28" t="inlineStr">
        <is>
          <t>Electrical Equipment</t>
        </is>
      </c>
      <c r="E28" t="n">
        <v>28635</v>
      </c>
      <c r="F28" t="n">
        <v>2396.03</v>
      </c>
      <c r="G28" t="n">
        <v>1.51</v>
      </c>
      <c r="H28" t="inlineStr">
        <is>
          <t>Mid Cap</t>
        </is>
      </c>
    </row>
    <row r="29">
      <c r="B29" t="inlineStr">
        <is>
          <t>J.B. Chemicals &amp; Pharmaceuticals Ltd</t>
        </is>
      </c>
      <c r="C29" t="inlineStr">
        <is>
          <t>INE572A01036</t>
        </is>
      </c>
      <c r="D29" t="inlineStr">
        <is>
          <t>Pharmaceuticals &amp; Biotechnology</t>
        </is>
      </c>
      <c r="E29" t="n">
        <v>127229</v>
      </c>
      <c r="F29" t="n">
        <v>2315.19</v>
      </c>
      <c r="G29" t="n">
        <v>1.46</v>
      </c>
      <c r="H29" t="inlineStr">
        <is>
          <t>Small Cap</t>
        </is>
      </c>
    </row>
    <row r="30">
      <c r="B30" t="inlineStr">
        <is>
          <t>Mrs Bectors Food Specialities Ltd</t>
        </is>
      </c>
      <c r="C30" t="inlineStr">
        <is>
          <t>INE495P01020</t>
        </is>
      </c>
      <c r="D30" t="inlineStr">
        <is>
          <t>Food Products</t>
        </is>
      </c>
      <c r="E30" t="n">
        <v>997075</v>
      </c>
      <c r="F30" t="n">
        <v>2297.26</v>
      </c>
      <c r="G30" t="n">
        <v>1.45</v>
      </c>
      <c r="H30" t="inlineStr">
        <is>
          <t>Small Cap</t>
        </is>
      </c>
    </row>
    <row r="31">
      <c r="B31" t="inlineStr">
        <is>
          <t>Ultratech Cement Ltd</t>
        </is>
      </c>
      <c r="C31" t="inlineStr">
        <is>
          <t>INE481G01011</t>
        </is>
      </c>
      <c r="D31" t="inlineStr">
        <is>
          <t>Cement &amp; Cement Products</t>
        </is>
      </c>
      <c r="E31" t="n">
        <v>19085</v>
      </c>
      <c r="F31" t="n">
        <v>2248.98</v>
      </c>
      <c r="G31" t="n">
        <v>1.42</v>
      </c>
      <c r="H31" t="inlineStr">
        <is>
          <t>Large Cap</t>
        </is>
      </c>
    </row>
    <row r="32">
      <c r="B32" t="inlineStr">
        <is>
          <t>KEI Industries Ltd</t>
        </is>
      </c>
      <c r="C32" t="inlineStr">
        <is>
          <t>INE878B01027</t>
        </is>
      </c>
      <c r="D32" t="inlineStr">
        <is>
          <t>Industrial Products</t>
        </is>
      </c>
      <c r="E32" t="n">
        <v>47988</v>
      </c>
      <c r="F32" t="n">
        <v>2140.36</v>
      </c>
      <c r="G32" t="n">
        <v>1.35</v>
      </c>
      <c r="H32" t="inlineStr">
        <is>
          <t>Mid Cap</t>
        </is>
      </c>
    </row>
    <row r="33">
      <c r="B33" t="inlineStr">
        <is>
          <t>Aditya Birla Real Estate Ltd</t>
        </is>
      </c>
      <c r="C33" t="inlineStr">
        <is>
          <t>INE055A01016</t>
        </is>
      </c>
      <c r="D33" t="inlineStr">
        <is>
          <t>Paper, Forest &amp; Jute Products</t>
        </is>
      </c>
      <c r="E33" t="n">
        <v>127518</v>
      </c>
      <c r="F33" t="n">
        <v>2135.67</v>
      </c>
      <c r="G33" t="n">
        <v>1.34</v>
      </c>
      <c r="H33" t="inlineStr">
        <is>
          <t>Small Cap</t>
        </is>
      </c>
    </row>
    <row r="34">
      <c r="B34" t="inlineStr">
        <is>
          <t>Amber Enterprises India Ltd</t>
        </is>
      </c>
      <c r="C34" t="inlineStr">
        <is>
          <t>INE371P01015</t>
        </is>
      </c>
      <c r="D34" t="inlineStr">
        <is>
          <t>Consumer Durables</t>
        </is>
      </c>
      <c r="E34" t="n">
        <v>32884</v>
      </c>
      <c r="F34" t="n">
        <v>2100.3</v>
      </c>
      <c r="G34" t="n">
        <v>1.32</v>
      </c>
      <c r="H34" t="inlineStr">
        <is>
          <t>Small Cap</t>
        </is>
      </c>
    </row>
    <row r="35">
      <c r="B35" t="inlineStr">
        <is>
          <t>CG Power and Industrial Solutions Ltd</t>
        </is>
      </c>
      <c r="C35" t="inlineStr">
        <is>
          <t>INE067A01029</t>
        </is>
      </c>
      <c r="D35" t="inlineStr">
        <is>
          <t>Electrical Equipment</t>
        </is>
      </c>
      <c r="E35" t="n">
        <v>322724</v>
      </c>
      <c r="F35" t="n">
        <v>2090.93</v>
      </c>
      <c r="G35" t="n">
        <v>1.32</v>
      </c>
      <c r="H35" t="inlineStr">
        <is>
          <t>Large Cap</t>
        </is>
      </c>
    </row>
    <row r="36">
      <c r="B36" t="inlineStr">
        <is>
          <t>Doms Industries Ltd</t>
        </is>
      </c>
      <c r="C36" t="inlineStr">
        <is>
          <t>INE321T01012</t>
        </is>
      </c>
      <c r="D36" t="inlineStr">
        <is>
          <t>Household Products</t>
        </is>
      </c>
      <c r="E36" t="n">
        <v>79697</v>
      </c>
      <c r="F36" t="n">
        <v>2084.4</v>
      </c>
      <c r="G36" t="n">
        <v>1.31</v>
      </c>
      <c r="H36" t="inlineStr">
        <is>
          <t>Small Cap</t>
        </is>
      </c>
    </row>
    <row r="37">
      <c r="B37" t="inlineStr">
        <is>
          <t>LG Electronics India Ltd</t>
        </is>
      </c>
      <c r="C37" t="inlineStr">
        <is>
          <t>INE324D01010</t>
        </is>
      </c>
      <c r="D37" t="inlineStr">
        <is>
          <t>Consumer Durables</t>
        </is>
      </c>
      <c r="E37" t="n">
        <v>130325</v>
      </c>
      <c r="F37" t="n">
        <v>1982.76</v>
      </c>
      <c r="G37" t="n">
        <v>1.25</v>
      </c>
      <c r="H37" t="inlineStr">
        <is>
          <t>Large Cap</t>
        </is>
      </c>
    </row>
    <row r="38">
      <c r="B38" t="inlineStr">
        <is>
          <t>Exide Industries Ltd</t>
        </is>
      </c>
      <c r="C38" t="inlineStr">
        <is>
          <t>INE302A01020</t>
        </is>
      </c>
      <c r="D38" t="inlineStr">
        <is>
          <t>Auto Components</t>
        </is>
      </c>
      <c r="E38" t="n">
        <v>543481</v>
      </c>
      <c r="F38" t="n">
        <v>1968.49</v>
      </c>
      <c r="G38" t="n">
        <v>1.24</v>
      </c>
      <c r="H38" t="inlineStr">
        <is>
          <t>Small Cap</t>
        </is>
      </c>
    </row>
    <row r="39">
      <c r="B39" t="inlineStr">
        <is>
          <t>Innova Captab Ltd</t>
        </is>
      </c>
      <c r="C39" t="inlineStr">
        <is>
          <t>INE0DUT01020</t>
        </is>
      </c>
      <c r="D39" t="inlineStr">
        <is>
          <t>Pharmaceuticals &amp; Biotechnology</t>
        </is>
      </c>
      <c r="E39" t="n">
        <v>272265</v>
      </c>
      <c r="F39" t="n">
        <v>1960.58</v>
      </c>
      <c r="G39" t="n">
        <v>1.23</v>
      </c>
      <c r="H39" t="inlineStr">
        <is>
          <t>Small Cap</t>
        </is>
      </c>
    </row>
    <row r="40">
      <c r="B40" t="inlineStr">
        <is>
          <t>Safari Industries (India) Ltd</t>
        </is>
      </c>
      <c r="C40" t="inlineStr">
        <is>
          <t>INE429E01023</t>
        </is>
      </c>
      <c r="D40" t="inlineStr">
        <is>
          <t>Consumer Durables</t>
        </is>
      </c>
      <c r="E40" t="n">
        <v>87135</v>
      </c>
      <c r="F40" t="n">
        <v>1894.66</v>
      </c>
      <c r="G40" t="n">
        <v>1.19</v>
      </c>
      <c r="H40" t="inlineStr">
        <is>
          <t>Small Cap</t>
        </is>
      </c>
    </row>
    <row r="41">
      <c r="B41" t="inlineStr">
        <is>
          <t>Divi's Laboratories Ltd</t>
        </is>
      </c>
      <c r="C41" t="inlineStr">
        <is>
          <t>INE361B01024</t>
        </is>
      </c>
      <c r="D41" t="inlineStr">
        <is>
          <t>Pharmaceuticals &amp; Biotechnology</t>
        </is>
      </c>
      <c r="E41" t="n">
        <v>28840</v>
      </c>
      <c r="F41" t="n">
        <v>1843.6</v>
      </c>
      <c r="G41" t="n">
        <v>1.16</v>
      </c>
      <c r="H41" t="inlineStr">
        <is>
          <t>Large Cap</t>
        </is>
      </c>
    </row>
    <row r="42">
      <c r="B42" t="inlineStr">
        <is>
          <t>Bikaji Foods International Ltd</t>
        </is>
      </c>
      <c r="C42" t="inlineStr">
        <is>
          <t>INE00E101023</t>
        </is>
      </c>
      <c r="D42" t="inlineStr">
        <is>
          <t>Food Products</t>
        </is>
      </c>
      <c r="E42" t="n">
        <v>243113</v>
      </c>
      <c r="F42" t="n">
        <v>1822.86</v>
      </c>
      <c r="G42" t="n">
        <v>1.15</v>
      </c>
      <c r="H42" t="inlineStr">
        <is>
          <t>Small Cap</t>
        </is>
      </c>
    </row>
    <row r="43">
      <c r="B43" t="inlineStr">
        <is>
          <t>Tenneco Clean Air India Ltd</t>
        </is>
      </c>
      <c r="C43" t="inlineStr">
        <is>
          <t>INE19RI01016</t>
        </is>
      </c>
      <c r="D43" t="inlineStr">
        <is>
          <t>Auto Components</t>
        </is>
      </c>
      <c r="E43" t="n">
        <v>351647</v>
      </c>
      <c r="F43" t="n">
        <v>1786.02</v>
      </c>
      <c r="G43" t="n">
        <v>1.12</v>
      </c>
      <c r="H43" t="inlineStr">
        <is>
          <t>Small Cap</t>
        </is>
      </c>
    </row>
    <row r="44">
      <c r="B44" t="inlineStr">
        <is>
          <t>K.P.R. Mill Ltd</t>
        </is>
      </c>
      <c r="C44" t="inlineStr">
        <is>
          <t>INE930H01031</t>
        </is>
      </c>
      <c r="D44" t="inlineStr">
        <is>
          <t>Textiles &amp; Apparels</t>
        </is>
      </c>
      <c r="E44" t="n">
        <v>187586</v>
      </c>
      <c r="F44" t="n">
        <v>1767.81</v>
      </c>
      <c r="G44" t="n">
        <v>1.11</v>
      </c>
      <c r="H44" t="inlineStr">
        <is>
          <t>Mid Cap</t>
        </is>
      </c>
    </row>
    <row r="45">
      <c r="B45" t="inlineStr">
        <is>
          <t>Timken India Ltd</t>
        </is>
      </c>
      <c r="C45" t="inlineStr">
        <is>
          <t>INE325A01013</t>
        </is>
      </c>
      <c r="D45" t="inlineStr">
        <is>
          <t>Industrial Products</t>
        </is>
      </c>
      <c r="E45" t="n">
        <v>51388</v>
      </c>
      <c r="F45" t="n">
        <v>1543.23</v>
      </c>
      <c r="G45" t="n">
        <v>0.97</v>
      </c>
      <c r="H45" t="inlineStr">
        <is>
          <t>Small Cap</t>
        </is>
      </c>
    </row>
    <row r="46">
      <c r="B46" t="inlineStr">
        <is>
          <t>Triveni Turbine Ltd</t>
        </is>
      </c>
      <c r="C46" t="inlineStr">
        <is>
          <t>INE152M01016</t>
        </is>
      </c>
      <c r="D46" t="inlineStr">
        <is>
          <t>Electrical Equipment</t>
        </is>
      </c>
      <c r="E46" t="n">
        <v>280121</v>
      </c>
      <c r="F46" t="n">
        <v>1507.75</v>
      </c>
      <c r="G46" t="n">
        <v>0.95</v>
      </c>
      <c r="H46" t="inlineStr">
        <is>
          <t>Small Cap</t>
        </is>
      </c>
    </row>
    <row r="47">
      <c r="B47" t="inlineStr">
        <is>
          <t>All Time Plastics Ltd</t>
        </is>
      </c>
      <c r="C47" t="inlineStr">
        <is>
          <t>INE0GV601021</t>
        </is>
      </c>
      <c r="D47" t="inlineStr">
        <is>
          <t>Consumer Durables</t>
        </is>
      </c>
      <c r="E47" t="n">
        <v>559640</v>
      </c>
      <c r="F47" t="n">
        <v>1484.17</v>
      </c>
      <c r="G47" t="n">
        <v>0.93</v>
      </c>
      <c r="H47" t="inlineStr">
        <is>
          <t>Small Cap</t>
        </is>
      </c>
    </row>
    <row r="48">
      <c r="B48" t="inlineStr">
        <is>
          <t>NOCIL Ltd</t>
        </is>
      </c>
      <c r="C48" t="inlineStr">
        <is>
          <t>INE163A01018</t>
        </is>
      </c>
      <c r="D48" t="inlineStr">
        <is>
          <t>Chemicals &amp; Petrochemicals</t>
        </is>
      </c>
      <c r="E48" t="n">
        <v>948605</v>
      </c>
      <c r="F48" t="n">
        <v>1461.04</v>
      </c>
      <c r="G48" t="n">
        <v>0.92</v>
      </c>
      <c r="H48" t="inlineStr">
        <is>
          <t>Small Cap</t>
        </is>
      </c>
    </row>
    <row r="49">
      <c r="B49" t="inlineStr">
        <is>
          <t>Engineers India Ltd</t>
        </is>
      </c>
      <c r="C49" t="inlineStr">
        <is>
          <t>INE510A01028</t>
        </is>
      </c>
      <c r="D49" t="inlineStr">
        <is>
          <t>Construction</t>
        </is>
      </c>
      <c r="E49" t="n">
        <v>714231</v>
      </c>
      <c r="F49" t="n">
        <v>1437.32</v>
      </c>
      <c r="G49" t="n">
        <v>0.9</v>
      </c>
      <c r="H49" t="inlineStr">
        <is>
          <t>Small Cap</t>
        </is>
      </c>
    </row>
    <row r="50">
      <c r="B50" t="inlineStr">
        <is>
          <t>Balrampur Chini Mills Ltd</t>
        </is>
      </c>
      <c r="C50" t="inlineStr">
        <is>
          <t>INE119A01028</t>
        </is>
      </c>
      <c r="D50" t="inlineStr">
        <is>
          <t>Agricultural Food &amp; Other Products</t>
        </is>
      </c>
      <c r="E50" t="n">
        <v>319050</v>
      </c>
      <c r="F50" t="n">
        <v>1417.86</v>
      </c>
      <c r="G50" t="n">
        <v>0.89</v>
      </c>
      <c r="H50" t="inlineStr">
        <is>
          <t>Small Cap</t>
        </is>
      </c>
    </row>
    <row r="51">
      <c r="B51" t="inlineStr">
        <is>
          <t>Kansai Nerolac Paints Ltd</t>
        </is>
      </c>
      <c r="C51" t="inlineStr">
        <is>
          <t>INE531A01024</t>
        </is>
      </c>
      <c r="D51" t="inlineStr">
        <is>
          <t>Consumer Durables</t>
        </is>
      </c>
      <c r="E51" t="n">
        <v>567325</v>
      </c>
      <c r="F51" t="n">
        <v>1335.77</v>
      </c>
      <c r="G51" t="n">
        <v>0.84</v>
      </c>
      <c r="H51" t="inlineStr">
        <is>
          <t>Small Cap</t>
        </is>
      </c>
    </row>
    <row r="52">
      <c r="B52" t="inlineStr">
        <is>
          <t>MOIL Ltd</t>
        </is>
      </c>
      <c r="C52" t="inlineStr">
        <is>
          <t>INE490G01020</t>
        </is>
      </c>
      <c r="D52" t="inlineStr">
        <is>
          <t>Minerals &amp; Mining</t>
        </is>
      </c>
      <c r="E52" t="n">
        <v>350708</v>
      </c>
      <c r="F52" t="n">
        <v>1292.53</v>
      </c>
      <c r="G52" t="n">
        <v>0.8100000000000001</v>
      </c>
      <c r="H52" t="inlineStr">
        <is>
          <t>Small Cap</t>
        </is>
      </c>
    </row>
    <row r="53">
      <c r="B53" t="inlineStr">
        <is>
          <t>Ask Automotive Ltd</t>
        </is>
      </c>
      <c r="C53" t="inlineStr">
        <is>
          <t>INE491J01022</t>
        </is>
      </c>
      <c r="D53" t="inlineStr">
        <is>
          <t>Auto Components</t>
        </is>
      </c>
      <c r="E53" t="n">
        <v>261698</v>
      </c>
      <c r="F53" t="n">
        <v>1252.62</v>
      </c>
      <c r="G53" t="n">
        <v>0.79</v>
      </c>
      <c r="H53" t="inlineStr">
        <is>
          <t>Small Cap</t>
        </is>
      </c>
    </row>
    <row r="54">
      <c r="B54" t="inlineStr">
        <is>
          <t>V-Guard Industries Ltd</t>
        </is>
      </c>
      <c r="C54" t="inlineStr">
        <is>
          <t>INE951I01027</t>
        </is>
      </c>
      <c r="D54" t="inlineStr">
        <is>
          <t>Consumer Durables</t>
        </is>
      </c>
      <c r="E54" t="n">
        <v>360952</v>
      </c>
      <c r="F54" t="n">
        <v>1183.92</v>
      </c>
      <c r="G54" t="n">
        <v>0.75</v>
      </c>
      <c r="H54" t="inlineStr">
        <is>
          <t>Small Cap</t>
        </is>
      </c>
    </row>
    <row r="55">
      <c r="B55" t="inlineStr">
        <is>
          <t>Gland Pharma Ltd</t>
        </is>
      </c>
      <c r="C55" t="inlineStr">
        <is>
          <t>INE068V01023</t>
        </is>
      </c>
      <c r="D55" t="inlineStr">
        <is>
          <t>Pharmaceuticals &amp; Biotechnology</t>
        </is>
      </c>
      <c r="E55" t="n">
        <v>67741</v>
      </c>
      <c r="F55" t="n">
        <v>1166.5</v>
      </c>
      <c r="G55" t="n">
        <v>0.73</v>
      </c>
      <c r="H55" t="inlineStr">
        <is>
          <t>Small Cap</t>
        </is>
      </c>
    </row>
    <row r="56">
      <c r="B56" t="inlineStr">
        <is>
          <t>Schaeffler India Ltd</t>
        </is>
      </c>
      <c r="C56" t="inlineStr">
        <is>
          <t>INE513A01022</t>
        </is>
      </c>
      <c r="D56" t="inlineStr">
        <is>
          <t>Auto Components</t>
        </is>
      </c>
      <c r="E56" t="n">
        <v>25737</v>
      </c>
      <c r="F56" t="n">
        <v>998.34</v>
      </c>
      <c r="G56" t="n">
        <v>0.63</v>
      </c>
      <c r="H56" t="inlineStr">
        <is>
          <t>Mid Cap</t>
        </is>
      </c>
    </row>
    <row r="57">
      <c r="B57" t="inlineStr">
        <is>
          <t>KSB Ltd</t>
        </is>
      </c>
      <c r="C57" t="inlineStr">
        <is>
          <t>INE999A01023</t>
        </is>
      </c>
      <c r="D57" t="inlineStr">
        <is>
          <t>Industrial Products</t>
        </is>
      </c>
      <c r="E57" t="n">
        <v>131195</v>
      </c>
      <c r="F57" t="n">
        <v>990.1900000000001</v>
      </c>
      <c r="G57" t="n">
        <v>0.62</v>
      </c>
      <c r="H57" t="inlineStr">
        <is>
          <t>Small Cap</t>
        </is>
      </c>
    </row>
    <row r="58">
      <c r="B58" t="inlineStr">
        <is>
          <t>Concord Biotech Ltd</t>
        </is>
      </c>
      <c r="C58" t="inlineStr">
        <is>
          <t>INE338H01029</t>
        </is>
      </c>
      <c r="D58" t="inlineStr">
        <is>
          <t>Pharmaceuticals &amp; Biotechnology</t>
        </is>
      </c>
      <c r="E58" t="n">
        <v>65725</v>
      </c>
      <c r="F58" t="n">
        <v>884.4</v>
      </c>
      <c r="G58" t="n">
        <v>0.5600000000000001</v>
      </c>
      <c r="H58" t="inlineStr">
        <is>
          <t>Small Cap</t>
        </is>
      </c>
    </row>
    <row r="59">
      <c r="B59" t="inlineStr">
        <is>
          <t>Cello World Ltd</t>
        </is>
      </c>
      <c r="C59" t="inlineStr">
        <is>
          <t>INE0LMW01024</t>
        </is>
      </c>
      <c r="D59" t="inlineStr">
        <is>
          <t>Consumer Durables</t>
        </is>
      </c>
      <c r="E59" t="n">
        <v>131343</v>
      </c>
      <c r="F59" t="n">
        <v>712.08</v>
      </c>
      <c r="G59" t="n">
        <v>0.45</v>
      </c>
      <c r="H59" t="inlineStr">
        <is>
          <t>Small Cap</t>
        </is>
      </c>
    </row>
    <row r="60">
      <c r="B60" t="inlineStr">
        <is>
          <t>Sub Total</t>
        </is>
      </c>
      <c r="F60">
        <f>SUM(F7:F59)</f>
        <v/>
      </c>
      <c r="G60">
        <f>SUM(G7:G59)</f>
        <v/>
      </c>
    </row>
    <row r="61">
      <c r="B61" t="inlineStr">
        <is>
          <t>Total</t>
        </is>
      </c>
      <c r="F61">
        <f>F60</f>
        <v/>
      </c>
      <c r="G61">
        <f>G60</f>
        <v/>
      </c>
    </row>
    <row r="62">
      <c r="B62" t="inlineStr">
        <is>
          <t>TREPS</t>
        </is>
      </c>
    </row>
    <row r="63">
      <c r="B63" t="inlineStr">
        <is>
          <t>TREPS</t>
        </is>
      </c>
      <c r="F63" t="n">
        <v>5214.93</v>
      </c>
      <c r="G63" t="n">
        <v>3.28</v>
      </c>
    </row>
    <row r="64">
      <c r="B64" t="inlineStr">
        <is>
          <t>Sub Total</t>
        </is>
      </c>
      <c r="F64">
        <f>SUM(F62:F63)</f>
        <v/>
      </c>
      <c r="G64">
        <f>SUM(G62:G63)</f>
        <v/>
      </c>
    </row>
    <row r="65">
      <c r="B65" t="inlineStr">
        <is>
          <t>Total</t>
        </is>
      </c>
      <c r="F65">
        <f>F64</f>
        <v/>
      </c>
      <c r="G65">
        <f>G64</f>
        <v/>
      </c>
    </row>
    <row r="66">
      <c r="B66" t="inlineStr">
        <is>
          <t>Net Receivables / (Payables)</t>
        </is>
      </c>
      <c r="F66">
        <f>F67-(+F61+F65)</f>
        <v/>
      </c>
      <c r="G66">
        <f>G67-(+G61+G65)</f>
        <v/>
      </c>
    </row>
    <row r="67">
      <c r="B67" t="inlineStr">
        <is>
          <t>Grand Total</t>
        </is>
      </c>
      <c r="F67" t="n">
        <v>158859.63</v>
      </c>
      <c r="G67" t="n">
        <v>100</v>
      </c>
    </row>
    <row r="68"/>
    <row r="69">
      <c r="B69" t="inlineStr">
        <is>
          <t>Residual Maturity</t>
        </is>
      </c>
      <c r="C69" t="inlineStr">
        <is>
          <t>0.0027 Years</t>
        </is>
      </c>
    </row>
    <row r="70"/>
    <row r="71">
      <c r="B71" t="inlineStr">
        <is>
          <t>Please refer the below link for the performance of the Schemes managed by Canara Robeco Mutual Fund</t>
        </is>
      </c>
    </row>
    <row r="72"/>
    <row r="73">
      <c r="B73" t="inlineStr">
        <is>
          <t>https://www.canararobeco.com/docs/default-source/default-document-library/Scheme_Performance_December_25.pdf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55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SMALL CAP FUND</t>
        </is>
      </c>
    </row>
    <row r="2"/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Multi Commodity Exchange Of India Ltd</t>
        </is>
      </c>
      <c r="C7" t="inlineStr">
        <is>
          <t>INE745G01035</t>
        </is>
      </c>
      <c r="D7" t="inlineStr">
        <is>
          <t>Capital Markets</t>
        </is>
      </c>
      <c r="E7" t="n">
        <v>445044</v>
      </c>
      <c r="F7" t="n">
        <v>49560.1</v>
      </c>
      <c r="G7" t="n">
        <v>3.78</v>
      </c>
      <c r="H7" t="inlineStr">
        <is>
          <t>Mid Cap</t>
        </is>
      </c>
    </row>
    <row r="8">
      <c r="B8" t="inlineStr">
        <is>
          <t>KEI Industries Ltd</t>
        </is>
      </c>
      <c r="C8" t="inlineStr">
        <is>
          <t>INE878B01027</t>
        </is>
      </c>
      <c r="D8" t="inlineStr">
        <is>
          <t>Industrial Products</t>
        </is>
      </c>
      <c r="E8" t="n">
        <v>782973</v>
      </c>
      <c r="F8" t="n">
        <v>34922.16</v>
      </c>
      <c r="G8" t="n">
        <v>2.67</v>
      </c>
      <c r="H8" t="inlineStr">
        <is>
          <t>Mid Cap</t>
        </is>
      </c>
    </row>
    <row r="9">
      <c r="B9" t="inlineStr">
        <is>
          <t>City Union Bank Ltd</t>
        </is>
      </c>
      <c r="C9" t="inlineStr">
        <is>
          <t>INE491A01021</t>
        </is>
      </c>
      <c r="D9" t="inlineStr">
        <is>
          <t>Banks</t>
        </is>
      </c>
      <c r="E9" t="n">
        <v>11901992</v>
      </c>
      <c r="F9" t="n">
        <v>34610.99</v>
      </c>
      <c r="G9" t="n">
        <v>2.64</v>
      </c>
      <c r="H9" t="inlineStr">
        <is>
          <t>Small Cap</t>
        </is>
      </c>
    </row>
    <row r="10">
      <c r="B10" t="inlineStr">
        <is>
          <t>Karur Vysya Bank Ltd</t>
        </is>
      </c>
      <c r="C10" t="inlineStr">
        <is>
          <t>INE036D01028</t>
        </is>
      </c>
      <c r="D10" t="inlineStr">
        <is>
          <t>Banks</t>
        </is>
      </c>
      <c r="E10" t="n">
        <v>12312617</v>
      </c>
      <c r="F10" t="n">
        <v>32484.38</v>
      </c>
      <c r="G10" t="n">
        <v>2.48</v>
      </c>
      <c r="H10" t="inlineStr">
        <is>
          <t>Small Cap</t>
        </is>
      </c>
    </row>
    <row r="11">
      <c r="B11" t="inlineStr">
        <is>
          <t>Ge Vernova T&amp;D India Ltd</t>
        </is>
      </c>
      <c r="C11" t="inlineStr">
        <is>
          <t>INE200A01026</t>
        </is>
      </c>
      <c r="D11" t="inlineStr">
        <is>
          <t>Electrical Equipment</t>
        </is>
      </c>
      <c r="E11" t="n">
        <v>893797</v>
      </c>
      <c r="F11" t="n">
        <v>27998.19</v>
      </c>
      <c r="G11" t="n">
        <v>2.14</v>
      </c>
      <c r="H11" t="inlineStr">
        <is>
          <t>Mid Cap</t>
        </is>
      </c>
    </row>
    <row r="12">
      <c r="B12" t="inlineStr">
        <is>
          <t>TBO Tek Ltd</t>
        </is>
      </c>
      <c r="C12" t="inlineStr">
        <is>
          <t>INE673O01025</t>
        </is>
      </c>
      <c r="D12" t="inlineStr">
        <is>
          <t>Leisure Services</t>
        </is>
      </c>
      <c r="E12" t="n">
        <v>1496909</v>
      </c>
      <c r="F12" t="n">
        <v>24889.11</v>
      </c>
      <c r="G12" t="n">
        <v>1.9</v>
      </c>
      <c r="H12" t="inlineStr">
        <is>
          <t>Small Cap</t>
        </is>
      </c>
    </row>
    <row r="13">
      <c r="B13" t="inlineStr">
        <is>
          <t>J.B. Chemicals &amp; Pharmaceuticals Ltd</t>
        </is>
      </c>
      <c r="C13" t="inlineStr">
        <is>
          <t>INE572A01036</t>
        </is>
      </c>
      <c r="D13" t="inlineStr">
        <is>
          <t>Pharmaceuticals &amp; Biotechnology</t>
        </is>
      </c>
      <c r="E13" t="n">
        <v>1353805</v>
      </c>
      <c r="F13" t="n">
        <v>24635.19</v>
      </c>
      <c r="G13" t="n">
        <v>1.88</v>
      </c>
      <c r="H13" t="inlineStr">
        <is>
          <t>Small Cap</t>
        </is>
      </c>
      <c r="L13" t="inlineStr">
        <is>
          <t>Benchmark: Nifty Smallcap 250 Index TRI</t>
        </is>
      </c>
    </row>
    <row r="14">
      <c r="B14" t="inlineStr">
        <is>
          <t>PNB Housing Finance Ltd</t>
        </is>
      </c>
      <c r="C14" t="inlineStr">
        <is>
          <t>INE572E01012</t>
        </is>
      </c>
      <c r="D14" t="inlineStr">
        <is>
          <t>Finance</t>
        </is>
      </c>
      <c r="E14" t="n">
        <v>2359713</v>
      </c>
      <c r="F14" t="n">
        <v>22452.67</v>
      </c>
      <c r="G14" t="n">
        <v>1.71</v>
      </c>
      <c r="H14" t="inlineStr">
        <is>
          <t>Small Cap</t>
        </is>
      </c>
    </row>
    <row r="15">
      <c r="B15" t="inlineStr">
        <is>
          <t>Blue Star Ltd</t>
        </is>
      </c>
      <c r="C15" t="inlineStr">
        <is>
          <t>INE472A01039</t>
        </is>
      </c>
      <c r="D15" t="inlineStr">
        <is>
          <t>Consumer Durables</t>
        </is>
      </c>
      <c r="E15" t="n">
        <v>1274202</v>
      </c>
      <c r="F15" t="n">
        <v>22052.61</v>
      </c>
      <c r="G15" t="n">
        <v>1.68</v>
      </c>
      <c r="H15" t="inlineStr">
        <is>
          <t>Mid Cap</t>
        </is>
      </c>
    </row>
    <row r="16">
      <c r="B16" t="inlineStr">
        <is>
          <t>Cholamandalam Financial Holdings Ltd</t>
        </is>
      </c>
      <c r="C16" t="inlineStr">
        <is>
          <t>INE149A01033</t>
        </is>
      </c>
      <c r="D16" t="inlineStr">
        <is>
          <t>Finance</t>
        </is>
      </c>
      <c r="E16" t="n">
        <v>1149717</v>
      </c>
      <c r="F16" t="n">
        <v>20843.22</v>
      </c>
      <c r="G16" t="n">
        <v>1.59</v>
      </c>
      <c r="H16" t="inlineStr">
        <is>
          <t>Mid Cap</t>
        </is>
      </c>
    </row>
    <row r="17">
      <c r="B17" t="inlineStr">
        <is>
          <t>Radico Khaitan Ltd</t>
        </is>
      </c>
      <c r="C17" t="inlineStr">
        <is>
          <t>INE944F01028</t>
        </is>
      </c>
      <c r="D17" t="inlineStr">
        <is>
          <t>Beverages</t>
        </is>
      </c>
      <c r="E17" t="n">
        <v>617287</v>
      </c>
      <c r="F17" t="n">
        <v>20360.59</v>
      </c>
      <c r="G17" t="n">
        <v>1.55</v>
      </c>
      <c r="H17" t="inlineStr">
        <is>
          <t>Mid Cap</t>
        </is>
      </c>
    </row>
    <row r="18">
      <c r="B18" t="inlineStr">
        <is>
          <t>National Aluminium Co Ltd</t>
        </is>
      </c>
      <c r="C18" t="inlineStr">
        <is>
          <t>INE139A01034</t>
        </is>
      </c>
      <c r="D18" t="inlineStr">
        <is>
          <t>Non - Ferrous Metals</t>
        </is>
      </c>
      <c r="E18" t="n">
        <v>6419234</v>
      </c>
      <c r="F18" t="n">
        <v>20175.65</v>
      </c>
      <c r="G18" t="n">
        <v>1.54</v>
      </c>
      <c r="H18" t="inlineStr">
        <is>
          <t>Mid Cap</t>
        </is>
      </c>
    </row>
    <row r="19">
      <c r="B19" t="inlineStr">
        <is>
          <t>Anand Rathi Wealth Ltd</t>
        </is>
      </c>
      <c r="C19" t="inlineStr">
        <is>
          <t>INE463V01026</t>
        </is>
      </c>
      <c r="D19" t="inlineStr">
        <is>
          <t>Capital Markets</t>
        </is>
      </c>
      <c r="E19" t="n">
        <v>638582</v>
      </c>
      <c r="F19" t="n">
        <v>19875.23</v>
      </c>
      <c r="G19" t="n">
        <v>1.52</v>
      </c>
      <c r="H19" t="inlineStr">
        <is>
          <t>Small Cap</t>
        </is>
      </c>
    </row>
    <row r="20">
      <c r="B20" t="inlineStr">
        <is>
          <t>EID Parry India Ltd</t>
        </is>
      </c>
      <c r="C20" t="inlineStr">
        <is>
          <t>INE126A01031</t>
        </is>
      </c>
      <c r="D20" t="inlineStr">
        <is>
          <t>Food Products</t>
        </is>
      </c>
      <c r="E20" t="n">
        <v>1910926</v>
      </c>
      <c r="F20" t="n">
        <v>19772.35</v>
      </c>
      <c r="G20" t="n">
        <v>1.51</v>
      </c>
      <c r="H20" t="inlineStr">
        <is>
          <t>Small Cap</t>
        </is>
      </c>
    </row>
    <row r="21">
      <c r="B21" t="inlineStr">
        <is>
          <t>Aditya Birla Real Estate Ltd</t>
        </is>
      </c>
      <c r="C21" t="inlineStr">
        <is>
          <t>INE055A01016</t>
        </is>
      </c>
      <c r="D21" t="inlineStr">
        <is>
          <t>Paper, Forest &amp; Jute Products</t>
        </is>
      </c>
      <c r="E21" t="n">
        <v>1173112</v>
      </c>
      <c r="F21" t="n">
        <v>19647.28</v>
      </c>
      <c r="G21" t="n">
        <v>1.5</v>
      </c>
      <c r="H21" t="inlineStr">
        <is>
          <t>Small Cap</t>
        </is>
      </c>
    </row>
    <row r="22">
      <c r="B22" t="inlineStr">
        <is>
          <t>Ajanta Pharma Ltd</t>
        </is>
      </c>
      <c r="C22" t="inlineStr">
        <is>
          <t>INE031B01049</t>
        </is>
      </c>
      <c r="D22" t="inlineStr">
        <is>
          <t>Pharmaceuticals &amp; Biotechnology</t>
        </is>
      </c>
      <c r="E22" t="n">
        <v>698037</v>
      </c>
      <c r="F22" t="n">
        <v>19327.95</v>
      </c>
      <c r="G22" t="n">
        <v>1.48</v>
      </c>
      <c r="H22" t="inlineStr">
        <is>
          <t>Small Cap</t>
        </is>
      </c>
    </row>
    <row r="23">
      <c r="B23" t="inlineStr">
        <is>
          <t>Amber Enterprises India Ltd</t>
        </is>
      </c>
      <c r="C23" t="inlineStr">
        <is>
          <t>INE371P01015</t>
        </is>
      </c>
      <c r="D23" t="inlineStr">
        <is>
          <t>Consumer Durables</t>
        </is>
      </c>
      <c r="E23" t="n">
        <v>295735</v>
      </c>
      <c r="F23" t="n">
        <v>18888.59</v>
      </c>
      <c r="G23" t="n">
        <v>1.44</v>
      </c>
      <c r="H23" t="inlineStr">
        <is>
          <t>Small Cap</t>
        </is>
      </c>
    </row>
    <row r="24">
      <c r="B24" t="inlineStr">
        <is>
          <t>Bharat Electronics Ltd</t>
        </is>
      </c>
      <c r="C24" t="inlineStr">
        <is>
          <t>INE263A01024</t>
        </is>
      </c>
      <c r="D24" t="inlineStr">
        <is>
          <t>Aerospace &amp; Defense</t>
        </is>
      </c>
      <c r="E24" t="n">
        <v>4679818</v>
      </c>
      <c r="F24" t="n">
        <v>18700.55</v>
      </c>
      <c r="G24" t="n">
        <v>1.43</v>
      </c>
      <c r="H24" t="inlineStr">
        <is>
          <t>Large Cap</t>
        </is>
      </c>
    </row>
    <row r="25">
      <c r="B25" t="inlineStr">
        <is>
          <t>Indian Bank</t>
        </is>
      </c>
      <c r="C25" t="inlineStr">
        <is>
          <t>INE562A01011</t>
        </is>
      </c>
      <c r="D25" t="inlineStr">
        <is>
          <t>Banks</t>
        </is>
      </c>
      <c r="E25" t="n">
        <v>2233399</v>
      </c>
      <c r="F25" t="n">
        <v>18699.13</v>
      </c>
      <c r="G25" t="n">
        <v>1.43</v>
      </c>
      <c r="H25" t="inlineStr">
        <is>
          <t>Mid Cap</t>
        </is>
      </c>
    </row>
    <row r="26">
      <c r="B26" t="inlineStr">
        <is>
          <t>Computer Age Management Services Ltd</t>
        </is>
      </c>
      <c r="C26" t="inlineStr">
        <is>
          <t>INE596I01020</t>
        </is>
      </c>
      <c r="D26" t="inlineStr">
        <is>
          <t>Capital Markets</t>
        </is>
      </c>
      <c r="E26" t="n">
        <v>2515080</v>
      </c>
      <c r="F26" t="n">
        <v>18634.23</v>
      </c>
      <c r="G26" t="n">
        <v>1.42</v>
      </c>
      <c r="H26" t="inlineStr">
        <is>
          <t>Small Cap</t>
        </is>
      </c>
    </row>
    <row r="27">
      <c r="B27" t="inlineStr">
        <is>
          <t>Eternal Ltd</t>
        </is>
      </c>
      <c r="C27" t="inlineStr">
        <is>
          <t>INE758T01015</t>
        </is>
      </c>
      <c r="D27" t="inlineStr">
        <is>
          <t>Retailing</t>
        </is>
      </c>
      <c r="E27" t="n">
        <v>6691859</v>
      </c>
      <c r="F27" t="n">
        <v>18606.71</v>
      </c>
      <c r="G27" t="n">
        <v>1.42</v>
      </c>
      <c r="H27" t="inlineStr">
        <is>
          <t>Large Cap</t>
        </is>
      </c>
    </row>
    <row r="28">
      <c r="B28" t="inlineStr">
        <is>
          <t>Affle 3i Ltd</t>
        </is>
      </c>
      <c r="C28" t="inlineStr">
        <is>
          <t>INE00WC01027</t>
        </is>
      </c>
      <c r="D28" t="inlineStr">
        <is>
          <t>IT - Services</t>
        </is>
      </c>
      <c r="E28" t="n">
        <v>1008900</v>
      </c>
      <c r="F28" t="n">
        <v>18154.15</v>
      </c>
      <c r="G28" t="n">
        <v>1.39</v>
      </c>
      <c r="H28" t="inlineStr">
        <is>
          <t>Small Cap</t>
        </is>
      </c>
    </row>
    <row r="29">
      <c r="B29" t="inlineStr">
        <is>
          <t>Equitas Small Finance Bank Ltd</t>
        </is>
      </c>
      <c r="C29" t="inlineStr">
        <is>
          <t>INE063P01018</t>
        </is>
      </c>
      <c r="D29" t="inlineStr">
        <is>
          <t>Banks</t>
        </is>
      </c>
      <c r="E29" t="n">
        <v>28371594</v>
      </c>
      <c r="F29" t="n">
        <v>17871.27</v>
      </c>
      <c r="G29" t="n">
        <v>1.36</v>
      </c>
      <c r="H29" t="inlineStr">
        <is>
          <t>Small Cap</t>
        </is>
      </c>
    </row>
    <row r="30">
      <c r="B30" t="inlineStr">
        <is>
          <t>V-Guard Industries Ltd</t>
        </is>
      </c>
      <c r="C30" t="inlineStr">
        <is>
          <t>INE951I01027</t>
        </is>
      </c>
      <c r="D30" t="inlineStr">
        <is>
          <t>Consumer Durables</t>
        </is>
      </c>
      <c r="E30" t="n">
        <v>5320202</v>
      </c>
      <c r="F30" t="n">
        <v>17450.26</v>
      </c>
      <c r="G30" t="n">
        <v>1.33</v>
      </c>
      <c r="H30" t="inlineStr">
        <is>
          <t>Small Cap</t>
        </is>
      </c>
    </row>
    <row r="31">
      <c r="B31" t="inlineStr">
        <is>
          <t>Ujjivan Small Finance Bank Ltd</t>
        </is>
      </c>
      <c r="C31" t="inlineStr">
        <is>
          <t>INE551W01018</t>
        </is>
      </c>
      <c r="D31" t="inlineStr">
        <is>
          <t>Banks</t>
        </is>
      </c>
      <c r="E31" t="n">
        <v>32677553</v>
      </c>
      <c r="F31" t="n">
        <v>17315.84</v>
      </c>
      <c r="G31" t="n">
        <v>1.32</v>
      </c>
      <c r="H31" t="inlineStr">
        <is>
          <t>Small Cap</t>
        </is>
      </c>
    </row>
    <row r="32">
      <c r="B32" t="inlineStr">
        <is>
          <t>Creditaccess Grameen Ltd</t>
        </is>
      </c>
      <c r="C32" t="inlineStr">
        <is>
          <t>INE741K01010</t>
        </is>
      </c>
      <c r="D32" t="inlineStr">
        <is>
          <t>Finance</t>
        </is>
      </c>
      <c r="E32" t="n">
        <v>1323847</v>
      </c>
      <c r="F32" t="n">
        <v>16860.52</v>
      </c>
      <c r="G32" t="n">
        <v>1.29</v>
      </c>
      <c r="H32" t="inlineStr">
        <is>
          <t>Small Cap</t>
        </is>
      </c>
    </row>
    <row r="33">
      <c r="B33" t="inlineStr">
        <is>
          <t>Sobha Ltd</t>
        </is>
      </c>
      <c r="C33" t="inlineStr">
        <is>
          <t>INE671H01015</t>
        </is>
      </c>
      <c r="D33" t="inlineStr">
        <is>
          <t>Realty</t>
        </is>
      </c>
      <c r="E33" t="n">
        <v>1105214</v>
      </c>
      <c r="F33" t="n">
        <v>16128.39</v>
      </c>
      <c r="G33" t="n">
        <v>1.23</v>
      </c>
      <c r="H33" t="inlineStr">
        <is>
          <t>Small Cap</t>
        </is>
      </c>
    </row>
    <row r="34">
      <c r="B34" t="inlineStr">
        <is>
          <t>Can Fin Homes Ltd</t>
        </is>
      </c>
      <c r="C34" t="inlineStr">
        <is>
          <t>INE477A01020</t>
        </is>
      </c>
      <c r="D34" t="inlineStr">
        <is>
          <t>Finance</t>
        </is>
      </c>
      <c r="E34" t="n">
        <v>1717975</v>
      </c>
      <c r="F34" t="n">
        <v>15978.03</v>
      </c>
      <c r="G34" t="n">
        <v>1.22</v>
      </c>
      <c r="H34" t="inlineStr">
        <is>
          <t>Small Cap</t>
        </is>
      </c>
    </row>
    <row r="35">
      <c r="B35" t="inlineStr">
        <is>
          <t>Cera Sanitaryware Ltd</t>
        </is>
      </c>
      <c r="C35" t="inlineStr">
        <is>
          <t>INE739E01017</t>
        </is>
      </c>
      <c r="D35" t="inlineStr">
        <is>
          <t>Consumer Durables</t>
        </is>
      </c>
      <c r="E35" t="n">
        <v>304497</v>
      </c>
      <c r="F35" t="n">
        <v>15941.94</v>
      </c>
      <c r="G35" t="n">
        <v>1.22</v>
      </c>
      <c r="H35" t="inlineStr">
        <is>
          <t>Small Cap</t>
        </is>
      </c>
    </row>
    <row r="36">
      <c r="B36" t="inlineStr">
        <is>
          <t>Sagility Ltd</t>
        </is>
      </c>
      <c r="C36" t="inlineStr">
        <is>
          <t>INE0W2G01015</t>
        </is>
      </c>
      <c r="D36" t="inlineStr">
        <is>
          <t>IT - Services</t>
        </is>
      </c>
      <c r="E36" t="n">
        <v>30365543</v>
      </c>
      <c r="F36" t="n">
        <v>15796.16</v>
      </c>
      <c r="G36" t="n">
        <v>1.21</v>
      </c>
      <c r="H36" t="inlineStr">
        <is>
          <t>Small Cap</t>
        </is>
      </c>
    </row>
    <row r="37">
      <c r="B37" t="inlineStr">
        <is>
          <t>Bikaji Foods International Ltd</t>
        </is>
      </c>
      <c r="C37" t="inlineStr">
        <is>
          <t>INE00E101023</t>
        </is>
      </c>
      <c r="D37" t="inlineStr">
        <is>
          <t>Food Products</t>
        </is>
      </c>
      <c r="E37" t="n">
        <v>2066242</v>
      </c>
      <c r="F37" t="n">
        <v>15492.68</v>
      </c>
      <c r="G37" t="n">
        <v>1.18</v>
      </c>
      <c r="H37" t="inlineStr">
        <is>
          <t>Small Cap</t>
        </is>
      </c>
    </row>
    <row r="38">
      <c r="B38" t="inlineStr">
        <is>
          <t>Birlasoft Ltd</t>
        </is>
      </c>
      <c r="C38" t="inlineStr">
        <is>
          <t>INE836A01035</t>
        </is>
      </c>
      <c r="D38" t="inlineStr">
        <is>
          <t>IT - Software</t>
        </is>
      </c>
      <c r="E38" t="n">
        <v>3516063</v>
      </c>
      <c r="F38" t="n">
        <v>15235.1</v>
      </c>
      <c r="G38" t="n">
        <v>1.16</v>
      </c>
      <c r="H38" t="inlineStr">
        <is>
          <t>Small Cap</t>
        </is>
      </c>
    </row>
    <row r="39">
      <c r="B39" t="inlineStr">
        <is>
          <t>Global Health Ltd</t>
        </is>
      </c>
      <c r="C39" t="inlineStr">
        <is>
          <t>INE474Q01031</t>
        </is>
      </c>
      <c r="D39" t="inlineStr">
        <is>
          <t>Healthcare Services</t>
        </is>
      </c>
      <c r="E39" t="n">
        <v>1270991</v>
      </c>
      <c r="F39" t="n">
        <v>15079.04</v>
      </c>
      <c r="G39" t="n">
        <v>1.15</v>
      </c>
      <c r="H39" t="inlineStr">
        <is>
          <t>Mid Cap</t>
        </is>
      </c>
    </row>
    <row r="40">
      <c r="B40" t="inlineStr">
        <is>
          <t>JK Lakshmi Cement Ltd</t>
        </is>
      </c>
      <c r="C40" t="inlineStr">
        <is>
          <t>INE786A01032</t>
        </is>
      </c>
      <c r="D40" t="inlineStr">
        <is>
          <t>Cement &amp; Cement Products</t>
        </is>
      </c>
      <c r="E40" t="n">
        <v>1927364</v>
      </c>
      <c r="F40" t="n">
        <v>14996.82</v>
      </c>
      <c r="G40" t="n">
        <v>1.14</v>
      </c>
      <c r="H40" t="inlineStr">
        <is>
          <t>Small Cap</t>
        </is>
      </c>
    </row>
    <row r="41">
      <c r="B41" t="inlineStr">
        <is>
          <t>Interglobe Aviation Ltd</t>
        </is>
      </c>
      <c r="C41" t="inlineStr">
        <is>
          <t>INE646L01027</t>
        </is>
      </c>
      <c r="D41" t="inlineStr">
        <is>
          <t>Transport Services</t>
        </is>
      </c>
      <c r="E41" t="n">
        <v>296081</v>
      </c>
      <c r="F41" t="n">
        <v>14980.22</v>
      </c>
      <c r="G41" t="n">
        <v>1.14</v>
      </c>
      <c r="H41" t="inlineStr">
        <is>
          <t>Large Cap</t>
        </is>
      </c>
    </row>
    <row r="42">
      <c r="B42" t="inlineStr">
        <is>
          <t>Indian Hotels Co Ltd</t>
        </is>
      </c>
      <c r="C42" t="inlineStr">
        <is>
          <t>INE053A01029</t>
        </is>
      </c>
      <c r="D42" t="inlineStr">
        <is>
          <t>Leisure Services</t>
        </is>
      </c>
      <c r="E42" t="n">
        <v>2004471</v>
      </c>
      <c r="F42" t="n">
        <v>14810.03</v>
      </c>
      <c r="G42" t="n">
        <v>1.13</v>
      </c>
      <c r="H42" t="inlineStr">
        <is>
          <t>Large Cap</t>
        </is>
      </c>
    </row>
    <row r="43">
      <c r="B43" t="inlineStr">
        <is>
          <t>Bajaj Finance Ltd</t>
        </is>
      </c>
      <c r="C43" t="inlineStr">
        <is>
          <t>INE296A01032</t>
        </is>
      </c>
      <c r="D43" t="inlineStr">
        <is>
          <t>Finance</t>
        </is>
      </c>
      <c r="E43" t="n">
        <v>1495000</v>
      </c>
      <c r="F43" t="n">
        <v>14752.66</v>
      </c>
      <c r="G43" t="n">
        <v>1.13</v>
      </c>
      <c r="H43" t="inlineStr">
        <is>
          <t>Large Cap</t>
        </is>
      </c>
    </row>
    <row r="44">
      <c r="B44" t="inlineStr">
        <is>
          <t>CESC Ltd</t>
        </is>
      </c>
      <c r="C44" t="inlineStr">
        <is>
          <t>INE486A01021</t>
        </is>
      </c>
      <c r="D44" t="inlineStr">
        <is>
          <t>Power</t>
        </is>
      </c>
      <c r="E44" t="n">
        <v>8694821</v>
      </c>
      <c r="F44" t="n">
        <v>14569.04</v>
      </c>
      <c r="G44" t="n">
        <v>1.11</v>
      </c>
      <c r="H44" t="inlineStr">
        <is>
          <t>Small Cap</t>
        </is>
      </c>
    </row>
    <row r="45">
      <c r="B45" t="inlineStr">
        <is>
          <t>Schaeffler India Ltd</t>
        </is>
      </c>
      <c r="C45" t="inlineStr">
        <is>
          <t>INE513A01022</t>
        </is>
      </c>
      <c r="D45" t="inlineStr">
        <is>
          <t>Auto Components</t>
        </is>
      </c>
      <c r="E45" t="n">
        <v>374832</v>
      </c>
      <c r="F45" t="n">
        <v>14539.73</v>
      </c>
      <c r="G45" t="n">
        <v>1.11</v>
      </c>
      <c r="H45" t="inlineStr">
        <is>
          <t>Mid Cap</t>
        </is>
      </c>
    </row>
    <row r="46">
      <c r="B46" t="inlineStr">
        <is>
          <t>Safari Industries (India) Ltd</t>
        </is>
      </c>
      <c r="C46" t="inlineStr">
        <is>
          <t>INE429E01023</t>
        </is>
      </c>
      <c r="D46" t="inlineStr">
        <is>
          <t>Consumer Durables</t>
        </is>
      </c>
      <c r="E46" t="n">
        <v>661830</v>
      </c>
      <c r="F46" t="n">
        <v>14390.83</v>
      </c>
      <c r="G46" t="n">
        <v>1.1</v>
      </c>
      <c r="H46" t="inlineStr">
        <is>
          <t>Small Cap</t>
        </is>
      </c>
    </row>
    <row r="47">
      <c r="B47" t="inlineStr">
        <is>
          <t>KEC International Ltd</t>
        </is>
      </c>
      <c r="C47" t="inlineStr">
        <is>
          <t>INE389H01022</t>
        </is>
      </c>
      <c r="D47" t="inlineStr">
        <is>
          <t>Construction</t>
        </is>
      </c>
      <c r="E47" t="n">
        <v>1950052</v>
      </c>
      <c r="F47" t="n">
        <v>14389.43</v>
      </c>
      <c r="G47" t="n">
        <v>1.1</v>
      </c>
      <c r="H47" t="inlineStr">
        <is>
          <t>Small Cap</t>
        </is>
      </c>
    </row>
    <row r="48">
      <c r="B48" t="inlineStr">
        <is>
          <t>Metropolis Healthcare Ltd</t>
        </is>
      </c>
      <c r="C48" t="inlineStr">
        <is>
          <t>INE112L01020</t>
        </is>
      </c>
      <c r="D48" t="inlineStr">
        <is>
          <t>Healthcare Services</t>
        </is>
      </c>
      <c r="E48" t="n">
        <v>743790</v>
      </c>
      <c r="F48" t="n">
        <v>14346.97</v>
      </c>
      <c r="G48" t="n">
        <v>1.1</v>
      </c>
      <c r="H48" t="inlineStr">
        <is>
          <t>Small Cap</t>
        </is>
      </c>
    </row>
    <row r="49">
      <c r="B49" t="inlineStr">
        <is>
          <t>Gland Pharma Ltd</t>
        </is>
      </c>
      <c r="C49" t="inlineStr">
        <is>
          <t>INE068V01023</t>
        </is>
      </c>
      <c r="D49" t="inlineStr">
        <is>
          <t>Pharmaceuticals &amp; Biotechnology</t>
        </is>
      </c>
      <c r="E49" t="n">
        <v>817455</v>
      </c>
      <c r="F49" t="n">
        <v>14076.58</v>
      </c>
      <c r="G49" t="n">
        <v>1.07</v>
      </c>
      <c r="H49" t="inlineStr">
        <is>
          <t>Small Cap</t>
        </is>
      </c>
    </row>
    <row r="50">
      <c r="B50" t="inlineStr">
        <is>
          <t>Tech Mahindra Ltd</t>
        </is>
      </c>
      <c r="C50" t="inlineStr">
        <is>
          <t>INE669C01036</t>
        </is>
      </c>
      <c r="D50" t="inlineStr">
        <is>
          <t>IT - Software</t>
        </is>
      </c>
      <c r="E50" t="n">
        <v>857775</v>
      </c>
      <c r="F50" t="n">
        <v>13646.34</v>
      </c>
      <c r="G50" t="n">
        <v>1.04</v>
      </c>
      <c r="H50" t="inlineStr">
        <is>
          <t>Large Cap</t>
        </is>
      </c>
    </row>
    <row r="51">
      <c r="B51" t="inlineStr">
        <is>
          <t>EPL Ltd</t>
        </is>
      </c>
      <c r="C51" t="inlineStr">
        <is>
          <t>INE255A01020</t>
        </is>
      </c>
      <c r="D51" t="inlineStr">
        <is>
          <t>Industrial Products</t>
        </is>
      </c>
      <c r="E51" t="n">
        <v>6249380</v>
      </c>
      <c r="F51" t="n">
        <v>13449.29</v>
      </c>
      <c r="G51" t="n">
        <v>1.03</v>
      </c>
      <c r="H51" t="inlineStr">
        <is>
          <t>Small Cap</t>
        </is>
      </c>
    </row>
    <row r="52">
      <c r="B52" t="inlineStr">
        <is>
          <t>ICRA Ltd</t>
        </is>
      </c>
      <c r="C52" t="inlineStr">
        <is>
          <t>INE725G01011</t>
        </is>
      </c>
      <c r="D52" t="inlineStr">
        <is>
          <t>Capital Markets</t>
        </is>
      </c>
      <c r="E52" t="n">
        <v>217766</v>
      </c>
      <c r="F52" t="n">
        <v>13230.37</v>
      </c>
      <c r="G52" t="n">
        <v>1.01</v>
      </c>
      <c r="H52" t="inlineStr">
        <is>
          <t>Small Cap</t>
        </is>
      </c>
    </row>
    <row r="53">
      <c r="B53" t="inlineStr">
        <is>
          <t>ITC Ltd</t>
        </is>
      </c>
      <c r="C53" t="inlineStr">
        <is>
          <t>INE154A01025</t>
        </is>
      </c>
      <c r="D53" t="inlineStr">
        <is>
          <t>Diversified Fmcg</t>
        </is>
      </c>
      <c r="E53" t="n">
        <v>3259763</v>
      </c>
      <c r="F53" t="n">
        <v>13136.84</v>
      </c>
      <c r="G53" t="n">
        <v>1</v>
      </c>
      <c r="H53" t="inlineStr">
        <is>
          <t>Large Cap</t>
        </is>
      </c>
    </row>
    <row r="54">
      <c r="B54" t="inlineStr">
        <is>
          <t>Home First Finance Co India Ltd</t>
        </is>
      </c>
      <c r="C54" t="inlineStr">
        <is>
          <t>INE481N01025</t>
        </is>
      </c>
      <c r="D54" t="inlineStr">
        <is>
          <t>Finance</t>
        </is>
      </c>
      <c r="E54" t="n">
        <v>1154018</v>
      </c>
      <c r="F54" t="n">
        <v>12719.59</v>
      </c>
      <c r="G54" t="n">
        <v>0.97</v>
      </c>
      <c r="H54" t="inlineStr">
        <is>
          <t>Small Cap</t>
        </is>
      </c>
    </row>
    <row r="55">
      <c r="B55" t="inlineStr">
        <is>
          <t>Awfis Space Solutions Ltd</t>
        </is>
      </c>
      <c r="C55" t="inlineStr">
        <is>
          <t>INE108V01019</t>
        </is>
      </c>
      <c r="D55" t="inlineStr">
        <is>
          <t>Commercial Services &amp; Supplies</t>
        </is>
      </c>
      <c r="E55" t="n">
        <v>2562532</v>
      </c>
      <c r="F55" t="n">
        <v>12628.16</v>
      </c>
      <c r="G55" t="n">
        <v>0.96</v>
      </c>
      <c r="H55" t="inlineStr">
        <is>
          <t>Small Cap</t>
        </is>
      </c>
    </row>
    <row r="56">
      <c r="B56" t="inlineStr">
        <is>
          <t>Max Healthcare Institute Ltd</t>
        </is>
      </c>
      <c r="C56" t="inlineStr">
        <is>
          <t>INE027H01010</t>
        </is>
      </c>
      <c r="D56" t="inlineStr">
        <is>
          <t>Healthcare Services</t>
        </is>
      </c>
      <c r="E56" t="n">
        <v>1179607</v>
      </c>
      <c r="F56" t="n">
        <v>12328.07</v>
      </c>
      <c r="G56" t="n">
        <v>0.9399999999999999</v>
      </c>
      <c r="H56" t="inlineStr">
        <is>
          <t>Large Cap</t>
        </is>
      </c>
    </row>
    <row r="57">
      <c r="B57" t="inlineStr">
        <is>
          <t>The Ramco Cements Ltd</t>
        </is>
      </c>
      <c r="C57" t="inlineStr">
        <is>
          <t>INE331A01037</t>
        </is>
      </c>
      <c r="D57" t="inlineStr">
        <is>
          <t>Cement &amp; Cement Products</t>
        </is>
      </c>
      <c r="E57" t="n">
        <v>1156767</v>
      </c>
      <c r="F57" t="n">
        <v>12222.4</v>
      </c>
      <c r="G57" t="n">
        <v>0.93</v>
      </c>
      <c r="H57" t="inlineStr">
        <is>
          <t>Small Cap</t>
        </is>
      </c>
    </row>
    <row r="58">
      <c r="B58" t="inlineStr">
        <is>
          <t>Triveni Turbine Ltd</t>
        </is>
      </c>
      <c r="C58" t="inlineStr">
        <is>
          <t>INE152M01016</t>
        </is>
      </c>
      <c r="D58" t="inlineStr">
        <is>
          <t>Electrical Equipment</t>
        </is>
      </c>
      <c r="E58" t="n">
        <v>2262603</v>
      </c>
      <c r="F58" t="n">
        <v>12178.46</v>
      </c>
      <c r="G58" t="n">
        <v>0.93</v>
      </c>
      <c r="H58" t="inlineStr">
        <is>
          <t>Small Cap</t>
        </is>
      </c>
    </row>
    <row r="59">
      <c r="B59" t="inlineStr">
        <is>
          <t>Indian Energy Exchange Ltd</t>
        </is>
      </c>
      <c r="C59" t="inlineStr">
        <is>
          <t>INE022Q01020</t>
        </is>
      </c>
      <c r="D59" t="inlineStr">
        <is>
          <t>Capital Markets</t>
        </is>
      </c>
      <c r="E59" t="n">
        <v>8978161</v>
      </c>
      <c r="F59" t="n">
        <v>12050.49</v>
      </c>
      <c r="G59" t="n">
        <v>0.92</v>
      </c>
      <c r="H59" t="inlineStr">
        <is>
          <t>Small Cap</t>
        </is>
      </c>
    </row>
    <row r="60">
      <c r="B60" t="inlineStr">
        <is>
          <t>Cohance Lifesciences Ltd</t>
        </is>
      </c>
      <c r="C60" t="inlineStr">
        <is>
          <t>INE03QK01018</t>
        </is>
      </c>
      <c r="D60" t="inlineStr">
        <is>
          <t>Pharmaceuticals &amp; Biotechnology</t>
        </is>
      </c>
      <c r="E60" t="n">
        <v>2261293</v>
      </c>
      <c r="F60" t="n">
        <v>11953.19</v>
      </c>
      <c r="G60" t="n">
        <v>0.91</v>
      </c>
      <c r="H60" t="inlineStr">
        <is>
          <t>Small Cap</t>
        </is>
      </c>
    </row>
    <row r="61">
      <c r="B61" t="inlineStr">
        <is>
          <t>Exide Industries Ltd</t>
        </is>
      </c>
      <c r="C61" t="inlineStr">
        <is>
          <t>INE302A01020</t>
        </is>
      </c>
      <c r="D61" t="inlineStr">
        <is>
          <t>Auto Components</t>
        </is>
      </c>
      <c r="E61" t="n">
        <v>3258298</v>
      </c>
      <c r="F61" t="n">
        <v>11801.56</v>
      </c>
      <c r="G61" t="n">
        <v>0.9</v>
      </c>
      <c r="H61" t="inlineStr">
        <is>
          <t>Small Cap</t>
        </is>
      </c>
    </row>
    <row r="62">
      <c r="B62" t="inlineStr">
        <is>
          <t>Innova Captab Ltd</t>
        </is>
      </c>
      <c r="C62" t="inlineStr">
        <is>
          <t>INE0DUT01020</t>
        </is>
      </c>
      <c r="D62" t="inlineStr">
        <is>
          <t>Pharmaceuticals &amp; Biotechnology</t>
        </is>
      </c>
      <c r="E62" t="n">
        <v>1629936</v>
      </c>
      <c r="F62" t="n">
        <v>11737.17</v>
      </c>
      <c r="G62" t="n">
        <v>0.9</v>
      </c>
      <c r="H62" t="inlineStr">
        <is>
          <t>Small Cap</t>
        </is>
      </c>
    </row>
    <row r="63">
      <c r="B63" t="inlineStr">
        <is>
          <t>Piramal Pharma Ltd</t>
        </is>
      </c>
      <c r="C63" t="inlineStr">
        <is>
          <t>INE0DK501011</t>
        </is>
      </c>
      <c r="D63" t="inlineStr">
        <is>
          <t>Pharmaceuticals &amp; Biotechnology</t>
        </is>
      </c>
      <c r="E63" t="n">
        <v>6712333</v>
      </c>
      <c r="F63" t="n">
        <v>11559.31</v>
      </c>
      <c r="G63" t="n">
        <v>0.88</v>
      </c>
      <c r="H63" t="inlineStr">
        <is>
          <t>Small Cap</t>
        </is>
      </c>
    </row>
    <row r="64">
      <c r="B64" t="inlineStr">
        <is>
          <t>V-Mart Retail Ltd</t>
        </is>
      </c>
      <c r="C64" t="inlineStr">
        <is>
          <t>INE665J01013</t>
        </is>
      </c>
      <c r="D64" t="inlineStr">
        <is>
          <t>Retailing</t>
        </is>
      </c>
      <c r="E64" t="n">
        <v>1564011</v>
      </c>
      <c r="F64" t="n">
        <v>11187.37</v>
      </c>
      <c r="G64" t="n">
        <v>0.85</v>
      </c>
      <c r="H64" t="inlineStr">
        <is>
          <t>Small Cap</t>
        </is>
      </c>
    </row>
    <row r="65">
      <c r="B65" t="inlineStr">
        <is>
          <t>Ratnamani Metals &amp; Tubes Ltd</t>
        </is>
      </c>
      <c r="C65" t="inlineStr">
        <is>
          <t>INE703B01027</t>
        </is>
      </c>
      <c r="D65" t="inlineStr">
        <is>
          <t>Industrial Products</t>
        </is>
      </c>
      <c r="E65" t="n">
        <v>468655</v>
      </c>
      <c r="F65" t="n">
        <v>11156.33</v>
      </c>
      <c r="G65" t="n">
        <v>0.85</v>
      </c>
      <c r="H65" t="inlineStr">
        <is>
          <t>Small Cap</t>
        </is>
      </c>
    </row>
    <row r="66">
      <c r="B66" t="inlineStr">
        <is>
          <t>Great Eastern Shipping Co Ltd</t>
        </is>
      </c>
      <c r="C66" t="inlineStr">
        <is>
          <t>INE017A01032</t>
        </is>
      </c>
      <c r="D66" t="inlineStr">
        <is>
          <t>Transport Services</t>
        </is>
      </c>
      <c r="E66" t="n">
        <v>982175</v>
      </c>
      <c r="F66" t="n">
        <v>11088.76</v>
      </c>
      <c r="G66" t="n">
        <v>0.85</v>
      </c>
      <c r="H66" t="inlineStr">
        <is>
          <t>Small Cap</t>
        </is>
      </c>
    </row>
    <row r="67">
      <c r="B67" t="inlineStr">
        <is>
          <t>Jyoti CNC Automation Ltd</t>
        </is>
      </c>
      <c r="C67" t="inlineStr">
        <is>
          <t>INE980O01024</t>
        </is>
      </c>
      <c r="D67" t="inlineStr">
        <is>
          <t>Industrial Manufacturing</t>
        </is>
      </c>
      <c r="E67" t="n">
        <v>1071014</v>
      </c>
      <c r="F67" t="n">
        <v>10595.54</v>
      </c>
      <c r="G67" t="n">
        <v>0.8100000000000001</v>
      </c>
      <c r="H67" t="inlineStr">
        <is>
          <t>Small Cap</t>
        </is>
      </c>
    </row>
    <row r="68">
      <c r="B68" t="inlineStr">
        <is>
          <t>Cyient Ltd</t>
        </is>
      </c>
      <c r="C68" t="inlineStr">
        <is>
          <t>INE136B01020</t>
        </is>
      </c>
      <c r="D68" t="inlineStr">
        <is>
          <t>IT - Services</t>
        </is>
      </c>
      <c r="E68" t="n">
        <v>906438</v>
      </c>
      <c r="F68" t="n">
        <v>10132.16</v>
      </c>
      <c r="G68" t="n">
        <v>0.77</v>
      </c>
      <c r="H68" t="inlineStr">
        <is>
          <t>Small Cap</t>
        </is>
      </c>
    </row>
    <row r="69">
      <c r="B69" t="inlineStr">
        <is>
          <t>Brigade Enterprises Ltd</t>
        </is>
      </c>
      <c r="C69" t="inlineStr">
        <is>
          <t>INE791I01019</t>
        </is>
      </c>
      <c r="D69" t="inlineStr">
        <is>
          <t>Realty</t>
        </is>
      </c>
      <c r="E69" t="n">
        <v>1133993</v>
      </c>
      <c r="F69" t="n">
        <v>10035.84</v>
      </c>
      <c r="G69" t="n">
        <v>0.77</v>
      </c>
      <c r="H69" t="inlineStr">
        <is>
          <t>Small Cap</t>
        </is>
      </c>
    </row>
    <row r="70">
      <c r="B70" t="inlineStr">
        <is>
          <t>Westlife Foodworld Ltd</t>
        </is>
      </c>
      <c r="C70" t="inlineStr">
        <is>
          <t>INE274F01020</t>
        </is>
      </c>
      <c r="D70" t="inlineStr">
        <is>
          <t>Leisure Services</t>
        </is>
      </c>
      <c r="E70" t="n">
        <v>1770494</v>
      </c>
      <c r="F70" t="n">
        <v>9924.5</v>
      </c>
      <c r="G70" t="n">
        <v>0.76</v>
      </c>
      <c r="H70" t="inlineStr">
        <is>
          <t>Small Cap</t>
        </is>
      </c>
    </row>
    <row r="71">
      <c r="B71" t="inlineStr">
        <is>
          <t>Apar Industries Ltd</t>
        </is>
      </c>
      <c r="C71" t="inlineStr">
        <is>
          <t>INE372A01015</t>
        </is>
      </c>
      <c r="D71" t="inlineStr">
        <is>
          <t>Electrical Equipment</t>
        </is>
      </c>
      <c r="E71" t="n">
        <v>117851</v>
      </c>
      <c r="F71" t="n">
        <v>9861.18</v>
      </c>
      <c r="G71" t="n">
        <v>0.75</v>
      </c>
      <c r="H71" t="inlineStr">
        <is>
          <t>Mid Cap</t>
        </is>
      </c>
    </row>
    <row r="72">
      <c r="B72" t="inlineStr">
        <is>
          <t>Sumitomo Chemical India Ltd</t>
        </is>
      </c>
      <c r="C72" t="inlineStr">
        <is>
          <t>INE258G01013</t>
        </is>
      </c>
      <c r="D72" t="inlineStr">
        <is>
          <t>Fertilizers &amp; Agrochemicals</t>
        </is>
      </c>
      <c r="E72" t="n">
        <v>2046726</v>
      </c>
      <c r="F72" t="n">
        <v>9640.08</v>
      </c>
      <c r="G72" t="n">
        <v>0.74</v>
      </c>
      <c r="H72" t="inlineStr">
        <is>
          <t>Small Cap</t>
        </is>
      </c>
    </row>
    <row r="73">
      <c r="B73" t="inlineStr">
        <is>
          <t>Mrs Bectors Food Specialities Ltd</t>
        </is>
      </c>
      <c r="C73" t="inlineStr">
        <is>
          <t>INE495P01020</t>
        </is>
      </c>
      <c r="D73" t="inlineStr">
        <is>
          <t>Food Products</t>
        </is>
      </c>
      <c r="E73" t="n">
        <v>4130490</v>
      </c>
      <c r="F73" t="n">
        <v>9516.65</v>
      </c>
      <c r="G73" t="n">
        <v>0.73</v>
      </c>
      <c r="H73" t="inlineStr">
        <is>
          <t>Small Cap</t>
        </is>
      </c>
    </row>
    <row r="74">
      <c r="B74" t="inlineStr">
        <is>
          <t>UTI Asset Management Co Ltd</t>
        </is>
      </c>
      <c r="C74" t="inlineStr">
        <is>
          <t>INE094J01016</t>
        </is>
      </c>
      <c r="D74" t="inlineStr">
        <is>
          <t>Capital Markets</t>
        </is>
      </c>
      <c r="E74" t="n">
        <v>804337</v>
      </c>
      <c r="F74" t="n">
        <v>9084.99</v>
      </c>
      <c r="G74" t="n">
        <v>0.6899999999999999</v>
      </c>
      <c r="H74" t="inlineStr">
        <is>
          <t>Small Cap</t>
        </is>
      </c>
    </row>
    <row r="75">
      <c r="B75" t="inlineStr">
        <is>
          <t>Subros Ltd</t>
        </is>
      </c>
      <c r="C75" t="inlineStr">
        <is>
          <t>INE287B01021</t>
        </is>
      </c>
      <c r="D75" t="inlineStr">
        <is>
          <t>Industrial Products</t>
        </is>
      </c>
      <c r="E75" t="n">
        <v>1027133</v>
      </c>
      <c r="F75" t="n">
        <v>8895.49</v>
      </c>
      <c r="G75" t="n">
        <v>0.68</v>
      </c>
      <c r="H75" t="inlineStr">
        <is>
          <t>Small Cap</t>
        </is>
      </c>
    </row>
    <row r="76">
      <c r="B76" t="inlineStr">
        <is>
          <t>Delhivery Ltd</t>
        </is>
      </c>
      <c r="C76" t="inlineStr">
        <is>
          <t>INE148O01028</t>
        </is>
      </c>
      <c r="D76" t="inlineStr">
        <is>
          <t>Transport Services</t>
        </is>
      </c>
      <c r="E76" t="n">
        <v>2186861</v>
      </c>
      <c r="F76" t="n">
        <v>8831.639999999999</v>
      </c>
      <c r="G76" t="n">
        <v>0.67</v>
      </c>
      <c r="H76" t="inlineStr">
        <is>
          <t>Small Cap</t>
        </is>
      </c>
    </row>
    <row r="77">
      <c r="B77" t="inlineStr">
        <is>
          <t>Jyothy Labs Ltd</t>
        </is>
      </c>
      <c r="C77" t="inlineStr">
        <is>
          <t>INE668F01031</t>
        </is>
      </c>
      <c r="D77" t="inlineStr">
        <is>
          <t>Household Products</t>
        </is>
      </c>
      <c r="E77" t="n">
        <v>3119812</v>
      </c>
      <c r="F77" t="n">
        <v>8818.15</v>
      </c>
      <c r="G77" t="n">
        <v>0.67</v>
      </c>
      <c r="H77" t="inlineStr">
        <is>
          <t>Small Cap</t>
        </is>
      </c>
    </row>
    <row r="78">
      <c r="B78" t="inlineStr">
        <is>
          <t>Mahanagar Gas Ltd</t>
        </is>
      </c>
      <c r="C78" t="inlineStr">
        <is>
          <t>INE002S01010</t>
        </is>
      </c>
      <c r="D78" t="inlineStr">
        <is>
          <t>Gas</t>
        </is>
      </c>
      <c r="E78" t="n">
        <v>747746</v>
      </c>
      <c r="F78" t="n">
        <v>8495.139999999999</v>
      </c>
      <c r="G78" t="n">
        <v>0.65</v>
      </c>
      <c r="H78" t="inlineStr">
        <is>
          <t>Small Cap</t>
        </is>
      </c>
    </row>
    <row r="79">
      <c r="B79" t="inlineStr">
        <is>
          <t>Ahluwalia Contracts (India) Ltd</t>
        </is>
      </c>
      <c r="C79" t="inlineStr">
        <is>
          <t>INE758C01029</t>
        </is>
      </c>
      <c r="D79" t="inlineStr">
        <is>
          <t>Construction</t>
        </is>
      </c>
      <c r="E79" t="n">
        <v>863656</v>
      </c>
      <c r="F79" t="n">
        <v>8469.01</v>
      </c>
      <c r="G79" t="n">
        <v>0.65</v>
      </c>
      <c r="H79" t="inlineStr">
        <is>
          <t>Small Cap</t>
        </is>
      </c>
    </row>
    <row r="80">
      <c r="B80" t="inlineStr">
        <is>
          <t>Greenply Industries Ltd</t>
        </is>
      </c>
      <c r="C80" t="inlineStr">
        <is>
          <t>INE461C01038</t>
        </is>
      </c>
      <c r="D80" t="inlineStr">
        <is>
          <t>Consumer Durables</t>
        </is>
      </c>
      <c r="E80" t="n">
        <v>3073613</v>
      </c>
      <c r="F80" t="n">
        <v>8249.58</v>
      </c>
      <c r="G80" t="n">
        <v>0.63</v>
      </c>
      <c r="H80" t="inlineStr">
        <is>
          <t>Small Cap</t>
        </is>
      </c>
    </row>
    <row r="81">
      <c r="B81" t="inlineStr">
        <is>
          <t>CIE Automotive India Ltd</t>
        </is>
      </c>
      <c r="C81" t="inlineStr">
        <is>
          <t>INE536H01010</t>
        </is>
      </c>
      <c r="D81" t="inlineStr">
        <is>
          <t>Auto Components</t>
        </is>
      </c>
      <c r="E81" t="n">
        <v>1878955</v>
      </c>
      <c r="F81" t="n">
        <v>7976.16</v>
      </c>
      <c r="G81" t="n">
        <v>0.61</v>
      </c>
      <c r="H81" t="inlineStr">
        <is>
          <t>Small Cap</t>
        </is>
      </c>
    </row>
    <row r="82">
      <c r="B82" t="inlineStr">
        <is>
          <t>VRL Logistics Ltd</t>
        </is>
      </c>
      <c r="C82" t="inlineStr">
        <is>
          <t>INE366I01010</t>
        </is>
      </c>
      <c r="D82" t="inlineStr">
        <is>
          <t>Transport Services</t>
        </is>
      </c>
      <c r="E82" t="n">
        <v>2764662</v>
      </c>
      <c r="F82" t="n">
        <v>7414.82</v>
      </c>
      <c r="G82" t="n">
        <v>0.57</v>
      </c>
      <c r="H82" t="inlineStr">
        <is>
          <t>Small Cap</t>
        </is>
      </c>
    </row>
    <row r="83">
      <c r="B83" t="inlineStr">
        <is>
          <t>Timken India Ltd</t>
        </is>
      </c>
      <c r="C83" t="inlineStr">
        <is>
          <t>INE325A01013</t>
        </is>
      </c>
      <c r="D83" t="inlineStr">
        <is>
          <t>Industrial Products</t>
        </is>
      </c>
      <c r="E83" t="n">
        <v>244148</v>
      </c>
      <c r="F83" t="n">
        <v>7332.01</v>
      </c>
      <c r="G83" t="n">
        <v>0.5600000000000001</v>
      </c>
      <c r="H83" t="inlineStr">
        <is>
          <t>Small Cap</t>
        </is>
      </c>
    </row>
    <row r="84">
      <c r="B84" t="inlineStr">
        <is>
          <t>Thangamayil Jewellery Ltd</t>
        </is>
      </c>
      <c r="C84" t="inlineStr">
        <is>
          <t>INE085J01014</t>
        </is>
      </c>
      <c r="D84" t="inlineStr">
        <is>
          <t>Consumer Durables</t>
        </is>
      </c>
      <c r="E84" t="n">
        <v>217904</v>
      </c>
      <c r="F84" t="n">
        <v>7021.08</v>
      </c>
      <c r="G84" t="n">
        <v>0.54</v>
      </c>
      <c r="H84" t="inlineStr">
        <is>
          <t>Small Cap</t>
        </is>
      </c>
    </row>
    <row r="85">
      <c r="B85" t="inlineStr">
        <is>
          <t>Mold Tek Packaging Ltd</t>
        </is>
      </c>
      <c r="C85" t="inlineStr">
        <is>
          <t>INE893J01029</t>
        </is>
      </c>
      <c r="D85" t="inlineStr">
        <is>
          <t>Industrial Products</t>
        </is>
      </c>
      <c r="E85" t="n">
        <v>1125901</v>
      </c>
      <c r="F85" t="n">
        <v>6904.02</v>
      </c>
      <c r="G85" t="n">
        <v>0.53</v>
      </c>
      <c r="H85" t="inlineStr">
        <is>
          <t>Small Cap</t>
        </is>
      </c>
    </row>
    <row r="86">
      <c r="B86" t="inlineStr">
        <is>
          <t>Devyani International Ltd</t>
        </is>
      </c>
      <c r="C86" t="inlineStr">
        <is>
          <t>INE872J01023</t>
        </is>
      </c>
      <c r="D86" t="inlineStr">
        <is>
          <t>Leisure Services</t>
        </is>
      </c>
      <c r="E86" t="n">
        <v>4401818</v>
      </c>
      <c r="F86" t="n">
        <v>6512.49</v>
      </c>
      <c r="G86" t="n">
        <v>0.5</v>
      </c>
      <c r="H86" t="inlineStr">
        <is>
          <t>Small Cap</t>
        </is>
      </c>
    </row>
    <row r="87">
      <c r="B87" t="inlineStr">
        <is>
          <t>Doms Industries Ltd</t>
        </is>
      </c>
      <c r="C87" t="inlineStr">
        <is>
          <t>INE321T01012</t>
        </is>
      </c>
      <c r="D87" t="inlineStr">
        <is>
          <t>Household Products</t>
        </is>
      </c>
      <c r="E87" t="n">
        <v>245619</v>
      </c>
      <c r="F87" t="n">
        <v>6423.92</v>
      </c>
      <c r="G87" t="n">
        <v>0.49</v>
      </c>
      <c r="H87" t="inlineStr">
        <is>
          <t>Small Cap</t>
        </is>
      </c>
    </row>
    <row r="88">
      <c r="B88" t="inlineStr">
        <is>
          <t>Rhi Magnesita India Ltd</t>
        </is>
      </c>
      <c r="C88" t="inlineStr">
        <is>
          <t>INE743M01012</t>
        </is>
      </c>
      <c r="D88" t="inlineStr">
        <is>
          <t>Industrial Products</t>
        </is>
      </c>
      <c r="E88" t="n">
        <v>1376829</v>
      </c>
      <c r="F88" t="n">
        <v>6320.33</v>
      </c>
      <c r="G88" t="n">
        <v>0.48</v>
      </c>
      <c r="H88" t="inlineStr">
        <is>
          <t>Small Cap</t>
        </is>
      </c>
    </row>
    <row r="89">
      <c r="B89" t="inlineStr">
        <is>
          <t>ICICI Prudential Asset Management Co Ltd</t>
        </is>
      </c>
      <c r="C89" t="inlineStr">
        <is>
          <t>INE346A01027</t>
        </is>
      </c>
      <c r="D89" t="inlineStr">
        <is>
          <t>Capital Markets</t>
        </is>
      </c>
      <c r="E89" t="n">
        <v>234761</v>
      </c>
      <c r="F89" t="n">
        <v>6247.22</v>
      </c>
      <c r="G89" t="n">
        <v>0.48</v>
      </c>
      <c r="H89" t="inlineStr">
        <is>
          <t>Large Cap</t>
        </is>
      </c>
    </row>
    <row r="90">
      <c r="B90" t="inlineStr">
        <is>
          <t>Rossari Biotech Ltd</t>
        </is>
      </c>
      <c r="C90" t="inlineStr">
        <is>
          <t>INE02A801020</t>
        </is>
      </c>
      <c r="D90" t="inlineStr">
        <is>
          <t>Chemicals &amp; Petrochemicals</t>
        </is>
      </c>
      <c r="E90" t="n">
        <v>1067293</v>
      </c>
      <c r="F90" t="n">
        <v>6213.25</v>
      </c>
      <c r="G90" t="n">
        <v>0.47</v>
      </c>
      <c r="H90" t="inlineStr">
        <is>
          <t>Small Cap</t>
        </is>
      </c>
    </row>
    <row r="91">
      <c r="B91" t="inlineStr">
        <is>
          <t>Latent View Analytics Ltd</t>
        </is>
      </c>
      <c r="C91" t="inlineStr">
        <is>
          <t>INE0I7C01011</t>
        </is>
      </c>
      <c r="D91" t="inlineStr">
        <is>
          <t>IT - Software</t>
        </is>
      </c>
      <c r="E91" t="n">
        <v>1340375</v>
      </c>
      <c r="F91" t="n">
        <v>6148.3</v>
      </c>
      <c r="G91" t="n">
        <v>0.47</v>
      </c>
      <c r="H91" t="inlineStr">
        <is>
          <t>Small Cap</t>
        </is>
      </c>
    </row>
    <row r="92">
      <c r="B92" t="inlineStr">
        <is>
          <t>Rolex Rings Ltd</t>
        </is>
      </c>
      <c r="C92" t="inlineStr">
        <is>
          <t>INE645S01024</t>
        </is>
      </c>
      <c r="D92" t="inlineStr">
        <is>
          <t>Auto Components</t>
        </is>
      </c>
      <c r="E92" t="n">
        <v>4244280</v>
      </c>
      <c r="F92" t="n">
        <v>5465.36</v>
      </c>
      <c r="G92" t="n">
        <v>0.42</v>
      </c>
      <c r="H92" t="inlineStr">
        <is>
          <t>Small Cap</t>
        </is>
      </c>
    </row>
    <row r="93">
      <c r="B93" t="inlineStr">
        <is>
          <t>Vedant Fashions Ltd</t>
        </is>
      </c>
      <c r="C93" t="inlineStr">
        <is>
          <t>INE825V01034</t>
        </is>
      </c>
      <c r="D93" t="inlineStr">
        <is>
          <t>Retailing</t>
        </is>
      </c>
      <c r="E93" t="n">
        <v>884166</v>
      </c>
      <c r="F93" t="n">
        <v>5146.73</v>
      </c>
      <c r="G93" t="n">
        <v>0.39</v>
      </c>
      <c r="H93" t="inlineStr">
        <is>
          <t>Small Cap</t>
        </is>
      </c>
    </row>
    <row r="94">
      <c r="B94" t="inlineStr">
        <is>
          <t>Tata Elxsi Ltd</t>
        </is>
      </c>
      <c r="C94" t="inlineStr">
        <is>
          <t>INE670A01012</t>
        </is>
      </c>
      <c r="D94" t="inlineStr">
        <is>
          <t>IT - Software</t>
        </is>
      </c>
      <c r="E94" t="n">
        <v>79728</v>
      </c>
      <c r="F94" t="n">
        <v>4178.15</v>
      </c>
      <c r="G94" t="n">
        <v>0.32</v>
      </c>
      <c r="H94" t="inlineStr">
        <is>
          <t>Small Cap</t>
        </is>
      </c>
    </row>
    <row r="95">
      <c r="B95" t="inlineStr">
        <is>
          <t>Praj Industries Ltd</t>
        </is>
      </c>
      <c r="C95" t="inlineStr">
        <is>
          <t>INE074A01025</t>
        </is>
      </c>
      <c r="D95" t="inlineStr">
        <is>
          <t>Industrial Manufacturing</t>
        </is>
      </c>
      <c r="E95" t="n">
        <v>1145762</v>
      </c>
      <c r="F95" t="n">
        <v>3696.23</v>
      </c>
      <c r="G95" t="n">
        <v>0.28</v>
      </c>
      <c r="H95" t="inlineStr">
        <is>
          <t>Small Cap</t>
        </is>
      </c>
    </row>
    <row r="96">
      <c r="B96" t="inlineStr">
        <is>
          <t>PNC Infratech Ltd</t>
        </is>
      </c>
      <c r="C96" t="inlineStr">
        <is>
          <t>INE195J01029</t>
        </is>
      </c>
      <c r="D96" t="inlineStr">
        <is>
          <t>Construction</t>
        </is>
      </c>
      <c r="E96" t="n">
        <v>1315392</v>
      </c>
      <c r="F96" t="n">
        <v>3310.58</v>
      </c>
      <c r="G96" t="n">
        <v>0.25</v>
      </c>
      <c r="H96" t="inlineStr">
        <is>
          <t>Small Cap</t>
        </is>
      </c>
    </row>
    <row r="97">
      <c r="B97" t="inlineStr">
        <is>
          <t>Ask Automotive Ltd</t>
        </is>
      </c>
      <c r="C97" t="inlineStr">
        <is>
          <t>INE491J01022</t>
        </is>
      </c>
      <c r="D97" t="inlineStr">
        <is>
          <t>Auto Components</t>
        </is>
      </c>
      <c r="E97" t="n">
        <v>284766</v>
      </c>
      <c r="F97" t="n">
        <v>1363.03</v>
      </c>
      <c r="G97" t="n">
        <v>0.1</v>
      </c>
      <c r="H97" t="inlineStr">
        <is>
          <t>Small Cap</t>
        </is>
      </c>
    </row>
    <row r="98">
      <c r="B98" t="inlineStr">
        <is>
          <t>Fine Organic Industries Ltd</t>
        </is>
      </c>
      <c r="C98" t="inlineStr">
        <is>
          <t>INE686Y01026</t>
        </is>
      </c>
      <c r="D98" t="inlineStr">
        <is>
          <t>Chemicals &amp; Petrochemicals</t>
        </is>
      </c>
      <c r="E98" t="n">
        <v>13132</v>
      </c>
      <c r="F98" t="n">
        <v>540.54</v>
      </c>
      <c r="G98" t="n">
        <v>0.04</v>
      </c>
      <c r="H98" t="inlineStr">
        <is>
          <t>Small Cap</t>
        </is>
      </c>
    </row>
    <row r="99">
      <c r="B99" t="inlineStr">
        <is>
          <t>Sub Total</t>
        </is>
      </c>
      <c r="F99">
        <f>SUM(F7:F98)</f>
        <v/>
      </c>
      <c r="G99">
        <f>SUM(G7:G98)</f>
        <v/>
      </c>
    </row>
    <row r="100">
      <c r="B100" t="inlineStr">
        <is>
          <t>Total</t>
        </is>
      </c>
      <c r="F100">
        <f>F99</f>
        <v/>
      </c>
      <c r="G100">
        <f>G99</f>
        <v/>
      </c>
    </row>
    <row r="101">
      <c r="B101" t="inlineStr">
        <is>
          <t>TREPS</t>
        </is>
      </c>
    </row>
    <row r="102">
      <c r="B102" t="inlineStr">
        <is>
          <t>TREPS</t>
        </is>
      </c>
      <c r="F102" t="n">
        <v>24580.88</v>
      </c>
      <c r="G102" t="n">
        <v>1.88</v>
      </c>
    </row>
    <row r="103">
      <c r="B103" t="inlineStr">
        <is>
          <t>Sub Total</t>
        </is>
      </c>
      <c r="F103">
        <f>SUM(F101:F102)</f>
        <v/>
      </c>
      <c r="G103">
        <f>SUM(G101:G102)</f>
        <v/>
      </c>
    </row>
    <row r="104">
      <c r="B104" t="inlineStr">
        <is>
          <t>Total</t>
        </is>
      </c>
      <c r="F104">
        <f>F103</f>
        <v/>
      </c>
      <c r="G104">
        <f>G103</f>
        <v/>
      </c>
    </row>
    <row r="105">
      <c r="B105" t="inlineStr">
        <is>
          <t>Net Receivables / (Payables)</t>
        </is>
      </c>
      <c r="F105">
        <f>F106-(+F100+F104)</f>
        <v/>
      </c>
      <c r="G105">
        <f>G106-(+G100+G104)</f>
        <v/>
      </c>
    </row>
    <row r="106">
      <c r="B106" t="inlineStr">
        <is>
          <t>Grand Total</t>
        </is>
      </c>
      <c r="F106" t="n">
        <v>1310197.45</v>
      </c>
      <c r="G106" t="n">
        <v>100</v>
      </c>
    </row>
    <row r="107"/>
    <row r="108"/>
    <row r="109">
      <c r="B109" t="inlineStr">
        <is>
          <t>Residual Maturity</t>
        </is>
      </c>
      <c r="C109" t="inlineStr">
        <is>
          <t>0.0027 Years</t>
        </is>
      </c>
    </row>
    <row r="110"/>
    <row r="111">
      <c r="B111" t="inlineStr">
        <is>
          <t>Please refer the below link for the performance of the Schemes managed by Canara Robeco Mutual Fund</t>
        </is>
      </c>
    </row>
    <row r="112"/>
    <row r="113">
      <c r="B113" t="inlineStr">
        <is>
          <t>https://www.canararobeco.com/docs/default-source/default-document-library/Scheme_Performance_December_25.pdf</t>
        </is>
      </c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55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CANARA ROBECO VALUE FUND</t>
        </is>
      </c>
    </row>
    <row r="2"/>
    <row r="3">
      <c r="B3" t="inlineStr">
        <is>
          <t>Monthly Portfolio Statement as on December 31, 2025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Lacs)</t>
        </is>
      </c>
      <c r="G4" t="inlineStr">
        <is>
          <t>% to Net
 Assets</t>
        </is>
      </c>
      <c r="H4" t="inlineStr">
        <is>
          <t xml:space="preserve">Market Capitalization </t>
        </is>
      </c>
      <c r="I4" t="inlineStr">
        <is>
          <t>Yield %</t>
        </is>
      </c>
      <c r="K4" t="inlineStr">
        <is>
          <t>Scheme Risk-O-Meter Level - December'25</t>
        </is>
      </c>
      <c r="L4" t="inlineStr">
        <is>
          <t>Benchmark Risk-O-Meter Level - December'25</t>
        </is>
      </c>
      <c r="M4" t="inlineStr">
        <is>
          <t>Scheme Risk-O-Meter Level - November'25</t>
        </is>
      </c>
      <c r="N4" t="inlineStr">
        <is>
          <t>Benchmark Risk-O-Meter Level - November'25</t>
        </is>
      </c>
    </row>
    <row r="5">
      <c r="B5" t="inlineStr">
        <is>
          <t>Equity &amp; Equity related</t>
        </is>
      </c>
      <c r="K5" t="e">
        <v>#VALUE!</v>
      </c>
      <c r="L5" t="e">
        <v>#VALUE!</v>
      </c>
      <c r="M5" t="e">
        <v>#VALUE!</v>
      </c>
      <c r="N5" t="e">
        <v>#VALUE!</v>
      </c>
    </row>
    <row r="6">
      <c r="B6" t="inlineStr">
        <is>
          <t>(a) Listed / awaiting listing on Stock Exchanges</t>
        </is>
      </c>
    </row>
    <row r="7">
      <c r="B7" t="inlineStr">
        <is>
          <t>HDFC Bank Ltd</t>
        </is>
      </c>
      <c r="C7" t="inlineStr">
        <is>
          <t>INE040A01034</t>
        </is>
      </c>
      <c r="D7" t="inlineStr">
        <is>
          <t>Banks</t>
        </is>
      </c>
      <c r="E7" t="n">
        <v>1058334</v>
      </c>
      <c r="F7" t="n">
        <v>10490.21</v>
      </c>
      <c r="G7" t="n">
        <v>7.85</v>
      </c>
      <c r="H7" t="inlineStr">
        <is>
          <t>Large Cap</t>
        </is>
      </c>
    </row>
    <row r="8">
      <c r="B8" t="inlineStr">
        <is>
          <t>ICICI Bank Ltd</t>
        </is>
      </c>
      <c r="C8" t="inlineStr">
        <is>
          <t>INE090A01021</t>
        </is>
      </c>
      <c r="D8" t="inlineStr">
        <is>
          <t>Banks</t>
        </is>
      </c>
      <c r="E8" t="n">
        <v>683585</v>
      </c>
      <c r="F8" t="n">
        <v>9179.860000000001</v>
      </c>
      <c r="G8" t="n">
        <v>6.87</v>
      </c>
      <c r="H8" t="inlineStr">
        <is>
          <t>Large Cap</t>
        </is>
      </c>
    </row>
    <row r="9">
      <c r="B9" t="inlineStr">
        <is>
          <t>Reliance Industries Ltd</t>
        </is>
      </c>
      <c r="C9" t="inlineStr">
        <is>
          <t>INE002A01018</t>
        </is>
      </c>
      <c r="D9" t="inlineStr">
        <is>
          <t>Petroleum Products</t>
        </is>
      </c>
      <c r="E9" t="n">
        <v>440598</v>
      </c>
      <c r="F9" t="n">
        <v>6919.15</v>
      </c>
      <c r="G9" t="n">
        <v>5.18</v>
      </c>
      <c r="H9" t="inlineStr">
        <is>
          <t>Large Cap</t>
        </is>
      </c>
    </row>
    <row r="10">
      <c r="B10" t="inlineStr">
        <is>
          <t>Bharti Airtel Ltd</t>
        </is>
      </c>
      <c r="C10" t="inlineStr">
        <is>
          <t>INE397D01024</t>
        </is>
      </c>
      <c r="D10" t="inlineStr">
        <is>
          <t>Telecom - Services</t>
        </is>
      </c>
      <c r="E10" t="n">
        <v>253000</v>
      </c>
      <c r="F10" t="n">
        <v>5327.17</v>
      </c>
      <c r="G10" t="n">
        <v>3.99</v>
      </c>
      <c r="H10" t="inlineStr">
        <is>
          <t>Large Cap</t>
        </is>
      </c>
    </row>
    <row r="11">
      <c r="B11" t="inlineStr">
        <is>
          <t>Infosys Ltd</t>
        </is>
      </c>
      <c r="C11" t="inlineStr">
        <is>
          <t>INE009A01021</t>
        </is>
      </c>
      <c r="D11" t="inlineStr">
        <is>
          <t>IT - Software</t>
        </is>
      </c>
      <c r="E11" t="n">
        <v>326807</v>
      </c>
      <c r="F11" t="n">
        <v>5279.24</v>
      </c>
      <c r="G11" t="n">
        <v>3.95</v>
      </c>
      <c r="H11" t="inlineStr">
        <is>
          <t>Large Cap</t>
        </is>
      </c>
    </row>
    <row r="12">
      <c r="B12" t="inlineStr">
        <is>
          <t>State Bank of India</t>
        </is>
      </c>
      <c r="C12" t="inlineStr">
        <is>
          <t>INE062A01020</t>
        </is>
      </c>
      <c r="D12" t="inlineStr">
        <is>
          <t>Banks</t>
        </is>
      </c>
      <c r="E12" t="n">
        <v>476415</v>
      </c>
      <c r="F12" t="n">
        <v>4679.35</v>
      </c>
      <c r="G12" t="n">
        <v>3.5</v>
      </c>
      <c r="H12" t="inlineStr">
        <is>
          <t>Large Cap</t>
        </is>
      </c>
    </row>
    <row r="13">
      <c r="B13" t="inlineStr">
        <is>
          <t>Larsen &amp; Toubro Ltd</t>
        </is>
      </c>
      <c r="C13" t="inlineStr">
        <is>
          <t>INE018A01030</t>
        </is>
      </c>
      <c r="D13" t="inlineStr">
        <is>
          <t>Construction</t>
        </is>
      </c>
      <c r="E13" t="n">
        <v>111150</v>
      </c>
      <c r="F13" t="n">
        <v>4538.81</v>
      </c>
      <c r="G13" t="n">
        <v>3.4</v>
      </c>
      <c r="H13" t="inlineStr">
        <is>
          <t>Large Cap</t>
        </is>
      </c>
      <c r="L13" t="inlineStr">
        <is>
          <t>Benchmark: BSE 500 TRI</t>
        </is>
      </c>
    </row>
    <row r="14">
      <c r="B14" t="inlineStr">
        <is>
          <t>NTPC Ltd</t>
        </is>
      </c>
      <c r="C14" t="inlineStr">
        <is>
          <t>INE733E01010</t>
        </is>
      </c>
      <c r="D14" t="inlineStr">
        <is>
          <t>Power</t>
        </is>
      </c>
      <c r="E14" t="n">
        <v>1102296</v>
      </c>
      <c r="F14" t="n">
        <v>3632.62</v>
      </c>
      <c r="G14" t="n">
        <v>2.72</v>
      </c>
      <c r="H14" t="inlineStr">
        <is>
          <t>Large Cap</t>
        </is>
      </c>
    </row>
    <row r="15">
      <c r="B15" t="inlineStr">
        <is>
          <t>Axis Bank Ltd</t>
        </is>
      </c>
      <c r="C15" t="inlineStr">
        <is>
          <t>INE238A01034</t>
        </is>
      </c>
      <c r="D15" t="inlineStr">
        <is>
          <t>Banks</t>
        </is>
      </c>
      <c r="E15" t="n">
        <v>245357</v>
      </c>
      <c r="F15" t="n">
        <v>3114.56</v>
      </c>
      <c r="G15" t="n">
        <v>2.33</v>
      </c>
      <c r="H15" t="inlineStr">
        <is>
          <t>Large Cap</t>
        </is>
      </c>
    </row>
    <row r="16">
      <c r="B16" t="inlineStr">
        <is>
          <t>Varun Beverages Ltd</t>
        </is>
      </c>
      <c r="C16" t="inlineStr">
        <is>
          <t>INE200M01039</t>
        </is>
      </c>
      <c r="D16" t="inlineStr">
        <is>
          <t>Beverages</t>
        </is>
      </c>
      <c r="E16" t="n">
        <v>569715</v>
      </c>
      <c r="F16" t="n">
        <v>2790.75</v>
      </c>
      <c r="G16" t="n">
        <v>2.09</v>
      </c>
      <c r="H16" t="inlineStr">
        <is>
          <t>Large Cap</t>
        </is>
      </c>
    </row>
    <row r="17">
      <c r="B17" t="inlineStr">
        <is>
          <t>ITC Ltd</t>
        </is>
      </c>
      <c r="C17" t="inlineStr">
        <is>
          <t>INE154A01025</t>
        </is>
      </c>
      <c r="D17" t="inlineStr">
        <is>
          <t>Diversified Fmcg</t>
        </is>
      </c>
      <c r="E17" t="n">
        <v>651880</v>
      </c>
      <c r="F17" t="n">
        <v>2627.08</v>
      </c>
      <c r="G17" t="n">
        <v>1.97</v>
      </c>
      <c r="H17" t="inlineStr">
        <is>
          <t>Large Cap</t>
        </is>
      </c>
    </row>
    <row r="18">
      <c r="B18" t="inlineStr">
        <is>
          <t>Multi Commodity Exchange Of India Ltd</t>
        </is>
      </c>
      <c r="C18" t="inlineStr">
        <is>
          <t>INE745G01035</t>
        </is>
      </c>
      <c r="D18" t="inlineStr">
        <is>
          <t>Capital Markets</t>
        </is>
      </c>
      <c r="E18" t="n">
        <v>22250</v>
      </c>
      <c r="F18" t="n">
        <v>2477.76</v>
      </c>
      <c r="G18" t="n">
        <v>1.85</v>
      </c>
      <c r="H18" t="inlineStr">
        <is>
          <t>Mid Cap</t>
        </is>
      </c>
    </row>
    <row r="19">
      <c r="B19" t="inlineStr">
        <is>
          <t>Bharat Electronics Ltd</t>
        </is>
      </c>
      <c r="C19" t="inlineStr">
        <is>
          <t>INE263A01024</t>
        </is>
      </c>
      <c r="D19" t="inlineStr">
        <is>
          <t>Aerospace &amp; Defense</t>
        </is>
      </c>
      <c r="E19" t="n">
        <v>600783</v>
      </c>
      <c r="F19" t="n">
        <v>2400.73</v>
      </c>
      <c r="G19" t="n">
        <v>1.8</v>
      </c>
      <c r="H19" t="inlineStr">
        <is>
          <t>Large Cap</t>
        </is>
      </c>
    </row>
    <row r="20">
      <c r="B20" t="inlineStr">
        <is>
          <t>Interglobe Aviation Ltd</t>
        </is>
      </c>
      <c r="C20" t="inlineStr">
        <is>
          <t>INE646L01027</t>
        </is>
      </c>
      <c r="D20" t="inlineStr">
        <is>
          <t>Transport Services</t>
        </is>
      </c>
      <c r="E20" t="n">
        <v>46500</v>
      </c>
      <c r="F20" t="n">
        <v>2352.67</v>
      </c>
      <c r="G20" t="n">
        <v>1.76</v>
      </c>
      <c r="H20" t="inlineStr">
        <is>
          <t>Large Cap</t>
        </is>
      </c>
    </row>
    <row r="21">
      <c r="B21" t="inlineStr">
        <is>
          <t>Shriram Finance Ltd</t>
        </is>
      </c>
      <c r="C21" t="inlineStr">
        <is>
          <t>INE721A01047</t>
        </is>
      </c>
      <c r="D21" t="inlineStr">
        <is>
          <t>Finance</t>
        </is>
      </c>
      <c r="E21" t="n">
        <v>235000</v>
      </c>
      <c r="F21" t="n">
        <v>2341.07</v>
      </c>
      <c r="G21" t="n">
        <v>1.75</v>
      </c>
      <c r="H21" t="inlineStr">
        <is>
          <t>Large Cap</t>
        </is>
      </c>
    </row>
    <row r="22">
      <c r="B22" t="inlineStr">
        <is>
          <t>SBI Life Insurance Co Ltd</t>
        </is>
      </c>
      <c r="C22" t="inlineStr">
        <is>
          <t>INE123W01016</t>
        </is>
      </c>
      <c r="D22" t="inlineStr">
        <is>
          <t>Insurance</t>
        </is>
      </c>
      <c r="E22" t="n">
        <v>115000</v>
      </c>
      <c r="F22" t="n">
        <v>2340.14</v>
      </c>
      <c r="G22" t="n">
        <v>1.75</v>
      </c>
      <c r="H22" t="inlineStr">
        <is>
          <t>Large Cap</t>
        </is>
      </c>
    </row>
    <row r="23">
      <c r="B23" t="inlineStr">
        <is>
          <t>Brigade Enterprises Ltd</t>
        </is>
      </c>
      <c r="C23" t="inlineStr">
        <is>
          <t>INE791I01019</t>
        </is>
      </c>
      <c r="D23" t="inlineStr">
        <is>
          <t>Realty</t>
        </is>
      </c>
      <c r="E23" t="n">
        <v>263165</v>
      </c>
      <c r="F23" t="n">
        <v>2329.01</v>
      </c>
      <c r="G23" t="n">
        <v>1.74</v>
      </c>
      <c r="H23" t="inlineStr">
        <is>
          <t>Small Cap</t>
        </is>
      </c>
    </row>
    <row r="24">
      <c r="B24" t="inlineStr">
        <is>
          <t>Samvardhana Motherson International Ltd</t>
        </is>
      </c>
      <c r="C24" t="inlineStr">
        <is>
          <t>INE775A01035</t>
        </is>
      </c>
      <c r="D24" t="inlineStr">
        <is>
          <t>Auto Components</t>
        </is>
      </c>
      <c r="E24" t="n">
        <v>1922043</v>
      </c>
      <c r="F24" t="n">
        <v>2305.3</v>
      </c>
      <c r="G24" t="n">
        <v>1.73</v>
      </c>
      <c r="H24" t="inlineStr">
        <is>
          <t>Large Cap</t>
        </is>
      </c>
    </row>
    <row r="25">
      <c r="B25" t="inlineStr">
        <is>
          <t>Indian Bank</t>
        </is>
      </c>
      <c r="C25" t="inlineStr">
        <is>
          <t>INE562A01011</t>
        </is>
      </c>
      <c r="D25" t="inlineStr">
        <is>
          <t>Banks</t>
        </is>
      </c>
      <c r="E25" t="n">
        <v>274500</v>
      </c>
      <c r="F25" t="n">
        <v>2298.25</v>
      </c>
      <c r="G25" t="n">
        <v>1.72</v>
      </c>
      <c r="H25" t="inlineStr">
        <is>
          <t>Mid Cap</t>
        </is>
      </c>
    </row>
    <row r="26">
      <c r="B26" t="inlineStr">
        <is>
          <t>KEI Industries Ltd</t>
        </is>
      </c>
      <c r="C26" t="inlineStr">
        <is>
          <t>INE878B01027</t>
        </is>
      </c>
      <c r="D26" t="inlineStr">
        <is>
          <t>Industrial Products</t>
        </is>
      </c>
      <c r="E26" t="n">
        <v>50500</v>
      </c>
      <c r="F26" t="n">
        <v>2252.4</v>
      </c>
      <c r="G26" t="n">
        <v>1.69</v>
      </c>
      <c r="H26" t="inlineStr">
        <is>
          <t>Mid Cap</t>
        </is>
      </c>
    </row>
    <row r="27">
      <c r="B27" t="inlineStr">
        <is>
          <t>J.B. Chemicals &amp; Pharmaceuticals Ltd</t>
        </is>
      </c>
      <c r="C27" t="inlineStr">
        <is>
          <t>INE572A01036</t>
        </is>
      </c>
      <c r="D27" t="inlineStr">
        <is>
          <t>Pharmaceuticals &amp; Biotechnology</t>
        </is>
      </c>
      <c r="E27" t="n">
        <v>112254</v>
      </c>
      <c r="F27" t="n">
        <v>2042.69</v>
      </c>
      <c r="G27" t="n">
        <v>1.53</v>
      </c>
      <c r="H27" t="inlineStr">
        <is>
          <t>Small Cap</t>
        </is>
      </c>
    </row>
    <row r="28">
      <c r="B28" t="inlineStr">
        <is>
          <t>Vijaya Diagnostic Centre Ltd</t>
        </is>
      </c>
      <c r="C28" t="inlineStr">
        <is>
          <t>INE043W01024</t>
        </is>
      </c>
      <c r="D28" t="inlineStr">
        <is>
          <t>Healthcare Services</t>
        </is>
      </c>
      <c r="E28" t="n">
        <v>183402</v>
      </c>
      <c r="F28" t="n">
        <v>1945.9</v>
      </c>
      <c r="G28" t="n">
        <v>1.46</v>
      </c>
      <c r="H28" t="inlineStr">
        <is>
          <t>Small Cap</t>
        </is>
      </c>
    </row>
    <row r="29">
      <c r="B29" t="inlineStr">
        <is>
          <t>Coal India Ltd</t>
        </is>
      </c>
      <c r="C29" t="inlineStr">
        <is>
          <t>INE522F01014</t>
        </is>
      </c>
      <c r="D29" t="inlineStr">
        <is>
          <t>Consumable Fuels</t>
        </is>
      </c>
      <c r="E29" t="n">
        <v>485000</v>
      </c>
      <c r="F29" t="n">
        <v>1935.15</v>
      </c>
      <c r="G29" t="n">
        <v>1.45</v>
      </c>
      <c r="H29" t="inlineStr">
        <is>
          <t>Large Cap</t>
        </is>
      </c>
    </row>
    <row r="30">
      <c r="B30" t="inlineStr">
        <is>
          <t>Hindustan Aeronautics Ltd</t>
        </is>
      </c>
      <c r="C30" t="inlineStr">
        <is>
          <t>INE066F01020</t>
        </is>
      </c>
      <c r="D30" t="inlineStr">
        <is>
          <t>Aerospace &amp; Defense</t>
        </is>
      </c>
      <c r="E30" t="n">
        <v>43000</v>
      </c>
      <c r="F30" t="n">
        <v>1887.14</v>
      </c>
      <c r="G30" t="n">
        <v>1.41</v>
      </c>
      <c r="H30" t="inlineStr">
        <is>
          <t>Large Cap</t>
        </is>
      </c>
    </row>
    <row r="31">
      <c r="B31" t="inlineStr">
        <is>
          <t>Bajaj Auto Ltd</t>
        </is>
      </c>
      <c r="C31" t="inlineStr">
        <is>
          <t>INE917I01010</t>
        </is>
      </c>
      <c r="D31" t="inlineStr">
        <is>
          <t>Automobiles</t>
        </is>
      </c>
      <c r="E31" t="n">
        <v>19689</v>
      </c>
      <c r="F31" t="n">
        <v>1839.54</v>
      </c>
      <c r="G31" t="n">
        <v>1.38</v>
      </c>
      <c r="H31" t="inlineStr">
        <is>
          <t>Large Cap</t>
        </is>
      </c>
    </row>
    <row r="32">
      <c r="B32" t="inlineStr">
        <is>
          <t>Maruti Suzuki India Ltd</t>
        </is>
      </c>
      <c r="C32" t="inlineStr">
        <is>
          <t>INE585B01010</t>
        </is>
      </c>
      <c r="D32" t="inlineStr">
        <is>
          <t>Automobiles</t>
        </is>
      </c>
      <c r="E32" t="n">
        <v>11000</v>
      </c>
      <c r="F32" t="n">
        <v>1836.67</v>
      </c>
      <c r="G32" t="n">
        <v>1.37</v>
      </c>
      <c r="H32" t="inlineStr">
        <is>
          <t>Large Cap</t>
        </is>
      </c>
    </row>
    <row r="33">
      <c r="B33" t="inlineStr">
        <is>
          <t>HCL Technologies Ltd</t>
        </is>
      </c>
      <c r="C33" t="inlineStr">
        <is>
          <t>INE860A01027</t>
        </is>
      </c>
      <c r="D33" t="inlineStr">
        <is>
          <t>IT - Software</t>
        </is>
      </c>
      <c r="E33" t="n">
        <v>112430</v>
      </c>
      <c r="F33" t="n">
        <v>1825.08</v>
      </c>
      <c r="G33" t="n">
        <v>1.37</v>
      </c>
      <c r="H33" t="inlineStr">
        <is>
          <t>Large Cap</t>
        </is>
      </c>
    </row>
    <row r="34">
      <c r="B34" t="inlineStr">
        <is>
          <t>Cholamandalam Financial Holdings Ltd</t>
        </is>
      </c>
      <c r="C34" t="inlineStr">
        <is>
          <t>INE149A01033</t>
        </is>
      </c>
      <c r="D34" t="inlineStr">
        <is>
          <t>Finance</t>
        </is>
      </c>
      <c r="E34" t="n">
        <v>99500</v>
      </c>
      <c r="F34" t="n">
        <v>1803.84</v>
      </c>
      <c r="G34" t="n">
        <v>1.35</v>
      </c>
      <c r="H34" t="inlineStr">
        <is>
          <t>Mid Cap</t>
        </is>
      </c>
    </row>
    <row r="35">
      <c r="B35" t="inlineStr">
        <is>
          <t>Arvind Fashions Ltd</t>
        </is>
      </c>
      <c r="C35" t="inlineStr">
        <is>
          <t>INE955V01021</t>
        </is>
      </c>
      <c r="D35" t="inlineStr">
        <is>
          <t>Retailing</t>
        </is>
      </c>
      <c r="E35" t="n">
        <v>360532</v>
      </c>
      <c r="F35" t="n">
        <v>1799.6</v>
      </c>
      <c r="G35" t="n">
        <v>1.35</v>
      </c>
      <c r="H35" t="inlineStr">
        <is>
          <t>Small Cap</t>
        </is>
      </c>
    </row>
    <row r="36">
      <c r="B36" t="inlineStr">
        <is>
          <t>Tech Mahindra Ltd</t>
        </is>
      </c>
      <c r="C36" t="inlineStr">
        <is>
          <t>INE669C01036</t>
        </is>
      </c>
      <c r="D36" t="inlineStr">
        <is>
          <t>IT - Software</t>
        </is>
      </c>
      <c r="E36" t="n">
        <v>106500</v>
      </c>
      <c r="F36" t="n">
        <v>1694.31</v>
      </c>
      <c r="G36" t="n">
        <v>1.27</v>
      </c>
      <c r="H36" t="inlineStr">
        <is>
          <t>Large Cap</t>
        </is>
      </c>
    </row>
    <row r="37">
      <c r="B37" t="inlineStr">
        <is>
          <t>Bharat Petroleum Corporation Ltd</t>
        </is>
      </c>
      <c r="C37" t="inlineStr">
        <is>
          <t>INE029A01011</t>
        </is>
      </c>
      <c r="D37" t="inlineStr">
        <is>
          <t>Petroleum Products</t>
        </is>
      </c>
      <c r="E37" t="n">
        <v>440000</v>
      </c>
      <c r="F37" t="n">
        <v>1689.6</v>
      </c>
      <c r="G37" t="n">
        <v>1.26</v>
      </c>
      <c r="H37" t="inlineStr">
        <is>
          <t>Large Cap</t>
        </is>
      </c>
    </row>
    <row r="38">
      <c r="B38" t="inlineStr">
        <is>
          <t>Awfis Space Solutions Ltd</t>
        </is>
      </c>
      <c r="C38" t="inlineStr">
        <is>
          <t>INE108V01019</t>
        </is>
      </c>
      <c r="D38" t="inlineStr">
        <is>
          <t>Commercial Services &amp; Supplies</t>
        </is>
      </c>
      <c r="E38" t="n">
        <v>334843</v>
      </c>
      <c r="F38" t="n">
        <v>1650.11</v>
      </c>
      <c r="G38" t="n">
        <v>1.23</v>
      </c>
      <c r="H38" t="inlineStr">
        <is>
          <t>Small Cap</t>
        </is>
      </c>
    </row>
    <row r="39">
      <c r="B39" t="inlineStr">
        <is>
          <t>Medi Assist Healthcare Services Ltd</t>
        </is>
      </c>
      <c r="C39" t="inlineStr">
        <is>
          <t>INE456Z01021</t>
        </is>
      </c>
      <c r="D39" t="inlineStr">
        <is>
          <t>Insurance</t>
        </is>
      </c>
      <c r="E39" t="n">
        <v>332500</v>
      </c>
      <c r="F39" t="n">
        <v>1527.67</v>
      </c>
      <c r="G39" t="n">
        <v>1.14</v>
      </c>
      <c r="H39" t="inlineStr">
        <is>
          <t>Small Cap</t>
        </is>
      </c>
    </row>
    <row r="40">
      <c r="B40" t="inlineStr">
        <is>
          <t>PNB Housing Finance Ltd</t>
        </is>
      </c>
      <c r="C40" t="inlineStr">
        <is>
          <t>INE572E01012</t>
        </is>
      </c>
      <c r="D40" t="inlineStr">
        <is>
          <t>Finance</t>
        </is>
      </c>
      <c r="E40" t="n">
        <v>154407</v>
      </c>
      <c r="F40" t="n">
        <v>1469.18</v>
      </c>
      <c r="G40" t="n">
        <v>1.1</v>
      </c>
      <c r="H40" t="inlineStr">
        <is>
          <t>Small Cap</t>
        </is>
      </c>
    </row>
    <row r="41">
      <c r="B41" t="inlineStr">
        <is>
          <t>Sun Pharmaceutical Industries Ltd</t>
        </is>
      </c>
      <c r="C41" t="inlineStr">
        <is>
          <t>INE044A01036</t>
        </is>
      </c>
      <c r="D41" t="inlineStr">
        <is>
          <t>Pharmaceuticals &amp; Biotechnology</t>
        </is>
      </c>
      <c r="E41" t="n">
        <v>85024</v>
      </c>
      <c r="F41" t="n">
        <v>1462.16</v>
      </c>
      <c r="G41" t="n">
        <v>1.09</v>
      </c>
      <c r="H41" t="inlineStr">
        <is>
          <t>Large Cap</t>
        </is>
      </c>
    </row>
    <row r="42">
      <c r="B42" t="inlineStr">
        <is>
          <t>Sumitomo Chemical India Ltd</t>
        </is>
      </c>
      <c r="C42" t="inlineStr">
        <is>
          <t>INE258G01013</t>
        </is>
      </c>
      <c r="D42" t="inlineStr">
        <is>
          <t>Fertilizers &amp; Agrochemicals</t>
        </is>
      </c>
      <c r="E42" t="n">
        <v>301234</v>
      </c>
      <c r="F42" t="n">
        <v>1418.81</v>
      </c>
      <c r="G42" t="n">
        <v>1.06</v>
      </c>
      <c r="H42" t="inlineStr">
        <is>
          <t>Small Cap</t>
        </is>
      </c>
    </row>
    <row r="43">
      <c r="B43" t="inlineStr">
        <is>
          <t>Mrs Bectors Food Specialities Ltd</t>
        </is>
      </c>
      <c r="C43" t="inlineStr">
        <is>
          <t>INE495P01020</t>
        </is>
      </c>
      <c r="D43" t="inlineStr">
        <is>
          <t>Food Products</t>
        </is>
      </c>
      <c r="E43" t="n">
        <v>595000</v>
      </c>
      <c r="F43" t="n">
        <v>1370.88</v>
      </c>
      <c r="G43" t="n">
        <v>1.03</v>
      </c>
      <c r="H43" t="inlineStr">
        <is>
          <t>Small Cap</t>
        </is>
      </c>
    </row>
    <row r="44">
      <c r="B44" t="inlineStr">
        <is>
          <t>Tenneco Clean Air India Ltd</t>
        </is>
      </c>
      <c r="C44" t="inlineStr">
        <is>
          <t>INE19RI01016</t>
        </is>
      </c>
      <c r="D44" t="inlineStr">
        <is>
          <t>Auto Components</t>
        </is>
      </c>
      <c r="E44" t="n">
        <v>251896</v>
      </c>
      <c r="F44" t="n">
        <v>1279.38</v>
      </c>
      <c r="G44" t="n">
        <v>0.96</v>
      </c>
      <c r="H44" t="inlineStr">
        <is>
          <t>Small Cap</t>
        </is>
      </c>
    </row>
    <row r="45">
      <c r="B45" t="inlineStr">
        <is>
          <t>Global Health Ltd</t>
        </is>
      </c>
      <c r="C45" t="inlineStr">
        <is>
          <t>INE474Q01031</t>
        </is>
      </c>
      <c r="D45" t="inlineStr">
        <is>
          <t>Healthcare Services</t>
        </is>
      </c>
      <c r="E45" t="n">
        <v>105000</v>
      </c>
      <c r="F45" t="n">
        <v>1245.72</v>
      </c>
      <c r="G45" t="n">
        <v>0.93</v>
      </c>
      <c r="H45" t="inlineStr">
        <is>
          <t>Mid Cap</t>
        </is>
      </c>
    </row>
    <row r="46">
      <c r="B46" t="inlineStr">
        <is>
          <t>Info Edge (India) Ltd</t>
        </is>
      </c>
      <c r="C46" t="inlineStr">
        <is>
          <t>INE663F01032</t>
        </is>
      </c>
      <c r="D46" t="inlineStr">
        <is>
          <t>Retailing</t>
        </is>
      </c>
      <c r="E46" t="n">
        <v>92876</v>
      </c>
      <c r="F46" t="n">
        <v>1238.59</v>
      </c>
      <c r="G46" t="n">
        <v>0.93</v>
      </c>
      <c r="H46" t="inlineStr">
        <is>
          <t>Mid Cap</t>
        </is>
      </c>
    </row>
    <row r="47">
      <c r="B47" t="inlineStr">
        <is>
          <t>EID Parry India Ltd</t>
        </is>
      </c>
      <c r="C47" t="inlineStr">
        <is>
          <t>INE126A01031</t>
        </is>
      </c>
      <c r="D47" t="inlineStr">
        <is>
          <t>Food Products</t>
        </is>
      </c>
      <c r="E47" t="n">
        <v>115000</v>
      </c>
      <c r="F47" t="n">
        <v>1189.91</v>
      </c>
      <c r="G47" t="n">
        <v>0.89</v>
      </c>
      <c r="H47" t="inlineStr">
        <is>
          <t>Small Cap</t>
        </is>
      </c>
    </row>
    <row r="48">
      <c r="B48" t="inlineStr">
        <is>
          <t>Innova Captab Ltd</t>
        </is>
      </c>
      <c r="C48" t="inlineStr">
        <is>
          <t>INE0DUT01020</t>
        </is>
      </c>
      <c r="D48" t="inlineStr">
        <is>
          <t>Pharmaceuticals &amp; Biotechnology</t>
        </is>
      </c>
      <c r="E48" t="n">
        <v>164500</v>
      </c>
      <c r="F48" t="n">
        <v>1184.56</v>
      </c>
      <c r="G48" t="n">
        <v>0.89</v>
      </c>
      <c r="H48" t="inlineStr">
        <is>
          <t>Small Cap</t>
        </is>
      </c>
    </row>
    <row r="49">
      <c r="B49" t="inlineStr">
        <is>
          <t>Deepak Nitrite Ltd</t>
        </is>
      </c>
      <c r="C49" t="inlineStr">
        <is>
          <t>INE288B01029</t>
        </is>
      </c>
      <c r="D49" t="inlineStr">
        <is>
          <t>Chemicals &amp; Petrochemicals</t>
        </is>
      </c>
      <c r="E49" t="n">
        <v>67500</v>
      </c>
      <c r="F49" t="n">
        <v>1168.9</v>
      </c>
      <c r="G49" t="n">
        <v>0.87</v>
      </c>
      <c r="H49" t="inlineStr">
        <is>
          <t>Small Cap</t>
        </is>
      </c>
    </row>
    <row r="50">
      <c r="B50" t="inlineStr">
        <is>
          <t>Ajanta Pharma Ltd</t>
        </is>
      </c>
      <c r="C50" t="inlineStr">
        <is>
          <t>INE031B01049</t>
        </is>
      </c>
      <c r="D50" t="inlineStr">
        <is>
          <t>Pharmaceuticals &amp; Biotechnology</t>
        </is>
      </c>
      <c r="E50" t="n">
        <v>41886</v>
      </c>
      <c r="F50" t="n">
        <v>1159.78</v>
      </c>
      <c r="G50" t="n">
        <v>0.87</v>
      </c>
      <c r="H50" t="inlineStr">
        <is>
          <t>Small Cap</t>
        </is>
      </c>
    </row>
    <row r="51">
      <c r="B51" t="inlineStr">
        <is>
          <t>Power Finance Corporation Ltd</t>
        </is>
      </c>
      <c r="C51" t="inlineStr">
        <is>
          <t>INE134E01011</t>
        </is>
      </c>
      <c r="D51" t="inlineStr">
        <is>
          <t>Finance</t>
        </is>
      </c>
      <c r="E51" t="n">
        <v>325000</v>
      </c>
      <c r="F51" t="n">
        <v>1155.05</v>
      </c>
      <c r="G51" t="n">
        <v>0.86</v>
      </c>
      <c r="H51" t="inlineStr">
        <is>
          <t>Large Cap</t>
        </is>
      </c>
    </row>
    <row r="52">
      <c r="B52" t="inlineStr">
        <is>
          <t>K.P.R. Mill Ltd</t>
        </is>
      </c>
      <c r="C52" t="inlineStr">
        <is>
          <t>INE930H01031</t>
        </is>
      </c>
      <c r="D52" t="inlineStr">
        <is>
          <t>Textiles &amp; Apparels</t>
        </is>
      </c>
      <c r="E52" t="n">
        <v>122165</v>
      </c>
      <c r="F52" t="n">
        <v>1151.28</v>
      </c>
      <c r="G52" t="n">
        <v>0.86</v>
      </c>
      <c r="H52" t="inlineStr">
        <is>
          <t>Mid Cap</t>
        </is>
      </c>
    </row>
    <row r="53">
      <c r="B53" t="inlineStr">
        <is>
          <t>CCL Products (India) Ltd</t>
        </is>
      </c>
      <c r="C53" t="inlineStr">
        <is>
          <t>INE421D01022</t>
        </is>
      </c>
      <c r="D53" t="inlineStr">
        <is>
          <t>Agricultural Food &amp; Other Products</t>
        </is>
      </c>
      <c r="E53" t="n">
        <v>113603</v>
      </c>
      <c r="F53" t="n">
        <v>1072.64</v>
      </c>
      <c r="G53" t="n">
        <v>0.8</v>
      </c>
      <c r="H53" t="inlineStr">
        <is>
          <t>Small Cap</t>
        </is>
      </c>
    </row>
    <row r="54">
      <c r="B54" t="inlineStr">
        <is>
          <t>UTI Asset Management Co Ltd</t>
        </is>
      </c>
      <c r="C54" t="inlineStr">
        <is>
          <t>INE094J01016</t>
        </is>
      </c>
      <c r="D54" t="inlineStr">
        <is>
          <t>Capital Markets</t>
        </is>
      </c>
      <c r="E54" t="n">
        <v>92500</v>
      </c>
      <c r="F54" t="n">
        <v>1044.79</v>
      </c>
      <c r="G54" t="n">
        <v>0.78</v>
      </c>
      <c r="H54" t="inlineStr">
        <is>
          <t>Small Cap</t>
        </is>
      </c>
    </row>
    <row r="55">
      <c r="B55" t="inlineStr">
        <is>
          <t>Birla Corporation Ltd</t>
        </is>
      </c>
      <c r="C55" t="inlineStr">
        <is>
          <t>INE340A01012</t>
        </is>
      </c>
      <c r="D55" t="inlineStr">
        <is>
          <t>Cement &amp; Cement Products</t>
        </is>
      </c>
      <c r="E55" t="n">
        <v>92543</v>
      </c>
      <c r="F55" t="n">
        <v>984.1900000000001</v>
      </c>
      <c r="G55" t="n">
        <v>0.74</v>
      </c>
      <c r="H55" t="inlineStr">
        <is>
          <t>Small Cap</t>
        </is>
      </c>
    </row>
    <row r="56">
      <c r="B56" t="inlineStr">
        <is>
          <t>Jubilant Foodworks Ltd</t>
        </is>
      </c>
      <c r="C56" t="inlineStr">
        <is>
          <t>INE797F01020</t>
        </is>
      </c>
      <c r="D56" t="inlineStr">
        <is>
          <t>Leisure Services</t>
        </is>
      </c>
      <c r="E56" t="n">
        <v>167785</v>
      </c>
      <c r="F56" t="n">
        <v>937.25</v>
      </c>
      <c r="G56" t="n">
        <v>0.7</v>
      </c>
      <c r="H56" t="inlineStr">
        <is>
          <t>Mid Cap</t>
        </is>
      </c>
    </row>
    <row r="57">
      <c r="B57" t="inlineStr">
        <is>
          <t>Blue Star Ltd</t>
        </is>
      </c>
      <c r="C57" t="inlineStr">
        <is>
          <t>INE472A01039</t>
        </is>
      </c>
      <c r="D57" t="inlineStr">
        <is>
          <t>Consumer Durables</t>
        </is>
      </c>
      <c r="E57" t="n">
        <v>51000</v>
      </c>
      <c r="F57" t="n">
        <v>882.66</v>
      </c>
      <c r="G57" t="n">
        <v>0.66</v>
      </c>
      <c r="H57" t="inlineStr">
        <is>
          <t>Mid Cap</t>
        </is>
      </c>
    </row>
    <row r="58">
      <c r="B58" t="inlineStr">
        <is>
          <t>NTPC Green Energy Ltd</t>
        </is>
      </c>
      <c r="C58" t="inlineStr">
        <is>
          <t>INE0ONG01011</t>
        </is>
      </c>
      <c r="D58" t="inlineStr">
        <is>
          <t>Power</t>
        </is>
      </c>
      <c r="E58" t="n">
        <v>914436</v>
      </c>
      <c r="F58" t="n">
        <v>864.6</v>
      </c>
      <c r="G58" t="n">
        <v>0.65</v>
      </c>
      <c r="H58" t="inlineStr">
        <is>
          <t>Mid Cap</t>
        </is>
      </c>
    </row>
    <row r="59">
      <c r="B59" t="inlineStr">
        <is>
          <t>Crompton Greaves Consumer Electricals Ltd</t>
        </is>
      </c>
      <c r="C59" t="inlineStr">
        <is>
          <t>INE299U01018</t>
        </is>
      </c>
      <c r="D59" t="inlineStr">
        <is>
          <t>Consumer Durables</t>
        </is>
      </c>
      <c r="E59" t="n">
        <v>320000</v>
      </c>
      <c r="F59" t="n">
        <v>807.2</v>
      </c>
      <c r="G59" t="n">
        <v>0.6</v>
      </c>
      <c r="H59" t="inlineStr">
        <is>
          <t>Small Cap</t>
        </is>
      </c>
    </row>
    <row r="60">
      <c r="B60" t="inlineStr">
        <is>
          <t>Jyothy Labs Ltd</t>
        </is>
      </c>
      <c r="C60" t="inlineStr">
        <is>
          <t>INE668F01031</t>
        </is>
      </c>
      <c r="D60" t="inlineStr">
        <is>
          <t>Household Products</t>
        </is>
      </c>
      <c r="E60" t="n">
        <v>223780</v>
      </c>
      <c r="F60" t="n">
        <v>632.51</v>
      </c>
      <c r="G60" t="n">
        <v>0.47</v>
      </c>
      <c r="H60" t="inlineStr">
        <is>
          <t>Small Cap</t>
        </is>
      </c>
    </row>
    <row r="61">
      <c r="B61" t="inlineStr">
        <is>
          <t>Gujarat Gas Ltd</t>
        </is>
      </c>
      <c r="C61" t="inlineStr">
        <is>
          <t>INE844O01030</t>
        </is>
      </c>
      <c r="D61" t="inlineStr">
        <is>
          <t>Gas</t>
        </is>
      </c>
      <c r="E61" t="n">
        <v>145000</v>
      </c>
      <c r="F61" t="n">
        <v>597.6900000000001</v>
      </c>
      <c r="G61" t="n">
        <v>0.45</v>
      </c>
      <c r="H61" t="inlineStr">
        <is>
          <t>Small Cap</t>
        </is>
      </c>
    </row>
    <row r="62">
      <c r="B62" t="inlineStr">
        <is>
          <t>KEC International Ltd</t>
        </is>
      </c>
      <c r="C62" t="inlineStr">
        <is>
          <t>INE389H01022</t>
        </is>
      </c>
      <c r="D62" t="inlineStr">
        <is>
          <t>Construction</t>
        </is>
      </c>
      <c r="E62" t="n">
        <v>72500</v>
      </c>
      <c r="F62" t="n">
        <v>534.98</v>
      </c>
      <c r="G62" t="n">
        <v>0.4</v>
      </c>
      <c r="H62" t="inlineStr">
        <is>
          <t>Small Cap</t>
        </is>
      </c>
    </row>
    <row r="63">
      <c r="B63" t="inlineStr">
        <is>
          <t>Sub Total</t>
        </is>
      </c>
      <c r="F63">
        <f>SUM(F7:F62)</f>
        <v/>
      </c>
      <c r="G63">
        <f>SUM(G7:G62)</f>
        <v/>
      </c>
    </row>
    <row r="64">
      <c r="B64" t="inlineStr">
        <is>
          <t>Total</t>
        </is>
      </c>
      <c r="F64">
        <f>F63</f>
        <v/>
      </c>
      <c r="G64">
        <f>G63</f>
        <v/>
      </c>
    </row>
    <row r="65">
      <c r="B65" t="inlineStr">
        <is>
          <t>TREPS</t>
        </is>
      </c>
    </row>
    <row r="66">
      <c r="B66" t="inlineStr">
        <is>
          <t>TREPS</t>
        </is>
      </c>
      <c r="F66" t="n">
        <v>5841.45</v>
      </c>
      <c r="G66" t="n">
        <v>4.37</v>
      </c>
    </row>
    <row r="67">
      <c r="B67" t="inlineStr">
        <is>
          <t>Sub Total</t>
        </is>
      </c>
      <c r="F67">
        <f>SUM(F65:F66)</f>
        <v/>
      </c>
      <c r="G67">
        <f>SUM(G65:G66)</f>
        <v/>
      </c>
    </row>
    <row r="68">
      <c r="B68" t="inlineStr">
        <is>
          <t>Total</t>
        </is>
      </c>
      <c r="F68">
        <f>F67</f>
        <v/>
      </c>
      <c r="G68">
        <f>G67</f>
        <v/>
      </c>
    </row>
    <row r="69">
      <c r="B69" t="inlineStr">
        <is>
          <t>Net Receivables / (Payables)</t>
        </is>
      </c>
      <c r="F69">
        <f>F70-(+F64+F68)</f>
        <v/>
      </c>
      <c r="G69">
        <f>G70-(+G64+G68)</f>
        <v/>
      </c>
    </row>
    <row r="70">
      <c r="B70" t="inlineStr">
        <is>
          <t>Grand Total</t>
        </is>
      </c>
      <c r="F70" t="n">
        <v>133633.78</v>
      </c>
      <c r="G70" t="n">
        <v>100</v>
      </c>
    </row>
    <row r="71"/>
    <row r="72"/>
    <row r="73">
      <c r="B73" t="inlineStr">
        <is>
          <t>Residual Maturity</t>
        </is>
      </c>
      <c r="C73" t="inlineStr">
        <is>
          <t>0.0027 Years</t>
        </is>
      </c>
    </row>
    <row r="74"/>
    <row r="75">
      <c r="B75" t="inlineStr">
        <is>
          <t>Please refer the below link for the performance of the Schemes managed by Canara Robeco Mutual Fund</t>
        </is>
      </c>
    </row>
    <row r="76"/>
    <row r="77">
      <c r="B77" t="inlineStr">
        <is>
          <t>https://www.canararobeco.com/docs/default-source/default-document-library/Scheme_Performance_December_25.pdf</t>
        </is>
      </c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2026-01-27T13:22:42Z</dcterms:created>
  <dcterms:modified xmlns:dcterms="http://purl.org/dc/terms/" xmlns:xsi="http://www.w3.org/2001/XMLSchema-instance" xsi:type="dcterms:W3CDTF">2026-01-27T13:24:37Z</dcterms:modified>
</cp:coreProperties>
</file>