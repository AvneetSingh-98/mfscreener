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ssive Hybrid Equity" sheetId="1" state="visible" r:id="rId1"/>
    <sheet xmlns:r="http://schemas.openxmlformats.org/officeDocument/2006/relationships" name="Arbitrage Fund" sheetId="2" state="visible" r:id="rId2"/>
    <sheet xmlns:r="http://schemas.openxmlformats.org/officeDocument/2006/relationships" name="Balanced Advantage" sheetId="3" state="visible" r:id="rId3"/>
    <sheet xmlns:r="http://schemas.openxmlformats.org/officeDocument/2006/relationships" name="ELSS Tax Saver" sheetId="4" state="visible" r:id="rId4"/>
    <sheet xmlns:r="http://schemas.openxmlformats.org/officeDocument/2006/relationships" name="Equity Savings" sheetId="5" state="visible" r:id="rId5"/>
    <sheet xmlns:r="http://schemas.openxmlformats.org/officeDocument/2006/relationships" name="Flexi Cap" sheetId="6" state="visible" r:id="rId6"/>
    <sheet xmlns:r="http://schemas.openxmlformats.org/officeDocument/2006/relationships" name="Healthcare Fund" sheetId="7" state="visible" r:id="rId7"/>
    <sheet xmlns:r="http://schemas.openxmlformats.org/officeDocument/2006/relationships" name="Large &amp; Mid Cap" sheetId="8" state="visible" r:id="rId8"/>
    <sheet xmlns:r="http://schemas.openxmlformats.org/officeDocument/2006/relationships" name="Large Cap" sheetId="9" state="visible" r:id="rId9"/>
    <sheet xmlns:r="http://schemas.openxmlformats.org/officeDocument/2006/relationships" name="Mid Cap" sheetId="10" state="visible" r:id="rId10"/>
    <sheet xmlns:r="http://schemas.openxmlformats.org/officeDocument/2006/relationships" name="Multi Asset Allocation" sheetId="11" state="visible" r:id="rId11"/>
    <sheet xmlns:r="http://schemas.openxmlformats.org/officeDocument/2006/relationships" name="Multi Cap" sheetId="12" state="visible" r:id="rId12"/>
    <sheet xmlns:r="http://schemas.openxmlformats.org/officeDocument/2006/relationships" name="Small C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AGGRESSIVE HYBRID EQUITY FUND</t>
        </is>
      </c>
    </row>
    <row r="2">
      <c r="B2" t="inlineStr">
        <is>
          <t>( An Open Ended Hybrid Scheme Investing Predominantly In Equity Related Instruments)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(CRISIL Hybrid 35+65 - Aggresive Index)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167994</v>
      </c>
      <c r="F16" t="n">
        <v>1665.16</v>
      </c>
      <c r="G16" t="n">
        <v>7.73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108662</v>
      </c>
      <c r="F17" t="n">
        <v>1459.22</v>
      </c>
      <c r="G17" t="n">
        <v>6.78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73136</v>
      </c>
      <c r="F18" t="n">
        <v>1148.53</v>
      </c>
      <c r="G18" t="n">
        <v>5.33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48060</v>
      </c>
      <c r="F19" t="n">
        <v>1011.95</v>
      </c>
      <c r="G19" t="n">
        <v>4.7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11897</v>
      </c>
      <c r="F20" t="n">
        <v>485.81</v>
      </c>
      <c r="G20" t="n">
        <v>2.26</v>
      </c>
    </row>
    <row r="21">
      <c r="B21" t="inlineStr">
        <is>
          <t>Dixon Technologies (India) Ltd.</t>
        </is>
      </c>
      <c r="C21" t="inlineStr">
        <is>
          <t>INE935N01020</t>
        </is>
      </c>
      <c r="D21" t="inlineStr">
        <is>
          <t>Consumer Durables</t>
        </is>
      </c>
      <c r="E21" t="n">
        <v>3920</v>
      </c>
      <c r="F21" t="n">
        <v>474.4</v>
      </c>
      <c r="G21" t="n">
        <v>2.2</v>
      </c>
    </row>
    <row r="22">
      <c r="B22" t="inlineStr">
        <is>
          <t>Mahindra &amp; Mahindra Ltd.</t>
        </is>
      </c>
      <c r="C22" t="inlineStr">
        <is>
          <t>INE101A01026</t>
        </is>
      </c>
      <c r="D22" t="inlineStr">
        <is>
          <t>Automobiles</t>
        </is>
      </c>
      <c r="E22" t="n">
        <v>12390</v>
      </c>
      <c r="F22" t="n">
        <v>459.57</v>
      </c>
      <c r="G22" t="n">
        <v>2.13</v>
      </c>
    </row>
    <row r="23">
      <c r="B23" t="inlineStr">
        <is>
          <t>Titan Company Ltd.</t>
        </is>
      </c>
      <c r="C23" t="inlineStr">
        <is>
          <t>INE280A01028</t>
        </is>
      </c>
      <c r="D23" t="inlineStr">
        <is>
          <t>Consumer Durables</t>
        </is>
      </c>
      <c r="E23" t="n">
        <v>11305</v>
      </c>
      <c r="F23" t="n">
        <v>458.02</v>
      </c>
      <c r="G23" t="n">
        <v>2.13</v>
      </c>
    </row>
    <row r="24">
      <c r="B24" t="inlineStr">
        <is>
          <t>Bajaj Finance Ltd.</t>
        </is>
      </c>
      <c r="C24" t="inlineStr">
        <is>
          <t>INE296A01032</t>
        </is>
      </c>
      <c r="D24" t="inlineStr">
        <is>
          <t>Finance</t>
        </is>
      </c>
      <c r="E24" t="n">
        <v>42033</v>
      </c>
      <c r="F24" t="n">
        <v>414.78</v>
      </c>
      <c r="G24" t="n">
        <v>1.93</v>
      </c>
    </row>
    <row r="25">
      <c r="B25" t="inlineStr">
        <is>
          <t>Ultratech Cement Ltd.</t>
        </is>
      </c>
      <c r="C25" t="inlineStr">
        <is>
          <t>INE481G01011</t>
        </is>
      </c>
      <c r="D25" t="inlineStr">
        <is>
          <t>Cement &amp; Cement Products</t>
        </is>
      </c>
      <c r="E25" t="n">
        <v>3410</v>
      </c>
      <c r="F25" t="n">
        <v>401.83</v>
      </c>
      <c r="G25" t="n">
        <v>1.87</v>
      </c>
    </row>
    <row r="26">
      <c r="B26" t="inlineStr">
        <is>
          <t>Persistent Systems Ltd.</t>
        </is>
      </c>
      <c r="C26" t="inlineStr">
        <is>
          <t>INE262H01021</t>
        </is>
      </c>
      <c r="D26" t="inlineStr">
        <is>
          <t>IT - Software</t>
        </is>
      </c>
      <c r="E26" t="n">
        <v>6241</v>
      </c>
      <c r="F26" t="n">
        <v>391.44</v>
      </c>
      <c r="G26" t="n">
        <v>1.82</v>
      </c>
    </row>
    <row r="27">
      <c r="B27" t="inlineStr">
        <is>
          <t>Tata Consultancy Services Ltd.</t>
        </is>
      </c>
      <c r="C27" t="inlineStr">
        <is>
          <t>INE467B01029</t>
        </is>
      </c>
      <c r="D27" t="inlineStr">
        <is>
          <t>IT - Software</t>
        </is>
      </c>
      <c r="E27" t="n">
        <v>12152</v>
      </c>
      <c r="F27" t="n">
        <v>389.62</v>
      </c>
      <c r="G27" t="n">
        <v>1.81</v>
      </c>
    </row>
    <row r="28">
      <c r="B28" t="inlineStr">
        <is>
          <t>VARUN BEVERAGES LIMITED</t>
        </is>
      </c>
      <c r="C28" t="inlineStr">
        <is>
          <t>INE200M01039</t>
        </is>
      </c>
      <c r="D28" t="inlineStr">
        <is>
          <t>Beverages</t>
        </is>
      </c>
      <c r="E28" t="n">
        <v>78940</v>
      </c>
      <c r="F28" t="n">
        <v>386.69</v>
      </c>
      <c r="G28" t="n">
        <v>1.8</v>
      </c>
    </row>
    <row r="29">
      <c r="B29" t="inlineStr">
        <is>
          <t>Multi Commodity Exchange Of India Ltd.</t>
        </is>
      </c>
      <c r="C29" t="inlineStr">
        <is>
          <t>INE745G01035</t>
        </is>
      </c>
      <c r="D29" t="inlineStr">
        <is>
          <t>Capital Markets</t>
        </is>
      </c>
      <c r="E29" t="n">
        <v>3365</v>
      </c>
      <c r="F29" t="n">
        <v>374.73</v>
      </c>
      <c r="G29" t="n">
        <v>1.74</v>
      </c>
    </row>
    <row r="30">
      <c r="B30" t="inlineStr">
        <is>
          <t>Eternal Ltd.</t>
        </is>
      </c>
      <c r="C30" t="inlineStr">
        <is>
          <t>INE758T01015</t>
        </is>
      </c>
      <c r="D30" t="inlineStr">
        <is>
          <t>Retailing</t>
        </is>
      </c>
      <c r="E30" t="n">
        <v>129558</v>
      </c>
      <c r="F30" t="n">
        <v>360.24</v>
      </c>
      <c r="G30" t="n">
        <v>1.67</v>
      </c>
    </row>
    <row r="31">
      <c r="B31" t="inlineStr">
        <is>
          <t>ICICI Lombard General Insurance Co. Ltd.</t>
        </is>
      </c>
      <c r="C31" t="inlineStr">
        <is>
          <t>INE765G01017</t>
        </is>
      </c>
      <c r="D31" t="inlineStr">
        <is>
          <t>Insurance</t>
        </is>
      </c>
      <c r="E31" t="n">
        <v>14937</v>
      </c>
      <c r="F31" t="n">
        <v>293.08</v>
      </c>
      <c r="G31" t="n">
        <v>1.36</v>
      </c>
    </row>
    <row r="32">
      <c r="B32" t="inlineStr">
        <is>
          <t>UNO Minda Ltd.</t>
        </is>
      </c>
      <c r="C32" t="inlineStr">
        <is>
          <t>INE405E01023</t>
        </is>
      </c>
      <c r="D32" t="inlineStr">
        <is>
          <t>Auto Components</t>
        </is>
      </c>
      <c r="E32" t="n">
        <v>22478</v>
      </c>
      <c r="F32" t="n">
        <v>289.02</v>
      </c>
      <c r="G32" t="n">
        <v>1.34</v>
      </c>
    </row>
    <row r="33">
      <c r="B33" t="inlineStr">
        <is>
          <t>Max Healthcare Institute Ltd.</t>
        </is>
      </c>
      <c r="C33" t="inlineStr">
        <is>
          <t>INE027H01010</t>
        </is>
      </c>
      <c r="D33" t="inlineStr">
        <is>
          <t>Healthcare Services</t>
        </is>
      </c>
      <c r="E33" t="n">
        <v>27000</v>
      </c>
      <c r="F33" t="n">
        <v>282.18</v>
      </c>
      <c r="G33" t="n">
        <v>1.31</v>
      </c>
    </row>
    <row r="34">
      <c r="B34" t="inlineStr">
        <is>
          <t>Vishal Mega Mart Ltd</t>
        </is>
      </c>
      <c r="C34" t="inlineStr">
        <is>
          <t>INE01EA01019</t>
        </is>
      </c>
      <c r="D34" t="inlineStr">
        <is>
          <t>Retailing</t>
        </is>
      </c>
      <c r="E34" t="n">
        <v>204010</v>
      </c>
      <c r="F34" t="n">
        <v>278.21</v>
      </c>
      <c r="G34" t="n">
        <v>1.29</v>
      </c>
    </row>
    <row r="35">
      <c r="B35" t="inlineStr">
        <is>
          <t>SRF Ltd.</t>
        </is>
      </c>
      <c r="C35" t="inlineStr">
        <is>
          <t>INE647A01010</t>
        </is>
      </c>
      <c r="D35" t="inlineStr">
        <is>
          <t>Chemicals &amp; Petrochemicals</t>
        </is>
      </c>
      <c r="E35" t="n">
        <v>8743</v>
      </c>
      <c r="F35" t="n">
        <v>268.85</v>
      </c>
      <c r="G35" t="n">
        <v>1.25</v>
      </c>
    </row>
    <row r="36">
      <c r="B36" t="inlineStr">
        <is>
          <t>Doms Industries Ltd.</t>
        </is>
      </c>
      <c r="C36" t="inlineStr">
        <is>
          <t>INE321T01012</t>
        </is>
      </c>
      <c r="D36" t="inlineStr">
        <is>
          <t>Household Products</t>
        </is>
      </c>
      <c r="E36" t="n">
        <v>9056</v>
      </c>
      <c r="F36" t="n">
        <v>236.85</v>
      </c>
      <c r="G36" t="n">
        <v>1.1</v>
      </c>
    </row>
    <row r="37">
      <c r="B37" t="inlineStr">
        <is>
          <t>Cholamandalam Investment &amp; Finance Company Ltd.</t>
        </is>
      </c>
      <c r="C37" t="inlineStr">
        <is>
          <t>INE121A01024</t>
        </is>
      </c>
      <c r="D37" t="inlineStr">
        <is>
          <t>Finance</t>
        </is>
      </c>
      <c r="E37" t="n">
        <v>13610</v>
      </c>
      <c r="F37" t="n">
        <v>231.67</v>
      </c>
      <c r="G37" t="n">
        <v>1.08</v>
      </c>
    </row>
    <row r="38">
      <c r="B38" t="inlineStr">
        <is>
          <t>Britannia Industries Ltd.</t>
        </is>
      </c>
      <c r="C38" t="inlineStr">
        <is>
          <t>INE216A01030</t>
        </is>
      </c>
      <c r="D38" t="inlineStr">
        <is>
          <t>Food Products</t>
        </is>
      </c>
      <c r="E38" t="n">
        <v>3790</v>
      </c>
      <c r="F38" t="n">
        <v>228.57</v>
      </c>
      <c r="G38" t="n">
        <v>1.06</v>
      </c>
    </row>
    <row r="39">
      <c r="B39" t="inlineStr">
        <is>
          <t>LG Electronics India Ltd.</t>
        </is>
      </c>
      <c r="C39" t="inlineStr">
        <is>
          <t>INE324D01010</t>
        </is>
      </c>
      <c r="D39" t="inlineStr">
        <is>
          <t>Consumer Durables</t>
        </is>
      </c>
      <c r="E39" t="n">
        <v>13990</v>
      </c>
      <c r="F39" t="n">
        <v>212.84</v>
      </c>
      <c r="G39" t="n">
        <v>0.99</v>
      </c>
    </row>
    <row r="40">
      <c r="B40" t="inlineStr">
        <is>
          <t>Sai Life Sciences Ltd</t>
        </is>
      </c>
      <c r="C40" t="inlineStr">
        <is>
          <t>INE570L01029</t>
        </is>
      </c>
      <c r="D40" t="inlineStr">
        <is>
          <t>Pharmaceuticals &amp; Biotechnology</t>
        </is>
      </c>
      <c r="E40" t="n">
        <v>22999</v>
      </c>
      <c r="F40" t="n">
        <v>208.92</v>
      </c>
      <c r="G40" t="n">
        <v>0.97</v>
      </c>
    </row>
    <row r="41">
      <c r="B41" t="inlineStr">
        <is>
          <t>Sagility Ltd.</t>
        </is>
      </c>
      <c r="C41" t="inlineStr">
        <is>
          <t>INE0W2G01015</t>
        </is>
      </c>
      <c r="D41" t="inlineStr">
        <is>
          <t>IT - Services</t>
        </is>
      </c>
      <c r="E41" t="n">
        <v>369170</v>
      </c>
      <c r="F41" t="n">
        <v>192.04</v>
      </c>
      <c r="G41" t="n">
        <v>0.89</v>
      </c>
    </row>
    <row r="42">
      <c r="B42" t="inlineStr">
        <is>
          <t>ITC Ltd.</t>
        </is>
      </c>
      <c r="C42" t="inlineStr">
        <is>
          <t>INE154A01025</t>
        </is>
      </c>
      <c r="D42" t="inlineStr">
        <is>
          <t>Diversified FMCG</t>
        </is>
      </c>
      <c r="E42" t="n">
        <v>46640</v>
      </c>
      <c r="F42" t="n">
        <v>187.96</v>
      </c>
      <c r="G42" t="n">
        <v>0.87</v>
      </c>
    </row>
    <row r="43">
      <c r="B43" t="inlineStr">
        <is>
          <t>Bharat Electronics Ltd.</t>
        </is>
      </c>
      <c r="C43" t="inlineStr">
        <is>
          <t>INE263A01024</t>
        </is>
      </c>
      <c r="D43" t="inlineStr">
        <is>
          <t>Aerospace &amp; Defense</t>
        </is>
      </c>
      <c r="E43" t="n">
        <v>45000</v>
      </c>
      <c r="F43" t="n">
        <v>179.82</v>
      </c>
      <c r="G43" t="n">
        <v>0.84</v>
      </c>
    </row>
    <row r="44">
      <c r="B44" t="inlineStr">
        <is>
          <t>TVS Motor Company Ltd.</t>
        </is>
      </c>
      <c r="C44" t="inlineStr">
        <is>
          <t>INE494B01023</t>
        </is>
      </c>
      <c r="D44" t="inlineStr">
        <is>
          <t>Automobiles</t>
        </is>
      </c>
      <c r="E44" t="n">
        <v>4455</v>
      </c>
      <c r="F44" t="n">
        <v>165.72</v>
      </c>
      <c r="G44" t="n">
        <v>0.77</v>
      </c>
    </row>
    <row r="45">
      <c r="B45" t="inlineStr">
        <is>
          <t>ICICI Prudential Asset Mgmt Co Ltd.</t>
        </is>
      </c>
      <c r="C45" t="inlineStr">
        <is>
          <t>INE346A01027</t>
        </is>
      </c>
      <c r="D45" t="inlineStr">
        <is>
          <t>Capital Markets</t>
        </is>
      </c>
      <c r="E45" t="n">
        <v>6200</v>
      </c>
      <c r="F45" t="n">
        <v>164.99</v>
      </c>
      <c r="G45" t="n">
        <v>0.77</v>
      </c>
    </row>
    <row r="46">
      <c r="B46" t="inlineStr">
        <is>
          <t>Ajanta Pharma Ltd.</t>
        </is>
      </c>
      <c r="C46" t="inlineStr">
        <is>
          <t>INE031B01049</t>
        </is>
      </c>
      <c r="D46" t="inlineStr">
        <is>
          <t>Pharmaceuticals &amp; Biotechnology</t>
        </is>
      </c>
      <c r="E46" t="n">
        <v>5830</v>
      </c>
      <c r="F46" t="n">
        <v>161.43</v>
      </c>
      <c r="G46" t="n">
        <v>0.75</v>
      </c>
    </row>
    <row r="47">
      <c r="B47" t="inlineStr">
        <is>
          <t>Home First Finance Company India Ltd.</t>
        </is>
      </c>
      <c r="C47" t="inlineStr">
        <is>
          <t>INE481N01025</t>
        </is>
      </c>
      <c r="D47" t="inlineStr">
        <is>
          <t>Finance</t>
        </is>
      </c>
      <c r="E47" t="n">
        <v>14303</v>
      </c>
      <c r="F47" t="n">
        <v>157.65</v>
      </c>
      <c r="G47" t="n">
        <v>0.73</v>
      </c>
    </row>
    <row r="48">
      <c r="B48" t="inlineStr">
        <is>
          <t>LTIMindtree Ltd.</t>
        </is>
      </c>
      <c r="C48" t="inlineStr">
        <is>
          <t>INE214T01019</t>
        </is>
      </c>
      <c r="D48" t="inlineStr">
        <is>
          <t>IT - Software</t>
        </is>
      </c>
      <c r="E48" t="n">
        <v>2520</v>
      </c>
      <c r="F48" t="n">
        <v>152.8</v>
      </c>
      <c r="G48" t="n">
        <v>0.71</v>
      </c>
    </row>
    <row r="49">
      <c r="B49" t="inlineStr">
        <is>
          <t>Solar Industries India Ltd.</t>
        </is>
      </c>
      <c r="C49" t="inlineStr">
        <is>
          <t>INE343H01029</t>
        </is>
      </c>
      <c r="D49" t="inlineStr">
        <is>
          <t>Chemicals &amp; Petrochemicals</t>
        </is>
      </c>
      <c r="E49" t="n">
        <v>1215</v>
      </c>
      <c r="F49" t="n">
        <v>148.86</v>
      </c>
      <c r="G49" t="n">
        <v>0.6899999999999999</v>
      </c>
    </row>
    <row r="50">
      <c r="B50" t="inlineStr">
        <is>
          <t>PB Fintech Ltd.</t>
        </is>
      </c>
      <c r="C50" t="inlineStr">
        <is>
          <t>INE417T01026</t>
        </is>
      </c>
      <c r="D50" t="inlineStr">
        <is>
          <t>Financial Technology (Fintech)</t>
        </is>
      </c>
      <c r="E50" t="n">
        <v>8100</v>
      </c>
      <c r="F50" t="n">
        <v>147.87</v>
      </c>
      <c r="G50" t="n">
        <v>0.6899999999999999</v>
      </c>
    </row>
    <row r="51">
      <c r="B51" t="inlineStr">
        <is>
          <t>Prestige Estates Projects Ltd.</t>
        </is>
      </c>
      <c r="C51" t="inlineStr">
        <is>
          <t>INE811K01011</t>
        </is>
      </c>
      <c r="D51" t="inlineStr">
        <is>
          <t>Realty</t>
        </is>
      </c>
      <c r="E51" t="n">
        <v>9145</v>
      </c>
      <c r="F51" t="n">
        <v>145.84</v>
      </c>
      <c r="G51" t="n">
        <v>0.68</v>
      </c>
    </row>
    <row r="52">
      <c r="B52" t="inlineStr">
        <is>
          <t>CG Power and Industrial Solutions Ltd.</t>
        </is>
      </c>
      <c r="C52" t="inlineStr">
        <is>
          <t>INE067A01029</t>
        </is>
      </c>
      <c r="D52" t="inlineStr">
        <is>
          <t>Electrical Equipment</t>
        </is>
      </c>
      <c r="E52" t="n">
        <v>22085</v>
      </c>
      <c r="F52" t="n">
        <v>143.09</v>
      </c>
      <c r="G52" t="n">
        <v>0.66</v>
      </c>
    </row>
    <row r="53">
      <c r="B53" t="inlineStr">
        <is>
          <t>Infosys Ltd.</t>
        </is>
      </c>
      <c r="C53" t="inlineStr">
        <is>
          <t>INE009A01021</t>
        </is>
      </c>
      <c r="D53" t="inlineStr">
        <is>
          <t>IT - Software</t>
        </is>
      </c>
      <c r="E53" t="n">
        <v>7075</v>
      </c>
      <c r="F53" t="n">
        <v>114.29</v>
      </c>
      <c r="G53" t="n">
        <v>0.53</v>
      </c>
    </row>
    <row r="54">
      <c r="B54" t="inlineStr">
        <is>
          <t>Muthoot Finance Ltd.</t>
        </is>
      </c>
      <c r="C54" t="inlineStr">
        <is>
          <t>INE414G01012</t>
        </is>
      </c>
      <c r="D54" t="inlineStr">
        <is>
          <t>Finance</t>
        </is>
      </c>
      <c r="E54" t="n">
        <v>2700</v>
      </c>
      <c r="F54" t="n">
        <v>102.92</v>
      </c>
      <c r="G54" t="n">
        <v>0.48</v>
      </c>
    </row>
    <row r="55">
      <c r="B55" t="inlineStr">
        <is>
          <t>KFIN Technologies Ltd.</t>
        </is>
      </c>
      <c r="C55" t="inlineStr">
        <is>
          <t>INE138Y01010</t>
        </is>
      </c>
      <c r="D55" t="inlineStr">
        <is>
          <t>Capital Markets</t>
        </is>
      </c>
      <c r="E55" t="n">
        <v>1700</v>
      </c>
      <c r="F55" t="n">
        <v>18.39</v>
      </c>
      <c r="G55" t="n">
        <v>0.09</v>
      </c>
    </row>
    <row r="56">
      <c r="B56" t="inlineStr">
        <is>
          <t>Sub Total</t>
        </is>
      </c>
      <c r="F56" t="n">
        <v>14595.85</v>
      </c>
      <c r="G56" t="n">
        <v>67.8</v>
      </c>
    </row>
    <row r="58">
      <c r="B58" t="inlineStr">
        <is>
          <t>(b) Unlisted</t>
        </is>
      </c>
    </row>
    <row r="59">
      <c r="F59" t="n">
        <v>0</v>
      </c>
      <c r="G59" t="n">
        <v>0</v>
      </c>
    </row>
    <row r="60">
      <c r="B60" t="inlineStr">
        <is>
          <t>Sub Total</t>
        </is>
      </c>
      <c r="F60" t="inlineStr">
        <is>
          <t>NIL</t>
        </is>
      </c>
      <c r="G60" t="inlineStr">
        <is>
          <t>NIL</t>
        </is>
      </c>
    </row>
    <row r="62">
      <c r="B62" t="inlineStr">
        <is>
          <t>TOTAL</t>
        </is>
      </c>
      <c r="F62" t="n">
        <v>14595.85</v>
      </c>
      <c r="G62" t="n">
        <v>67.8</v>
      </c>
    </row>
    <row r="63">
      <c r="B63" t="inlineStr">
        <is>
          <t>Debt Instruments</t>
        </is>
      </c>
    </row>
    <row r="65">
      <c r="B65" t="inlineStr">
        <is>
          <t>(a)Listed / Awaiting listing on stock Exchanges</t>
        </is>
      </c>
    </row>
    <row r="66">
      <c r="B66" t="inlineStr">
        <is>
          <t>7.1% Government of India</t>
        </is>
      </c>
      <c r="C66" t="inlineStr">
        <is>
          <t>IN0020240019</t>
        </is>
      </c>
      <c r="D66" t="inlineStr">
        <is>
          <t>SOVEREIGN</t>
        </is>
      </c>
      <c r="E66" t="n">
        <v>1400000</v>
      </c>
      <c r="F66" t="n">
        <v>1440.06</v>
      </c>
      <c r="G66" t="n">
        <v>6.69</v>
      </c>
      <c r="H66" t="n">
        <v>6.7527</v>
      </c>
    </row>
    <row r="67">
      <c r="B67" t="inlineStr">
        <is>
          <t>7.26% Government of India</t>
        </is>
      </c>
      <c r="C67" t="inlineStr">
        <is>
          <t>IN0020220060</t>
        </is>
      </c>
      <c r="D67" t="inlineStr">
        <is>
          <t>SOVEREIGN</t>
        </is>
      </c>
      <c r="E67" t="n">
        <v>900000</v>
      </c>
      <c r="F67" t="n">
        <v>931.01</v>
      </c>
      <c r="G67" t="n">
        <v>4.32</v>
      </c>
      <c r="H67" t="n">
        <v>6.7176</v>
      </c>
    </row>
    <row r="68">
      <c r="B68" t="inlineStr">
        <is>
          <t>6.54% Government of India</t>
        </is>
      </c>
      <c r="C68" t="inlineStr">
        <is>
          <t>IN0020210244</t>
        </is>
      </c>
      <c r="D68" t="inlineStr">
        <is>
          <t>SOVEREIGN</t>
        </is>
      </c>
      <c r="E68" t="n">
        <v>500000</v>
      </c>
      <c r="F68" t="n">
        <v>499.5</v>
      </c>
      <c r="G68" t="n">
        <v>2.32</v>
      </c>
      <c r="H68" t="n">
        <v>6.667</v>
      </c>
    </row>
    <row r="69">
      <c r="B69" t="inlineStr">
        <is>
          <t>7.26% Government of India</t>
        </is>
      </c>
      <c r="C69" t="inlineStr">
        <is>
          <t>IN0020220151</t>
        </is>
      </c>
      <c r="D69" t="inlineStr">
        <is>
          <t>SOVEREIGN</t>
        </is>
      </c>
      <c r="E69" t="n">
        <v>380000</v>
      </c>
      <c r="F69" t="n">
        <v>393.42</v>
      </c>
      <c r="G69" t="n">
        <v>1.83</v>
      </c>
      <c r="H69" t="n">
        <v>6.7362</v>
      </c>
    </row>
    <row r="70">
      <c r="B70" t="inlineStr">
        <is>
          <t>5.63% Government of India</t>
        </is>
      </c>
      <c r="C70" t="inlineStr">
        <is>
          <t>IN0020210012</t>
        </is>
      </c>
      <c r="D70" t="inlineStr">
        <is>
          <t>SOVEREIGN</t>
        </is>
      </c>
      <c r="E70" t="n">
        <v>350200</v>
      </c>
      <c r="F70" t="n">
        <v>350.31</v>
      </c>
      <c r="G70" t="n">
        <v>1.63</v>
      </c>
      <c r="H70" t="n">
        <v>5.5977</v>
      </c>
    </row>
    <row r="71">
      <c r="B71" t="inlineStr">
        <is>
          <t>7.37% Indian Railway Finance Corporation Ltd. **</t>
        </is>
      </c>
      <c r="C71" t="inlineStr">
        <is>
          <t>INE053F08411</t>
        </is>
      </c>
      <c r="D71" t="inlineStr">
        <is>
          <t>CRISIL AAA</t>
        </is>
      </c>
      <c r="E71" t="n">
        <v>200000</v>
      </c>
      <c r="F71" t="n">
        <v>202.81</v>
      </c>
      <c r="G71" t="n">
        <v>0.9399999999999999</v>
      </c>
      <c r="H71" t="n">
        <v>6.9108</v>
      </c>
    </row>
    <row r="72">
      <c r="B72" t="inlineStr">
        <is>
          <t>6.48% Government of India</t>
        </is>
      </c>
      <c r="C72" t="inlineStr">
        <is>
          <t>IN0020250091</t>
        </is>
      </c>
      <c r="D72" t="inlineStr">
        <is>
          <t>SOVEREIGN</t>
        </is>
      </c>
      <c r="E72" t="n">
        <v>200000</v>
      </c>
      <c r="F72" t="n">
        <v>198.27</v>
      </c>
      <c r="G72" t="n">
        <v>0.92</v>
      </c>
      <c r="H72" t="n">
        <v>6.7085</v>
      </c>
    </row>
    <row r="73">
      <c r="B73" t="inlineStr">
        <is>
          <t>7.18% Government of India</t>
        </is>
      </c>
      <c r="C73" t="inlineStr">
        <is>
          <t>IN0020230077</t>
        </is>
      </c>
      <c r="D73" t="inlineStr">
        <is>
          <t>SOVEREIGN</t>
        </is>
      </c>
      <c r="E73" t="n">
        <v>100000</v>
      </c>
      <c r="F73" t="n">
        <v>102.49</v>
      </c>
      <c r="G73" t="n">
        <v>0.48</v>
      </c>
      <c r="H73" t="n">
        <v>6.9815</v>
      </c>
    </row>
    <row r="74">
      <c r="B74" t="inlineStr">
        <is>
          <t>6.79% Government of India</t>
        </is>
      </c>
      <c r="C74" t="inlineStr">
        <is>
          <t>IN0020240126</t>
        </is>
      </c>
      <c r="D74" t="inlineStr">
        <is>
          <t>SOVEREIGN</t>
        </is>
      </c>
      <c r="E74" t="n">
        <v>85000</v>
      </c>
      <c r="F74" t="n">
        <v>85.76000000000001</v>
      </c>
      <c r="G74" t="n">
        <v>0.4</v>
      </c>
      <c r="H74" t="n">
        <v>6.7619</v>
      </c>
    </row>
    <row r="75">
      <c r="B75" t="inlineStr">
        <is>
          <t>7.17% Government of India</t>
        </is>
      </c>
      <c r="C75" t="inlineStr">
        <is>
          <t>IN0020170174</t>
        </is>
      </c>
      <c r="D75" t="inlineStr">
        <is>
          <t>SOVEREIGN</t>
        </is>
      </c>
      <c r="E75" t="n">
        <v>55000</v>
      </c>
      <c r="F75" t="n">
        <v>56.38</v>
      </c>
      <c r="G75" t="n">
        <v>0.26</v>
      </c>
      <c r="H75" t="n">
        <v>5.9185</v>
      </c>
    </row>
    <row r="76">
      <c r="B76" t="inlineStr">
        <is>
          <t>6.33% Government of India</t>
        </is>
      </c>
      <c r="C76" t="inlineStr">
        <is>
          <t>IN0020250026</t>
        </is>
      </c>
      <c r="D76" t="inlineStr">
        <is>
          <t>SOVEREIGN</t>
        </is>
      </c>
      <c r="E76" t="n">
        <v>50000</v>
      </c>
      <c r="F76" t="n">
        <v>49.06</v>
      </c>
      <c r="G76" t="n">
        <v>0.23</v>
      </c>
      <c r="H76" t="n">
        <v>6.711</v>
      </c>
    </row>
    <row r="77">
      <c r="B77" t="inlineStr">
        <is>
          <t>8.29% State Government of Andhra Pradesh</t>
        </is>
      </c>
      <c r="C77" t="inlineStr">
        <is>
          <t>IN1020150117</t>
        </is>
      </c>
      <c r="D77" t="inlineStr">
        <is>
          <t>SOVEREIGN</t>
        </is>
      </c>
      <c r="E77" t="n">
        <v>100</v>
      </c>
      <c r="F77" t="n">
        <v>0.1</v>
      </c>
      <c r="G77" t="n">
        <v>0</v>
      </c>
      <c r="H77" t="n">
        <v>5.4704</v>
      </c>
    </row>
    <row r="78">
      <c r="B78" t="inlineStr">
        <is>
          <t>Sub Total</t>
        </is>
      </c>
      <c r="F78" t="n">
        <v>4309.17</v>
      </c>
      <c r="G78" t="n">
        <v>20.02</v>
      </c>
    </row>
    <row r="80">
      <c r="B80" t="inlineStr">
        <is>
          <t>(b)Privately Placed/Unlisted</t>
        </is>
      </c>
    </row>
    <row r="81">
      <c r="F81" t="n">
        <v>0</v>
      </c>
      <c r="G81" t="n">
        <v>0</v>
      </c>
    </row>
    <row r="82">
      <c r="B82" t="inlineStr">
        <is>
          <t>Sub Total</t>
        </is>
      </c>
      <c r="F82" t="inlineStr">
        <is>
          <t>NIL</t>
        </is>
      </c>
      <c r="G82" t="inlineStr">
        <is>
          <t>NIL</t>
        </is>
      </c>
    </row>
    <row r="84">
      <c r="B84" t="inlineStr">
        <is>
          <t>(c)Securitised Debt Instruments</t>
        </is>
      </c>
    </row>
    <row r="85">
      <c r="F85" t="n">
        <v>0</v>
      </c>
      <c r="G85" t="n">
        <v>0</v>
      </c>
    </row>
    <row r="86">
      <c r="B86" t="inlineStr">
        <is>
          <t>Sub Total</t>
        </is>
      </c>
      <c r="F86" t="inlineStr">
        <is>
          <t>NIL</t>
        </is>
      </c>
      <c r="G86" t="inlineStr">
        <is>
          <t>NIL</t>
        </is>
      </c>
    </row>
    <row r="88">
      <c r="B88" t="inlineStr">
        <is>
          <t>TOTAL</t>
        </is>
      </c>
      <c r="F88" t="n">
        <v>4309.17</v>
      </c>
      <c r="G88" t="n">
        <v>20.02</v>
      </c>
    </row>
    <row r="90">
      <c r="B90" t="inlineStr">
        <is>
          <t>Foreign Securities and/or Overseas ETFs</t>
        </is>
      </c>
    </row>
    <row r="91">
      <c r="B91" t="inlineStr">
        <is>
          <t>International  Mutual Fund Units</t>
        </is>
      </c>
    </row>
    <row r="92">
      <c r="B92" t="inlineStr">
        <is>
          <t>PGIM Jennison Global Equity Opportunities Fund</t>
        </is>
      </c>
      <c r="C92" t="inlineStr">
        <is>
          <t>IE00BYV6MS67</t>
        </is>
      </c>
      <c r="E92" t="n">
        <v>7085.296</v>
      </c>
      <c r="F92" t="n">
        <v>2093.25</v>
      </c>
      <c r="G92" t="n">
        <v>9.720000000000001</v>
      </c>
    </row>
    <row r="93">
      <c r="B93" t="inlineStr">
        <is>
          <t>Sub Total</t>
        </is>
      </c>
      <c r="F93" t="n">
        <v>2093.25</v>
      </c>
      <c r="G93" t="n">
        <v>9.720000000000001</v>
      </c>
    </row>
    <row r="95">
      <c r="B95" t="inlineStr">
        <is>
          <t>TOTAL</t>
        </is>
      </c>
      <c r="F95" t="n">
        <v>2093.25</v>
      </c>
      <c r="G95" t="n">
        <v>9.720000000000001</v>
      </c>
    </row>
    <row r="97">
      <c r="B97" t="inlineStr">
        <is>
          <t>Treps / Reverse Repo</t>
        </is>
      </c>
    </row>
    <row r="98">
      <c r="B98" t="inlineStr">
        <is>
          <t>Clearing Corporation of India Ltd.</t>
        </is>
      </c>
      <c r="F98" t="n">
        <v>409.21</v>
      </c>
      <c r="G98" t="n">
        <v>1.9</v>
      </c>
    </row>
    <row r="99">
      <c r="B99" t="inlineStr">
        <is>
          <t>Sub Total</t>
        </is>
      </c>
      <c r="F99" t="n">
        <v>409.21</v>
      </c>
      <c r="G99" t="n">
        <v>1.9</v>
      </c>
    </row>
    <row r="101">
      <c r="B101" t="inlineStr">
        <is>
          <t>TOTAL</t>
        </is>
      </c>
      <c r="F101" t="n">
        <v>409.21</v>
      </c>
      <c r="G101" t="n">
        <v>1.9</v>
      </c>
    </row>
    <row r="103">
      <c r="B103" t="inlineStr">
        <is>
          <t>Net Receivables / (Payables)</t>
        </is>
      </c>
      <c r="F103" t="n">
        <v>126.53</v>
      </c>
      <c r="G103" t="n">
        <v>0.5600000000000023</v>
      </c>
    </row>
    <row r="105">
      <c r="B105" t="inlineStr">
        <is>
          <t>GRAND TOTAL</t>
        </is>
      </c>
      <c r="F105" t="n">
        <v>21534.01</v>
      </c>
      <c r="G105" t="n">
        <v>100</v>
      </c>
    </row>
    <row r="107">
      <c r="B107" t="inlineStr">
        <is>
          <t>** Non Traded Security</t>
        </is>
      </c>
    </row>
    <row r="114">
      <c r="B114" t="inlineStr">
        <is>
          <t>Notes:</t>
        </is>
      </c>
    </row>
    <row r="115">
      <c r="B115" t="inlineStr">
        <is>
          <t>1. Plan / Option-wise Net Asset Value per unit are as below :   (Face Value per unit = Rs. 10)</t>
        </is>
      </c>
    </row>
    <row r="116">
      <c r="B116" t="inlineStr">
        <is>
          <t xml:space="preserve">Plan / Option </t>
        </is>
      </c>
      <c r="C116" s="1" t="n">
        <v>45989</v>
      </c>
      <c r="D116" s="1" t="n">
        <v>46022</v>
      </c>
    </row>
    <row r="117">
      <c r="B117" t="inlineStr">
        <is>
          <t>Direct Plan</t>
        </is>
      </c>
      <c r="C117" t="inlineStr">
        <is>
          <t>(INR)</t>
        </is>
      </c>
      <c r="D117" t="inlineStr">
        <is>
          <t>(INR)</t>
        </is>
      </c>
    </row>
    <row r="118">
      <c r="B118" t="inlineStr">
        <is>
          <t>Growth</t>
        </is>
      </c>
      <c r="C118" t="n">
        <v>159.9</v>
      </c>
      <c r="D118" t="n">
        <v>157.63</v>
      </c>
    </row>
    <row r="119">
      <c r="B119" t="inlineStr">
        <is>
          <t>IDCW (earlier called Dividend)</t>
        </is>
      </c>
      <c r="C119" t="n">
        <v>27.78</v>
      </c>
      <c r="D119" t="n">
        <v>27.38</v>
      </c>
    </row>
    <row r="120">
      <c r="B120" t="inlineStr">
        <is>
          <t>Monthly IDCW (earlier called Monthly Dividend)</t>
        </is>
      </c>
      <c r="C120" t="n">
        <v>26.96</v>
      </c>
      <c r="D120" t="n">
        <v>26.39</v>
      </c>
    </row>
    <row r="121">
      <c r="B121" t="inlineStr">
        <is>
          <t>Regular Plan</t>
        </is>
      </c>
    </row>
    <row r="122">
      <c r="B122" t="inlineStr">
        <is>
          <t>Growth</t>
        </is>
      </c>
      <c r="C122" t="n">
        <v>133.16</v>
      </c>
      <c r="D122" t="n">
        <v>131.09</v>
      </c>
    </row>
    <row r="123">
      <c r="B123" t="inlineStr">
        <is>
          <t>IDCW (earlier called Dividend)</t>
        </is>
      </c>
      <c r="C123" t="n">
        <v>15.62</v>
      </c>
      <c r="D123" t="n">
        <v>15.38</v>
      </c>
    </row>
    <row r="124">
      <c r="B124" t="inlineStr">
        <is>
          <t>Monthly IDCW (earlier called Monthly Dividend)</t>
        </is>
      </c>
      <c r="C124" t="n">
        <v>24.06</v>
      </c>
      <c r="D124" t="n">
        <v>23.52</v>
      </c>
    </row>
    <row r="126">
      <c r="B126" t="inlineStr">
        <is>
          <t>2.   Exposure to derivative instruments in the scheme at the end of the month</t>
        </is>
      </c>
      <c r="D126" t="inlineStr">
        <is>
          <t>NIL</t>
        </is>
      </c>
    </row>
    <row r="128">
      <c r="B128" t="inlineStr">
        <is>
          <t>3.  Derivatives Transactions in the scheme for the month</t>
        </is>
      </c>
      <c r="D128" t="inlineStr">
        <is>
          <t>NIL</t>
        </is>
      </c>
    </row>
    <row r="130">
      <c r="B130" t="inlineStr">
        <is>
          <t>4.   Investment in foreign securities/ADRs/GDRs at the end of the month (INR Lacs)</t>
        </is>
      </c>
      <c r="D130" t="n">
        <v>2093.25</v>
      </c>
    </row>
    <row r="132">
      <c r="B132" t="inlineStr">
        <is>
          <t>5.   Investment in short term deposits at the end of the month (INR Lacs)</t>
        </is>
      </c>
      <c r="D132" t="inlineStr">
        <is>
          <t>NIL</t>
        </is>
      </c>
    </row>
    <row r="134">
      <c r="B134" t="inlineStr">
        <is>
          <t>6. Portfolio Turnover Ratio</t>
        </is>
      </c>
      <c r="D134" t="n">
        <v>0.21</v>
      </c>
    </row>
    <row r="136">
      <c r="B136" t="inlineStr">
        <is>
          <t>7.   Aggregate IDCW (earlier called Dividend) declared during the month</t>
        </is>
      </c>
    </row>
    <row r="137">
      <c r="B137" t="inlineStr">
        <is>
          <t>Plan/Option</t>
        </is>
      </c>
      <c r="C137" t="inlineStr">
        <is>
          <t>Dividend Rate</t>
        </is>
      </c>
    </row>
    <row r="138">
      <c r="B138" t="inlineStr">
        <is>
          <t>Direct Plan</t>
        </is>
      </c>
    </row>
    <row r="139">
      <c r="B139" t="inlineStr">
        <is>
          <t>Monthly IDCW (earlier called monthly dividend)</t>
        </is>
      </c>
      <c r="C139" t="n">
        <v>0.1815</v>
      </c>
    </row>
    <row r="140">
      <c r="B140" t="inlineStr">
        <is>
          <t>Regular Plan</t>
        </is>
      </c>
    </row>
    <row r="141">
      <c r="B141" t="inlineStr">
        <is>
          <t>Monthly IDCW (earlier called monthly dividend)</t>
        </is>
      </c>
      <c r="C141" t="n">
        <v>0.1618</v>
      </c>
    </row>
    <row r="142">
      <c r="B142" t="inlineStr">
        <is>
          <t>IDCWs are declared on face value. After distribution of IDCW, the NAV falls to the extent of IDCW and statutory levy (if applicable).</t>
        </is>
      </c>
    </row>
    <row r="144">
      <c r="B144" t="inlineStr">
        <is>
          <t>8.   (a) Total Exposure to illiquid securities in the portfolio (INR Lacs)</t>
        </is>
      </c>
      <c r="D144" t="inlineStr">
        <is>
          <t>NIL</t>
        </is>
      </c>
    </row>
    <row r="145">
      <c r="B145" t="inlineStr">
        <is>
          <t xml:space="preserve">     (b) Total Exposure to illiquid securities in the portfolio (% of AUM)</t>
        </is>
      </c>
      <c r="D145" t="inlineStr">
        <is>
          <t>NIL</t>
        </is>
      </c>
    </row>
    <row r="147">
      <c r="B147" t="inlineStr">
        <is>
          <t>9.   Instances of Fair valuation of securities or Deviation in valuation from what is  provided by valuation agencies</t>
        </is>
      </c>
      <c r="D147" t="inlineStr">
        <is>
          <t>NIL</t>
        </is>
      </c>
    </row>
    <row r="149">
      <c r="B149" t="inlineStr">
        <is>
          <t>10. Securities in default beyond its maturity date in the portfolio of the scheme</t>
        </is>
      </c>
      <c r="D149" t="inlineStr">
        <is>
          <t>NIL</t>
        </is>
      </c>
    </row>
    <row r="150">
      <c r="B150" t="inlineStr">
        <is>
          <t xml:space="preserve">11. For Performance of the scheme refer - </t>
        </is>
      </c>
      <c r="C150" t="inlineStr">
        <is>
          <t>PGIM India Hybrid Equity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ARBITRAGE FUND</t>
        </is>
      </c>
    </row>
    <row r="2">
      <c r="B2" t="inlineStr">
        <is>
          <t>(An Open Ended Scheme Investing In Arbitrage Opportunities)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 Arbitrage) </t>
        </is>
      </c>
    </row>
    <row r="9">
      <c r="B9" t="inlineStr">
        <is>
          <t>Investors understand that their 
principal will be at low risk</t>
        </is>
      </c>
      <c r="E9" t="inlineStr">
        <is>
          <t>Benchmark riskometer is at low risk</t>
        </is>
      </c>
    </row>
    <row r="10">
      <c r="B10" t="inlineStr">
        <is>
          <t>Portfolio Statement as on December 31,2025</t>
        </is>
      </c>
    </row>
    <row r="11">
      <c r="B11" t="inlineStr">
        <is>
          <t>Name of  Instrument</t>
        </is>
      </c>
      <c r="C11" t="inlineStr">
        <is>
          <t>ISIN</t>
        </is>
      </c>
      <c r="D11" t="inlineStr">
        <is>
          <t>Industry/Rating</t>
        </is>
      </c>
      <c r="E11" t="inlineStr">
        <is>
          <t>Quantity</t>
        </is>
      </c>
      <c r="F11" t="inlineStr">
        <is>
          <t>Market/Fair Value  (INR Lacs)</t>
        </is>
      </c>
      <c r="G11" t="inlineStr">
        <is>
          <t>%  to Net Assets</t>
        </is>
      </c>
      <c r="H11" t="inlineStr">
        <is>
          <t xml:space="preserve">% Yield </t>
        </is>
      </c>
    </row>
    <row r="12">
      <c r="B12" t="inlineStr">
        <is>
          <t>Equity &amp; Equity related</t>
        </is>
      </c>
    </row>
    <row r="14">
      <c r="B14" t="inlineStr">
        <is>
          <t>(a)Listed / Awaiting listing on Stock Exchanges</t>
        </is>
      </c>
    </row>
    <row r="15">
      <c r="B15" t="inlineStr">
        <is>
          <t>Reliance Industries Ltd.</t>
        </is>
      </c>
      <c r="C15" t="inlineStr">
        <is>
          <t>INE002A01018</t>
        </is>
      </c>
      <c r="D15" t="inlineStr">
        <is>
          <t>Petroleum Products</t>
        </is>
      </c>
      <c r="E15" t="n">
        <v>54500</v>
      </c>
      <c r="F15" t="n">
        <v>855.87</v>
      </c>
      <c r="G15" t="n">
        <v>9.460000000000001</v>
      </c>
    </row>
    <row r="16">
      <c r="B16" t="inlineStr">
        <is>
          <t>Larsen &amp; Toubro Ltd.</t>
        </is>
      </c>
      <c r="C16" t="inlineStr">
        <is>
          <t>INE018A01030</t>
        </is>
      </c>
      <c r="D16" t="inlineStr">
        <is>
          <t>Construction</t>
        </is>
      </c>
      <c r="E16" t="n">
        <v>20825</v>
      </c>
      <c r="F16" t="n">
        <v>850.39</v>
      </c>
      <c r="G16" t="n">
        <v>9.4</v>
      </c>
    </row>
    <row r="17">
      <c r="B17" t="inlineStr">
        <is>
          <t>HDFC Bank Ltd.</t>
        </is>
      </c>
      <c r="C17" t="inlineStr">
        <is>
          <t>INE040A01034</t>
        </is>
      </c>
      <c r="D17" t="inlineStr">
        <is>
          <t>Banks</t>
        </is>
      </c>
      <c r="E17" t="n">
        <v>85250</v>
      </c>
      <c r="F17" t="n">
        <v>845</v>
      </c>
      <c r="G17" t="n">
        <v>9.34</v>
      </c>
    </row>
    <row r="18">
      <c r="B18" t="inlineStr">
        <is>
          <t>SRF Ltd.</t>
        </is>
      </c>
      <c r="C18" t="inlineStr">
        <is>
          <t>INE647A01010</t>
        </is>
      </c>
      <c r="D18" t="inlineStr">
        <is>
          <t>Chemicals &amp; Petrochemicals</t>
        </is>
      </c>
      <c r="E18" t="n">
        <v>19400</v>
      </c>
      <c r="F18" t="n">
        <v>596.55</v>
      </c>
      <c r="G18" t="n">
        <v>6.59</v>
      </c>
    </row>
    <row r="19">
      <c r="B19" t="inlineStr">
        <is>
          <t>Titan Company Ltd.</t>
        </is>
      </c>
      <c r="C19" t="inlineStr">
        <is>
          <t>INE280A01028</t>
        </is>
      </c>
      <c r="D19" t="inlineStr">
        <is>
          <t>Consumer Durables</t>
        </is>
      </c>
      <c r="E19" t="n">
        <v>14700</v>
      </c>
      <c r="F19" t="n">
        <v>595.5700000000001</v>
      </c>
      <c r="G19" t="n">
        <v>6.58</v>
      </c>
    </row>
    <row r="20">
      <c r="B20" t="inlineStr">
        <is>
          <t>Vodafone Idea Ltd.</t>
        </is>
      </c>
      <c r="C20" t="inlineStr">
        <is>
          <t>INE669E01016</t>
        </is>
      </c>
      <c r="D20" t="inlineStr">
        <is>
          <t>Telecom - Services</t>
        </is>
      </c>
      <c r="E20" t="n">
        <v>3001950</v>
      </c>
      <c r="F20" t="n">
        <v>323.01</v>
      </c>
      <c r="G20" t="n">
        <v>3.57</v>
      </c>
    </row>
    <row r="21">
      <c r="B21" t="inlineStr">
        <is>
          <t>ICICI Bank Ltd.</t>
        </is>
      </c>
      <c r="C21" t="inlineStr">
        <is>
          <t>INE090A01021</t>
        </is>
      </c>
      <c r="D21" t="inlineStr">
        <is>
          <t>Banks</t>
        </is>
      </c>
      <c r="E21" t="n">
        <v>22400</v>
      </c>
      <c r="F21" t="n">
        <v>300.81</v>
      </c>
      <c r="G21" t="n">
        <v>3.32</v>
      </c>
    </row>
    <row r="22">
      <c r="B22" t="inlineStr">
        <is>
          <t>Bharti Airtel Ltd.</t>
        </is>
      </c>
      <c r="C22" t="inlineStr">
        <is>
          <t>INE397D01024</t>
        </is>
      </c>
      <c r="D22" t="inlineStr">
        <is>
          <t>Telecom - Services</t>
        </is>
      </c>
      <c r="E22" t="n">
        <v>13775</v>
      </c>
      <c r="F22" t="n">
        <v>290.05</v>
      </c>
      <c r="G22" t="n">
        <v>3.2</v>
      </c>
    </row>
    <row r="23">
      <c r="B23" t="inlineStr">
        <is>
          <t>Ambuja Cements Ltd.</t>
        </is>
      </c>
      <c r="C23" t="inlineStr">
        <is>
          <t>INE079A01024</t>
        </is>
      </c>
      <c r="D23" t="inlineStr">
        <is>
          <t>Cement &amp; Cement Products</t>
        </is>
      </c>
      <c r="E23" t="n">
        <v>49350</v>
      </c>
      <c r="F23" t="n">
        <v>274.56</v>
      </c>
      <c r="G23" t="n">
        <v>3.03</v>
      </c>
    </row>
    <row r="24">
      <c r="B24" t="inlineStr">
        <is>
          <t>PNB Housing Finance Ltd.</t>
        </is>
      </c>
      <c r="C24" t="inlineStr">
        <is>
          <t>INE572E01012</t>
        </is>
      </c>
      <c r="D24" t="inlineStr">
        <is>
          <t>Finance</t>
        </is>
      </c>
      <c r="E24" t="n">
        <v>27950</v>
      </c>
      <c r="F24" t="n">
        <v>265.94</v>
      </c>
      <c r="G24" t="n">
        <v>2.94</v>
      </c>
    </row>
    <row r="25">
      <c r="B25" t="inlineStr">
        <is>
          <t>Punjab National Bank</t>
        </is>
      </c>
      <c r="C25" t="inlineStr">
        <is>
          <t>INE160A01022</t>
        </is>
      </c>
      <c r="D25" t="inlineStr">
        <is>
          <t>Banks</t>
        </is>
      </c>
      <c r="E25" t="n">
        <v>184000</v>
      </c>
      <c r="F25" t="n">
        <v>227.39</v>
      </c>
      <c r="G25" t="n">
        <v>2.51</v>
      </c>
    </row>
    <row r="26">
      <c r="B26" t="inlineStr">
        <is>
          <t>Bank of Baroda</t>
        </is>
      </c>
      <c r="C26" t="inlineStr">
        <is>
          <t>INE028A01039</t>
        </is>
      </c>
      <c r="D26" t="inlineStr">
        <is>
          <t>Banks</t>
        </is>
      </c>
      <c r="E26" t="n">
        <v>73125</v>
      </c>
      <c r="F26" t="n">
        <v>216.38</v>
      </c>
      <c r="G26" t="n">
        <v>2.39</v>
      </c>
    </row>
    <row r="27">
      <c r="B27" t="inlineStr">
        <is>
          <t>Tata Consultancy Services Ltd.</t>
        </is>
      </c>
      <c r="C27" t="inlineStr">
        <is>
          <t>INE467B01029</t>
        </is>
      </c>
      <c r="D27" t="inlineStr">
        <is>
          <t>IT - Software</t>
        </is>
      </c>
      <c r="E27" t="n">
        <v>4900</v>
      </c>
      <c r="F27" t="n">
        <v>157.1</v>
      </c>
      <c r="G27" t="n">
        <v>1.74</v>
      </c>
    </row>
    <row r="28">
      <c r="B28" t="inlineStr">
        <is>
          <t>Grasim Industries Ltd.</t>
        </is>
      </c>
      <c r="C28" t="inlineStr">
        <is>
          <t>INE047A01021</t>
        </is>
      </c>
      <c r="D28" t="inlineStr">
        <is>
          <t>Cement &amp; Cement Products</t>
        </is>
      </c>
      <c r="E28" t="n">
        <v>5500</v>
      </c>
      <c r="F28" t="n">
        <v>155.6</v>
      </c>
      <c r="G28" t="n">
        <v>1.72</v>
      </c>
    </row>
    <row r="29">
      <c r="B29" t="inlineStr">
        <is>
          <t>Aurobindo Pharma Ltd.</t>
        </is>
      </c>
      <c r="C29" t="inlineStr">
        <is>
          <t>INE406A01037</t>
        </is>
      </c>
      <c r="D29" t="inlineStr">
        <is>
          <t>Pharmaceuticals &amp; Biotechnology</t>
        </is>
      </c>
      <c r="E29" t="n">
        <v>12100</v>
      </c>
      <c r="F29" t="n">
        <v>143.14</v>
      </c>
      <c r="G29" t="n">
        <v>1.58</v>
      </c>
    </row>
    <row r="30">
      <c r="B30" t="inlineStr">
        <is>
          <t>DLF Ltd.</t>
        </is>
      </c>
      <c r="C30" t="inlineStr">
        <is>
          <t>INE271C01023</t>
        </is>
      </c>
      <c r="D30" t="inlineStr">
        <is>
          <t>Realty</t>
        </is>
      </c>
      <c r="E30" t="n">
        <v>20625</v>
      </c>
      <c r="F30" t="n">
        <v>141.78</v>
      </c>
      <c r="G30" t="n">
        <v>1.57</v>
      </c>
    </row>
    <row r="31">
      <c r="B31" t="inlineStr">
        <is>
          <t>Axis Bank Ltd.</t>
        </is>
      </c>
      <c r="C31" t="inlineStr">
        <is>
          <t>INE238A01034</t>
        </is>
      </c>
      <c r="D31" t="inlineStr">
        <is>
          <t>Banks</t>
        </is>
      </c>
      <c r="E31" t="n">
        <v>10000</v>
      </c>
      <c r="F31" t="n">
        <v>126.94</v>
      </c>
      <c r="G31" t="n">
        <v>1.4</v>
      </c>
    </row>
    <row r="32">
      <c r="B32" t="inlineStr">
        <is>
          <t>Kotak Mahindra Bank Ltd.</t>
        </is>
      </c>
      <c r="C32" t="inlineStr">
        <is>
          <t>INE237A01028</t>
        </is>
      </c>
      <c r="D32" t="inlineStr">
        <is>
          <t>Banks</t>
        </is>
      </c>
      <c r="E32" t="n">
        <v>5200</v>
      </c>
      <c r="F32" t="n">
        <v>114.46</v>
      </c>
      <c r="G32" t="n">
        <v>1.26</v>
      </c>
    </row>
    <row r="33">
      <c r="B33" t="inlineStr">
        <is>
          <t>Sub Total</t>
        </is>
      </c>
      <c r="F33" t="n">
        <v>6480.54</v>
      </c>
      <c r="G33" t="n">
        <v>71.59999999999999</v>
      </c>
    </row>
    <row r="35">
      <c r="B35" t="inlineStr">
        <is>
          <t>(b) Unlisted</t>
        </is>
      </c>
    </row>
    <row r="36">
      <c r="F36" t="n">
        <v>0</v>
      </c>
      <c r="G36" t="n">
        <v>0</v>
      </c>
    </row>
    <row r="37">
      <c r="B37" t="inlineStr">
        <is>
          <t>Sub Total</t>
        </is>
      </c>
      <c r="F37" t="inlineStr">
        <is>
          <t>NIL</t>
        </is>
      </c>
      <c r="G37" t="inlineStr">
        <is>
          <t>NIL</t>
        </is>
      </c>
    </row>
    <row r="39">
      <c r="B39" t="inlineStr">
        <is>
          <t>TOTAL</t>
        </is>
      </c>
      <c r="F39" t="n">
        <v>6480.54</v>
      </c>
      <c r="G39" t="n">
        <v>71.59999999999999</v>
      </c>
    </row>
    <row r="41">
      <c r="B41" t="inlineStr">
        <is>
          <t>Derivatives  (Index / Stock Futures)</t>
        </is>
      </c>
    </row>
    <row r="42">
      <c r="B42" t="inlineStr">
        <is>
          <t>Reliance Industries Ltd.</t>
        </is>
      </c>
      <c r="E42" t="n">
        <v>-54500</v>
      </c>
      <c r="F42" t="n">
        <v>-860.01</v>
      </c>
      <c r="G42" t="n">
        <v>-9.5</v>
      </c>
    </row>
    <row r="43">
      <c r="B43" t="inlineStr">
        <is>
          <t>Larsen &amp; Toubro Ltd.</t>
        </is>
      </c>
      <c r="E43" t="n">
        <v>-20825</v>
      </c>
      <c r="F43" t="n">
        <v>-855.39</v>
      </c>
      <c r="G43" t="n">
        <v>-9.449999999999999</v>
      </c>
    </row>
    <row r="44">
      <c r="B44" t="inlineStr">
        <is>
          <t>HDFC Bank Ltd.</t>
        </is>
      </c>
      <c r="E44" t="n">
        <v>-85250</v>
      </c>
      <c r="F44" t="n">
        <v>-850.28</v>
      </c>
      <c r="G44" t="n">
        <v>-9.4</v>
      </c>
    </row>
    <row r="45">
      <c r="B45" t="inlineStr">
        <is>
          <t>SRF Ltd.</t>
        </is>
      </c>
      <c r="E45" t="n">
        <v>-19400</v>
      </c>
      <c r="F45" t="n">
        <v>-599.87</v>
      </c>
      <c r="G45" t="n">
        <v>-6.63</v>
      </c>
    </row>
    <row r="46">
      <c r="B46" t="inlineStr">
        <is>
          <t>Titan Company Ltd.</t>
        </is>
      </c>
      <c r="E46" t="n">
        <v>-14700</v>
      </c>
      <c r="F46" t="n">
        <v>-597.58</v>
      </c>
      <c r="G46" t="n">
        <v>-6.6</v>
      </c>
    </row>
    <row r="47">
      <c r="B47" t="inlineStr">
        <is>
          <t>Vodafone Idea Ltd.</t>
        </is>
      </c>
      <c r="E47" t="n">
        <v>-3001950</v>
      </c>
      <c r="F47" t="n">
        <v>-325.11</v>
      </c>
      <c r="G47" t="n">
        <v>-3.59</v>
      </c>
    </row>
    <row r="48">
      <c r="B48" t="inlineStr">
        <is>
          <t>ICICI Bank Ltd.</t>
        </is>
      </c>
      <c r="E48" t="n">
        <v>-22400</v>
      </c>
      <c r="F48" t="n">
        <v>-302.53</v>
      </c>
      <c r="G48" t="n">
        <v>-3.34</v>
      </c>
    </row>
    <row r="49">
      <c r="B49" t="inlineStr">
        <is>
          <t>Bharti Airtel Ltd.</t>
        </is>
      </c>
      <c r="E49" t="n">
        <v>-13775</v>
      </c>
      <c r="F49" t="n">
        <v>-291.88</v>
      </c>
      <c r="G49" t="n">
        <v>-3.23</v>
      </c>
    </row>
    <row r="50">
      <c r="B50" t="inlineStr">
        <is>
          <t>Ambuja Cements Ltd.</t>
        </is>
      </c>
      <c r="E50" t="n">
        <v>-49350</v>
      </c>
      <c r="F50" t="n">
        <v>-275.87</v>
      </c>
      <c r="G50" t="n">
        <v>-3.05</v>
      </c>
    </row>
    <row r="51">
      <c r="B51" t="inlineStr">
        <is>
          <t>PNB Housing Finance Ltd.</t>
        </is>
      </c>
      <c r="E51" t="n">
        <v>-27950</v>
      </c>
      <c r="F51" t="n">
        <v>-267.26</v>
      </c>
      <c r="G51" t="n">
        <v>-2.95</v>
      </c>
    </row>
    <row r="52">
      <c r="B52" t="inlineStr">
        <is>
          <t>Punjab National Bank</t>
        </is>
      </c>
      <c r="E52" t="n">
        <v>-184000</v>
      </c>
      <c r="F52" t="n">
        <v>-228.91</v>
      </c>
      <c r="G52" t="n">
        <v>-2.53</v>
      </c>
    </row>
    <row r="53">
      <c r="B53" t="inlineStr">
        <is>
          <t>Bank of Baroda</t>
        </is>
      </c>
      <c r="E53" t="n">
        <v>-73125</v>
      </c>
      <c r="F53" t="n">
        <v>-217.8</v>
      </c>
      <c r="G53" t="n">
        <v>-2.41</v>
      </c>
    </row>
    <row r="54">
      <c r="B54" t="inlineStr">
        <is>
          <t>Tata Consultancy Services Ltd.</t>
        </is>
      </c>
      <c r="E54" t="n">
        <v>-4900</v>
      </c>
      <c r="F54" t="n">
        <v>-157.8</v>
      </c>
      <c r="G54" t="n">
        <v>-1.74</v>
      </c>
    </row>
    <row r="55">
      <c r="B55" t="inlineStr">
        <is>
          <t>Grasim Industries Ltd.</t>
        </is>
      </c>
      <c r="E55" t="n">
        <v>-5500</v>
      </c>
      <c r="F55" t="n">
        <v>-156.37</v>
      </c>
      <c r="G55" t="n">
        <v>-1.73</v>
      </c>
    </row>
    <row r="56">
      <c r="B56" t="inlineStr">
        <is>
          <t>Aurobindo Pharma Ltd.</t>
        </is>
      </c>
      <c r="E56" t="n">
        <v>-12100</v>
      </c>
      <c r="F56" t="n">
        <v>-143.93</v>
      </c>
      <c r="G56" t="n">
        <v>-1.59</v>
      </c>
    </row>
    <row r="57">
      <c r="B57" t="inlineStr">
        <is>
          <t>DLF Ltd.</t>
        </is>
      </c>
      <c r="E57" t="n">
        <v>-20625</v>
      </c>
      <c r="F57" t="n">
        <v>-142.68</v>
      </c>
      <c r="G57" t="n">
        <v>-1.58</v>
      </c>
    </row>
    <row r="58">
      <c r="B58" t="inlineStr">
        <is>
          <t>Axis Bank Ltd.</t>
        </is>
      </c>
      <c r="E58" t="n">
        <v>-10000</v>
      </c>
      <c r="F58" t="n">
        <v>-127.42</v>
      </c>
      <c r="G58" t="n">
        <v>-1.41</v>
      </c>
    </row>
    <row r="59">
      <c r="B59" t="inlineStr">
        <is>
          <t>Kotak Mahindra Bank Ltd.</t>
        </is>
      </c>
      <c r="E59" t="n">
        <v>-5200</v>
      </c>
      <c r="F59" t="n">
        <v>-114.88</v>
      </c>
      <c r="G59" t="n">
        <v>-1.27</v>
      </c>
    </row>
    <row r="61">
      <c r="B61" t="inlineStr">
        <is>
          <t>TOTAL</t>
        </is>
      </c>
      <c r="F61" t="n">
        <v>-6515.57</v>
      </c>
      <c r="G61" t="n">
        <v>-72</v>
      </c>
    </row>
    <row r="63">
      <c r="B63" t="inlineStr">
        <is>
          <t>Debt Instruments</t>
        </is>
      </c>
    </row>
    <row r="65">
      <c r="B65" t="inlineStr">
        <is>
          <t>(a)Listed / Awaiting listing on stock Exchanges</t>
        </is>
      </c>
    </row>
    <row r="66">
      <c r="B66" t="inlineStr">
        <is>
          <t>7.26% Government of India</t>
        </is>
      </c>
      <c r="C66" t="inlineStr">
        <is>
          <t>IN0020220151</t>
        </is>
      </c>
      <c r="D66" t="inlineStr">
        <is>
          <t>SOVEREIGN</t>
        </is>
      </c>
      <c r="E66" t="n">
        <v>200000</v>
      </c>
      <c r="F66" t="n">
        <v>207.06</v>
      </c>
      <c r="G66" t="n">
        <v>2.29</v>
      </c>
      <c r="H66" t="n">
        <v>6.7362</v>
      </c>
    </row>
    <row r="67">
      <c r="B67" t="inlineStr">
        <is>
          <t>Sub Total</t>
        </is>
      </c>
      <c r="F67" t="n">
        <v>207.06</v>
      </c>
      <c r="G67" t="n">
        <v>2.29</v>
      </c>
    </row>
    <row r="69">
      <c r="B69" t="inlineStr">
        <is>
          <t>(b)Privately Placed/Unlisted</t>
        </is>
      </c>
    </row>
    <row r="70">
      <c r="F70" t="n">
        <v>0</v>
      </c>
      <c r="G70" t="n">
        <v>0</v>
      </c>
    </row>
    <row r="71">
      <c r="B71" t="inlineStr">
        <is>
          <t>Sub Total</t>
        </is>
      </c>
      <c r="F71" t="inlineStr">
        <is>
          <t>NIL</t>
        </is>
      </c>
      <c r="G71" t="inlineStr">
        <is>
          <t>NIL</t>
        </is>
      </c>
    </row>
    <row r="73">
      <c r="B73" t="inlineStr">
        <is>
          <t>(c)Securitised Debt Instruments</t>
        </is>
      </c>
    </row>
    <row r="74">
      <c r="F74" t="n">
        <v>0</v>
      </c>
      <c r="G74" t="n">
        <v>0</v>
      </c>
    </row>
    <row r="75">
      <c r="B75" t="inlineStr">
        <is>
          <t>Sub Total</t>
        </is>
      </c>
      <c r="F75" t="inlineStr">
        <is>
          <t>NIL</t>
        </is>
      </c>
      <c r="G75" t="inlineStr">
        <is>
          <t>NIL</t>
        </is>
      </c>
    </row>
    <row r="77">
      <c r="B77" t="inlineStr">
        <is>
          <t>TOTAL</t>
        </is>
      </c>
      <c r="F77" t="n">
        <v>207.06</v>
      </c>
      <c r="G77" t="n">
        <v>2.29</v>
      </c>
    </row>
    <row r="79">
      <c r="B79" t="inlineStr">
        <is>
          <t>Money Market Instruments</t>
        </is>
      </c>
    </row>
    <row r="81">
      <c r="B81" t="inlineStr">
        <is>
          <t>Treasury Bill</t>
        </is>
      </c>
    </row>
    <row r="82">
      <c r="B82" t="inlineStr">
        <is>
          <t>364 DAYS TBILL RED 29-10-2026</t>
        </is>
      </c>
      <c r="C82" t="inlineStr">
        <is>
          <t>IN002025Z310</t>
        </is>
      </c>
      <c r="D82" t="inlineStr">
        <is>
          <t>SOVEREIGN</t>
        </is>
      </c>
      <c r="E82" t="n">
        <v>20000</v>
      </c>
      <c r="F82" t="n">
        <v>19.14</v>
      </c>
      <c r="G82" t="n">
        <v>0.21</v>
      </c>
      <c r="H82" t="n">
        <v>5.45</v>
      </c>
    </row>
    <row r="83">
      <c r="B83" t="inlineStr">
        <is>
          <t>Sub Total</t>
        </is>
      </c>
      <c r="F83" t="n">
        <v>19.14</v>
      </c>
      <c r="G83" t="n">
        <v>0.21</v>
      </c>
    </row>
    <row r="85">
      <c r="B85" t="inlineStr">
        <is>
          <t>TOTAL</t>
        </is>
      </c>
      <c r="F85" t="n">
        <v>19.14</v>
      </c>
      <c r="G85" t="n">
        <v>0.21</v>
      </c>
    </row>
    <row r="88">
      <c r="B88" t="inlineStr">
        <is>
          <t>Mutual Fund Units</t>
        </is>
      </c>
    </row>
    <row r="89">
      <c r="B89" t="inlineStr">
        <is>
          <t>PGIM India Liquid Fund</t>
        </is>
      </c>
      <c r="C89" t="inlineStr">
        <is>
          <t>INF223J01NS5</t>
        </is>
      </c>
      <c r="E89" t="n">
        <v>585.269</v>
      </c>
      <c r="F89" t="n">
        <v>2.07</v>
      </c>
      <c r="G89" t="n">
        <v>0.02</v>
      </c>
    </row>
    <row r="90">
      <c r="B90" t="inlineStr">
        <is>
          <t>Sub Total</t>
        </is>
      </c>
      <c r="F90" t="n">
        <v>2.07</v>
      </c>
      <c r="G90" t="n">
        <v>0.02</v>
      </c>
    </row>
    <row r="92">
      <c r="B92" t="inlineStr">
        <is>
          <t>TOTAL</t>
        </is>
      </c>
      <c r="F92" t="n">
        <v>2.07</v>
      </c>
      <c r="G92" t="n">
        <v>0.02</v>
      </c>
    </row>
    <row r="93">
      <c r="B93" t="inlineStr">
        <is>
          <t>Margin Mutual Fund Units</t>
        </is>
      </c>
    </row>
    <row r="94">
      <c r="B94" t="inlineStr">
        <is>
          <t>PGIM India Liquid Fund</t>
        </is>
      </c>
      <c r="C94" t="inlineStr">
        <is>
          <t>INF223J01NS5</t>
        </is>
      </c>
      <c r="E94" t="n">
        <v>570068.347</v>
      </c>
      <c r="F94" t="n">
        <v>2019.19</v>
      </c>
      <c r="G94" t="n">
        <v>22.31</v>
      </c>
    </row>
    <row r="95">
      <c r="B95" t="inlineStr">
        <is>
          <t>Sub Total</t>
        </is>
      </c>
      <c r="F95" t="n">
        <v>2019.19</v>
      </c>
      <c r="G95" t="n">
        <v>22.31</v>
      </c>
    </row>
    <row r="97">
      <c r="B97" t="inlineStr">
        <is>
          <t>TOTAL</t>
        </is>
      </c>
      <c r="F97" t="n">
        <v>2019.19</v>
      </c>
      <c r="G97" t="n">
        <v>22.31</v>
      </c>
    </row>
    <row r="99">
      <c r="B99" t="inlineStr">
        <is>
          <t>Treps / Reverse Repo</t>
        </is>
      </c>
    </row>
    <row r="100">
      <c r="B100" t="inlineStr">
        <is>
          <t>Clearing Corporation of India Ltd.</t>
        </is>
      </c>
      <c r="F100" t="n">
        <v>326.66</v>
      </c>
      <c r="G100" t="n">
        <v>3.61</v>
      </c>
    </row>
    <row r="101">
      <c r="B101" t="inlineStr">
        <is>
          <t>Sub Total</t>
        </is>
      </c>
      <c r="F101" t="n">
        <v>326.66</v>
      </c>
      <c r="G101" t="n">
        <v>3.61</v>
      </c>
    </row>
    <row r="103">
      <c r="B103" t="inlineStr">
        <is>
          <t>TOTAL</t>
        </is>
      </c>
      <c r="F103" t="n">
        <v>326.66</v>
      </c>
      <c r="G103" t="n">
        <v>3.61</v>
      </c>
    </row>
    <row r="105">
      <c r="B105" t="inlineStr">
        <is>
          <t>Net Receivables / (Payables)</t>
        </is>
      </c>
      <c r="F105" t="n">
        <v>6510.78</v>
      </c>
      <c r="G105" t="n">
        <v>71.96000000000001</v>
      </c>
    </row>
    <row r="107">
      <c r="B107" t="inlineStr">
        <is>
          <t>GRAND TOTAL</t>
        </is>
      </c>
      <c r="F107" t="n">
        <v>9049.870000000001</v>
      </c>
      <c r="G107" t="n">
        <v>100</v>
      </c>
    </row>
    <row r="116">
      <c r="B116" t="inlineStr">
        <is>
          <t>Notes:</t>
        </is>
      </c>
    </row>
    <row r="117">
      <c r="B117" t="inlineStr">
        <is>
          <t>1. Plan / Option-wise Net Asset Value per unit are as below :   (Face Value per unit = Rs. 10)</t>
        </is>
      </c>
    </row>
    <row r="118">
      <c r="B118" t="inlineStr">
        <is>
          <t xml:space="preserve">Plan / Option </t>
        </is>
      </c>
      <c r="C118" s="1" t="n">
        <v>45989</v>
      </c>
      <c r="D118" s="1" t="n">
        <v>46022</v>
      </c>
    </row>
    <row r="119">
      <c r="B119" t="inlineStr">
        <is>
          <t>Direct Plan</t>
        </is>
      </c>
      <c r="C119" t="inlineStr">
        <is>
          <t>(INR)</t>
        </is>
      </c>
      <c r="D119" t="inlineStr">
        <is>
          <t>(INR)</t>
        </is>
      </c>
    </row>
    <row r="120">
      <c r="B120" t="inlineStr">
        <is>
          <t>Growth</t>
        </is>
      </c>
      <c r="C120" t="n">
        <v>20.0852</v>
      </c>
      <c r="D120" t="n">
        <v>20.1916</v>
      </c>
    </row>
    <row r="121">
      <c r="B121" t="inlineStr">
        <is>
          <t>IDCW (earlier called Dividend)</t>
        </is>
      </c>
      <c r="C121" t="n">
        <v>12.5645</v>
      </c>
      <c r="D121" t="n">
        <v>12.631</v>
      </c>
    </row>
    <row r="122">
      <c r="B122" t="inlineStr">
        <is>
          <t>Monthly IDCW (earlier called Monthly Dividend)</t>
        </is>
      </c>
      <c r="C122" t="n">
        <v>11.3835</v>
      </c>
      <c r="D122" t="n">
        <v>11.3977</v>
      </c>
    </row>
    <row r="123">
      <c r="B123" t="inlineStr">
        <is>
          <t>Regular Plan</t>
        </is>
      </c>
    </row>
    <row r="124">
      <c r="B124" t="inlineStr">
        <is>
          <t>Growth</t>
        </is>
      </c>
      <c r="C124" t="n">
        <v>18.7405</v>
      </c>
      <c r="D124" t="n">
        <v>18.8281</v>
      </c>
    </row>
    <row r="125">
      <c r="B125" t="inlineStr">
        <is>
          <t>IDCW (earlier called Dividend)</t>
        </is>
      </c>
      <c r="C125" t="n">
        <v>11.8471</v>
      </c>
      <c r="D125" t="n">
        <v>11.9025</v>
      </c>
    </row>
    <row r="126">
      <c r="B126" t="inlineStr">
        <is>
          <t>Monthly IDCW (earlier called Monthly Dividend)</t>
        </is>
      </c>
      <c r="C126" t="n">
        <v>11.2067</v>
      </c>
      <c r="D126" t="n">
        <v>11.2138</v>
      </c>
    </row>
    <row r="128">
      <c r="B128" t="inlineStr">
        <is>
          <t>2.   Exposure to derivative instruments in the scheme at the end of the month</t>
        </is>
      </c>
    </row>
    <row r="129">
      <c r="C129" t="inlineStr">
        <is>
          <t>Futures</t>
        </is>
      </c>
      <c r="D129" t="inlineStr">
        <is>
          <t>Put Options</t>
        </is>
      </c>
      <c r="E129" t="inlineStr">
        <is>
          <t>Swaps</t>
        </is>
      </c>
    </row>
    <row r="130">
      <c r="B130" t="inlineStr">
        <is>
          <t>a) Hedging Positions</t>
        </is>
      </c>
      <c r="C130" t="inlineStr">
        <is>
          <t>Refer Annexure 1  below</t>
        </is>
      </c>
      <c r="D130" t="inlineStr">
        <is>
          <t>NIL</t>
        </is>
      </c>
      <c r="E130" t="inlineStr">
        <is>
          <t>N.A.</t>
        </is>
      </c>
    </row>
    <row r="131">
      <c r="B131" t="inlineStr">
        <is>
          <t>b) Positions other than (a) above</t>
        </is>
      </c>
      <c r="C131" t="inlineStr">
        <is>
          <t>NIL</t>
        </is>
      </c>
      <c r="D131" t="inlineStr">
        <is>
          <t>NIL</t>
        </is>
      </c>
      <c r="E131" t="inlineStr">
        <is>
          <t>N.A.</t>
        </is>
      </c>
    </row>
    <row r="133">
      <c r="B133" t="inlineStr">
        <is>
          <t>3.  Derivatives Transactions in the scheme for the month</t>
        </is>
      </c>
    </row>
    <row r="134">
      <c r="B134" t="inlineStr">
        <is>
          <t>Futures</t>
        </is>
      </c>
      <c r="C134" t="inlineStr">
        <is>
          <t>Buy</t>
        </is>
      </c>
      <c r="E134" t="inlineStr">
        <is>
          <t>Sell</t>
        </is>
      </c>
    </row>
    <row r="135">
      <c r="C135" t="inlineStr">
        <is>
          <t>Count</t>
        </is>
      </c>
      <c r="D135" t="inlineStr">
        <is>
          <t>Value (INR Lacs)</t>
        </is>
      </c>
      <c r="E135" t="inlineStr">
        <is>
          <t>Count</t>
        </is>
      </c>
      <c r="F135" t="inlineStr">
        <is>
          <t>Value (INR Lacs)</t>
        </is>
      </c>
    </row>
    <row r="136">
      <c r="B136" t="inlineStr">
        <is>
          <t>a) Hedging Positions squared off  / expired</t>
        </is>
      </c>
      <c r="C136" t="n">
        <v>960</v>
      </c>
      <c r="D136" t="n">
        <v>6753.820188600001</v>
      </c>
      <c r="E136" t="n">
        <v>0</v>
      </c>
      <c r="F136" t="n">
        <v>0</v>
      </c>
    </row>
    <row r="137">
      <c r="B137" t="inlineStr">
        <is>
          <t>b) Trades other than (a) above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B138" t="inlineStr">
        <is>
          <t>Net Profit / Loss on above    :</t>
        </is>
      </c>
      <c r="F138" t="n">
        <v>-88.18625179999999</v>
      </c>
    </row>
    <row r="139">
      <c r="B139" t="inlineStr">
        <is>
          <t>Options</t>
        </is>
      </c>
      <c r="C139" t="inlineStr">
        <is>
          <t>Buy</t>
        </is>
      </c>
      <c r="E139" t="inlineStr">
        <is>
          <t>Sell</t>
        </is>
      </c>
    </row>
    <row r="140">
      <c r="C140" t="inlineStr">
        <is>
          <t>Count</t>
        </is>
      </c>
      <c r="D140" t="inlineStr">
        <is>
          <t>Value (INR Lacs)</t>
        </is>
      </c>
      <c r="E140" t="inlineStr">
        <is>
          <t>Count</t>
        </is>
      </c>
      <c r="F140" t="inlineStr">
        <is>
          <t>Value (INR Lacs)</t>
        </is>
      </c>
    </row>
    <row r="141">
      <c r="B141" t="inlineStr">
        <is>
          <t>a) Hedging Positions squared off  / expired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B142" t="inlineStr">
        <is>
          <t>b) Trades other than (a) above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B143" t="inlineStr">
        <is>
          <t>Net Profit / Loss on above    :</t>
        </is>
      </c>
      <c r="F143" t="n">
        <v>0</v>
      </c>
    </row>
    <row r="144">
      <c r="B144" t="inlineStr">
        <is>
          <t>Swaps</t>
        </is>
      </c>
      <c r="C144" t="inlineStr">
        <is>
          <t>Buy</t>
        </is>
      </c>
      <c r="E144" t="inlineStr">
        <is>
          <t>Sell</t>
        </is>
      </c>
    </row>
    <row r="145">
      <c r="C145" t="inlineStr">
        <is>
          <t>Count</t>
        </is>
      </c>
      <c r="D145" t="inlineStr">
        <is>
          <t>Value (INR Lacs)</t>
        </is>
      </c>
      <c r="E145" t="inlineStr">
        <is>
          <t>Count</t>
        </is>
      </c>
      <c r="F145" t="inlineStr">
        <is>
          <t>Value (INR Lacs)</t>
        </is>
      </c>
    </row>
    <row r="146">
      <c r="B146" t="inlineStr">
        <is>
          <t>a) Hedging Positions squared off  / expired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B147" t="inlineStr">
        <is>
          <t>b) Trades other than (a) above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B148" t="inlineStr">
        <is>
          <t>Net Profit / Loss on above    :</t>
        </is>
      </c>
      <c r="F148" t="n">
        <v>0</v>
      </c>
    </row>
    <row r="150">
      <c r="B150" t="inlineStr">
        <is>
          <t>4.   Investment in foreign securities/ADRs/GDRs at the end of the month (INR Lacs)</t>
        </is>
      </c>
      <c r="D150" t="inlineStr">
        <is>
          <t>NIL</t>
        </is>
      </c>
    </row>
    <row r="152">
      <c r="B152" t="inlineStr">
        <is>
          <t>5.   Investment in short term deposits at the end of the month (INR Lacs)</t>
        </is>
      </c>
      <c r="D152" t="inlineStr">
        <is>
          <t>NIL</t>
        </is>
      </c>
    </row>
    <row r="154">
      <c r="B154" t="inlineStr">
        <is>
          <t>6. Portfolio Turnover Ratio</t>
        </is>
      </c>
      <c r="D154" t="n">
        <v>1.24</v>
      </c>
    </row>
    <row r="156">
      <c r="B156" t="inlineStr">
        <is>
          <t>7.   Aggregate IDCW (earlier called Dividend) declared during the month</t>
        </is>
      </c>
    </row>
    <row r="157">
      <c r="B157" t="inlineStr">
        <is>
          <t>Plan/Option</t>
        </is>
      </c>
      <c r="C157" t="inlineStr">
        <is>
          <t>Dividend Rate</t>
        </is>
      </c>
    </row>
    <row r="158">
      <c r="B158" t="inlineStr">
        <is>
          <t>Direct Plan</t>
        </is>
      </c>
    </row>
    <row r="159">
      <c r="B159" t="inlineStr">
        <is>
          <t>Monthly IDCW (earlier called monthly dividend)</t>
        </is>
      </c>
      <c r="C159" t="n">
        <v>0.0459</v>
      </c>
    </row>
    <row r="160">
      <c r="B160" t="inlineStr">
        <is>
          <t>Regular Plan</t>
        </is>
      </c>
    </row>
    <row r="161">
      <c r="B161" t="inlineStr">
        <is>
          <t>Monthly IDCW (earlier called monthly dividend)</t>
        </is>
      </c>
      <c r="C161" t="n">
        <v>0.0452</v>
      </c>
    </row>
    <row r="162">
      <c r="B162" t="inlineStr">
        <is>
          <t>IDCWs are declared on face value. After distribution of IDCW, the NAV falls to the extent of IDCW and statutory levy (if applicable).</t>
        </is>
      </c>
    </row>
    <row r="164">
      <c r="B164" t="inlineStr">
        <is>
          <t>8.   (a) Total Exposure to illiquid securities in the portfolio (INR Lacs)</t>
        </is>
      </c>
      <c r="D164" t="inlineStr">
        <is>
          <t>NIL</t>
        </is>
      </c>
    </row>
    <row r="165">
      <c r="B165" t="inlineStr">
        <is>
          <t xml:space="preserve">     (b) Total Exposure to illiquid securities in the portfolio (% of AUM)</t>
        </is>
      </c>
      <c r="D165" t="inlineStr">
        <is>
          <t>NIL</t>
        </is>
      </c>
    </row>
    <row r="167">
      <c r="B167" t="inlineStr">
        <is>
          <t>9.   Instances of Fair valuation of securities or Deviation in valuation from what is  provided by valuation agencies</t>
        </is>
      </c>
      <c r="D167" t="inlineStr">
        <is>
          <t>NIL</t>
        </is>
      </c>
    </row>
    <row r="169">
      <c r="B169" t="inlineStr">
        <is>
          <t>10. Securities in default beyond its maturity date in the portfolio of the scheme</t>
        </is>
      </c>
      <c r="D169" t="inlineStr">
        <is>
          <t>NIL</t>
        </is>
      </c>
    </row>
    <row r="170">
      <c r="B170" t="inlineStr">
        <is>
          <t xml:space="preserve">11. For Performance of the scheme refer - </t>
        </is>
      </c>
      <c r="C170" t="inlineStr">
        <is>
          <t>PGIM India Arbitrage Mutual Fund</t>
        </is>
      </c>
    </row>
    <row r="171">
      <c r="B171" t="inlineStr">
        <is>
          <t>Annexure 1</t>
        </is>
      </c>
    </row>
    <row r="172">
      <c r="B172" t="inlineStr">
        <is>
          <t>Underlying</t>
        </is>
      </c>
      <c r="C172" t="inlineStr">
        <is>
          <t>Long / short</t>
        </is>
      </c>
      <c r="D172" t="inlineStr">
        <is>
          <t>Futures price when purchased</t>
        </is>
      </c>
      <c r="E172" t="inlineStr">
        <is>
          <t>Current Price of the contract</t>
        </is>
      </c>
      <c r="F172" t="inlineStr">
        <is>
          <t>Margin maintained in Rs. Lakhs</t>
        </is>
      </c>
    </row>
    <row r="173">
      <c r="B173" t="inlineStr">
        <is>
          <t>Ambuja Cements Ltd.</t>
        </is>
      </c>
      <c r="C173" t="inlineStr">
        <is>
          <t>short</t>
        </is>
      </c>
      <c r="D173" t="n">
        <v>556.694719</v>
      </c>
      <c r="E173" t="n">
        <v>559</v>
      </c>
      <c r="F173" t="n">
        <v>48.7180239</v>
      </c>
    </row>
    <row r="174">
      <c r="B174" t="inlineStr">
        <is>
          <t>Aurobindo Pharma Ltd.</t>
        </is>
      </c>
      <c r="C174" t="inlineStr">
        <is>
          <t>short</t>
        </is>
      </c>
      <c r="D174" t="n">
        <v>1221.8409</v>
      </c>
      <c r="E174" t="n">
        <v>1189.5</v>
      </c>
      <c r="F174" t="n">
        <v>47.3815914</v>
      </c>
    </row>
    <row r="175">
      <c r="B175" t="inlineStr">
        <is>
          <t>Axis Bank Ltd.</t>
        </is>
      </c>
      <c r="C175" t="inlineStr">
        <is>
          <t>short</t>
        </is>
      </c>
      <c r="D175" t="n">
        <v>1239.5125</v>
      </c>
      <c r="E175" t="n">
        <v>1274.2</v>
      </c>
      <c r="F175" t="n">
        <v>22.515114</v>
      </c>
    </row>
    <row r="176">
      <c r="B176" t="inlineStr">
        <is>
          <t>Bank of Baroda</t>
        </is>
      </c>
      <c r="C176" t="inlineStr">
        <is>
          <t>short</t>
        </is>
      </c>
      <c r="D176" t="n">
        <v>290.88598</v>
      </c>
      <c r="E176" t="n">
        <v>297.85</v>
      </c>
      <c r="F176" t="n">
        <v>39.9232555</v>
      </c>
    </row>
    <row r="177">
      <c r="B177" t="inlineStr">
        <is>
          <t>Bharti Airtel Ltd.</t>
        </is>
      </c>
      <c r="C177" t="inlineStr">
        <is>
          <t>short</t>
        </is>
      </c>
      <c r="D177" t="n">
        <v>2131.144845</v>
      </c>
      <c r="E177" t="n">
        <v>2118.9</v>
      </c>
      <c r="F177" t="n">
        <v>51.487363</v>
      </c>
    </row>
    <row r="178">
      <c r="B178" t="inlineStr">
        <is>
          <t>DLF Ltd.</t>
        </is>
      </c>
      <c r="C178" t="inlineStr">
        <is>
          <t>short</t>
        </is>
      </c>
      <c r="D178" t="n">
        <v>688.462</v>
      </c>
      <c r="E178" t="n">
        <v>691.8</v>
      </c>
      <c r="F178" t="n">
        <v>26.7532031</v>
      </c>
    </row>
    <row r="179">
      <c r="B179" t="inlineStr">
        <is>
          <t>Grasim Industries Ltd.</t>
        </is>
      </c>
      <c r="C179" t="inlineStr">
        <is>
          <t>short</t>
        </is>
      </c>
      <c r="D179" t="n">
        <v>2873.0864</v>
      </c>
      <c r="E179" t="n">
        <v>2843.1</v>
      </c>
      <c r="F179" t="n">
        <v>27.6150303</v>
      </c>
    </row>
    <row r="180">
      <c r="B180" t="inlineStr">
        <is>
          <t>HDFC Bank Ltd.</t>
        </is>
      </c>
      <c r="C180" t="inlineStr">
        <is>
          <t>short</t>
        </is>
      </c>
      <c r="D180" t="n">
        <v>995.4665</v>
      </c>
      <c r="E180" t="n">
        <v>997.4</v>
      </c>
      <c r="F180" t="n">
        <v>149.9900094</v>
      </c>
    </row>
    <row r="181">
      <c r="B181" t="inlineStr">
        <is>
          <t>ICICI Bank Ltd.</t>
        </is>
      </c>
      <c r="C181" t="inlineStr">
        <is>
          <t>short</t>
        </is>
      </c>
      <c r="D181" t="n">
        <v>1374.5656</v>
      </c>
      <c r="E181" t="n">
        <v>1350.6</v>
      </c>
      <c r="F181" t="n">
        <v>53.3670682</v>
      </c>
    </row>
    <row r="182">
      <c r="B182" t="inlineStr">
        <is>
          <t>Kotak Mahindra Bank Ltd.</t>
        </is>
      </c>
      <c r="C182" t="inlineStr">
        <is>
          <t>short</t>
        </is>
      </c>
      <c r="D182" t="n">
        <v>2182.9</v>
      </c>
      <c r="E182" t="n">
        <v>2209.2</v>
      </c>
      <c r="F182" t="n">
        <v>20.2990133</v>
      </c>
    </row>
    <row r="183">
      <c r="B183" t="inlineStr">
        <is>
          <t>Larsen &amp; Toubro Ltd.</t>
        </is>
      </c>
      <c r="C183" t="inlineStr">
        <is>
          <t>short</t>
        </is>
      </c>
      <c r="D183" t="n">
        <v>4067.5588</v>
      </c>
      <c r="E183" t="n">
        <v>4107.5</v>
      </c>
      <c r="F183" t="n">
        <v>150.8902448</v>
      </c>
    </row>
    <row r="184">
      <c r="B184" t="inlineStr">
        <is>
          <t>PNB Housing Finance Ltd.</t>
        </is>
      </c>
      <c r="C184" t="inlineStr">
        <is>
          <t>short</t>
        </is>
      </c>
      <c r="D184" t="n">
        <v>964.6593</v>
      </c>
      <c r="E184" t="n">
        <v>956.2</v>
      </c>
      <c r="F184" t="n">
        <v>103.8831457</v>
      </c>
    </row>
    <row r="185">
      <c r="B185" t="inlineStr">
        <is>
          <t>Punjab National Bank</t>
        </is>
      </c>
      <c r="C185" t="inlineStr">
        <is>
          <t>short</t>
        </is>
      </c>
      <c r="D185" t="n">
        <v>120.4574</v>
      </c>
      <c r="E185" t="n">
        <v>124.41</v>
      </c>
      <c r="F185" t="n">
        <v>43.7913247</v>
      </c>
    </row>
    <row r="186">
      <c r="B186" t="inlineStr">
        <is>
          <t>Reliance Industries Ltd.</t>
        </is>
      </c>
      <c r="C186" t="inlineStr">
        <is>
          <t>short</t>
        </is>
      </c>
      <c r="D186" t="n">
        <v>1560.4486</v>
      </c>
      <c r="E186" t="n">
        <v>1578</v>
      </c>
      <c r="F186" t="n">
        <v>151.877766</v>
      </c>
    </row>
    <row r="187">
      <c r="B187" t="inlineStr">
        <is>
          <t>SRF Ltd.</t>
        </is>
      </c>
      <c r="C187" t="inlineStr">
        <is>
          <t>short</t>
        </is>
      </c>
      <c r="D187" t="n">
        <v>3113.9887</v>
      </c>
      <c r="E187" t="n">
        <v>3092.1</v>
      </c>
      <c r="F187" t="n">
        <v>105.8765961</v>
      </c>
    </row>
    <row r="188">
      <c r="B188" t="inlineStr">
        <is>
          <t>Tata Consultancy Services Ltd.</t>
        </is>
      </c>
      <c r="C188" t="inlineStr">
        <is>
          <t>short</t>
        </is>
      </c>
      <c r="D188" t="n">
        <v>3230.675</v>
      </c>
      <c r="E188" t="n">
        <v>3220.5</v>
      </c>
      <c r="F188" t="n">
        <v>27.8682747</v>
      </c>
    </row>
    <row r="189">
      <c r="B189" t="inlineStr">
        <is>
          <t>Titan Company Ltd.</t>
        </is>
      </c>
      <c r="C189" t="inlineStr">
        <is>
          <t>short</t>
        </is>
      </c>
      <c r="D189" t="n">
        <v>3972.1286</v>
      </c>
      <c r="E189" t="n">
        <v>4065.2</v>
      </c>
      <c r="F189" t="n">
        <v>105.6529219</v>
      </c>
    </row>
    <row r="190">
      <c r="B190" t="inlineStr">
        <is>
          <t>Vodafone Idea Ltd.</t>
        </is>
      </c>
      <c r="C190" t="inlineStr">
        <is>
          <t>short</t>
        </is>
      </c>
      <c r="D190" t="n">
        <v>12.1205</v>
      </c>
      <c r="E190" t="n">
        <v>10.83</v>
      </c>
      <c r="F190" t="n">
        <v>159.4995474</v>
      </c>
    </row>
    <row r="192">
      <c r="B192" t="inlineStr">
        <is>
          <t xml:space="preserve">Total %age in of existing assets hedged through futures : </t>
        </is>
      </c>
      <c r="C192">
        <f>G61/100*-1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BALANCED ADVANTAGE FUND</t>
        </is>
      </c>
    </row>
    <row r="2">
      <c r="B2" t="inlineStr">
        <is>
          <t>(An Open Ended Dynamic Asset Allocation Fund)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(CRISIL Hybrid 50+50 Moderate Index)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688876</v>
      </c>
      <c r="F16" t="n">
        <v>6828.14</v>
      </c>
      <c r="G16" t="n">
        <v>7.35</v>
      </c>
    </row>
    <row r="17">
      <c r="B17" t="inlineStr">
        <is>
          <t>Reliance Industries Ltd.</t>
        </is>
      </c>
      <c r="C17" t="inlineStr">
        <is>
          <t>INE002A01018</t>
        </is>
      </c>
      <c r="D17" t="inlineStr">
        <is>
          <t>Petroleum Products</t>
        </is>
      </c>
      <c r="E17" t="n">
        <v>386132</v>
      </c>
      <c r="F17" t="n">
        <v>6063.82</v>
      </c>
      <c r="G17" t="n">
        <v>6.53</v>
      </c>
    </row>
    <row r="18">
      <c r="B18" t="inlineStr">
        <is>
          <t>ICICI Bank Ltd.</t>
        </is>
      </c>
      <c r="C18" t="inlineStr">
        <is>
          <t>INE090A01021</t>
        </is>
      </c>
      <c r="D18" t="inlineStr">
        <is>
          <t>Banks</t>
        </is>
      </c>
      <c r="E18" t="n">
        <v>449444</v>
      </c>
      <c r="F18" t="n">
        <v>6035.58</v>
      </c>
      <c r="G18" t="n">
        <v>6.5</v>
      </c>
    </row>
    <row r="19">
      <c r="B19" t="inlineStr">
        <is>
          <t>Infosys Ltd.</t>
        </is>
      </c>
      <c r="C19" t="inlineStr">
        <is>
          <t>INE009A01021</t>
        </is>
      </c>
      <c r="D19" t="inlineStr">
        <is>
          <t>IT - Software</t>
        </is>
      </c>
      <c r="E19" t="n">
        <v>143699</v>
      </c>
      <c r="F19" t="n">
        <v>2321.31</v>
      </c>
      <c r="G19" t="n">
        <v>2.5</v>
      </c>
    </row>
    <row r="20">
      <c r="B20" t="inlineStr">
        <is>
          <t>Bharti Airtel Ltd.</t>
        </is>
      </c>
      <c r="C20" t="inlineStr">
        <is>
          <t>INE397D01024</t>
        </is>
      </c>
      <c r="D20" t="inlineStr">
        <is>
          <t>Telecom - Services</t>
        </is>
      </c>
      <c r="E20" t="n">
        <v>108551</v>
      </c>
      <c r="F20" t="n">
        <v>2285.65</v>
      </c>
      <c r="G20" t="n">
        <v>2.46</v>
      </c>
    </row>
    <row r="21">
      <c r="B21" t="inlineStr">
        <is>
          <t>Eternal Ltd.</t>
        </is>
      </c>
      <c r="C21" t="inlineStr">
        <is>
          <t>INE758T01015</t>
        </is>
      </c>
      <c r="D21" t="inlineStr">
        <is>
          <t>Retailing</t>
        </is>
      </c>
      <c r="E21" t="n">
        <v>645214</v>
      </c>
      <c r="F21" t="n">
        <v>1794.02</v>
      </c>
      <c r="G21" t="n">
        <v>1.93</v>
      </c>
    </row>
    <row r="22">
      <c r="B22" t="inlineStr">
        <is>
          <t>Bajaj Finance Ltd.</t>
        </is>
      </c>
      <c r="C22" t="inlineStr">
        <is>
          <t>INE296A01032</t>
        </is>
      </c>
      <c r="D22" t="inlineStr">
        <is>
          <t>Finance</t>
        </is>
      </c>
      <c r="E22" t="n">
        <v>169880</v>
      </c>
      <c r="F22" t="n">
        <v>1676.38</v>
      </c>
      <c r="G22" t="n">
        <v>1.81</v>
      </c>
    </row>
    <row r="23">
      <c r="B23" t="inlineStr">
        <is>
          <t>Tata Consultancy Services Ltd.</t>
        </is>
      </c>
      <c r="C23" t="inlineStr">
        <is>
          <t>INE467B01029</t>
        </is>
      </c>
      <c r="D23" t="inlineStr">
        <is>
          <t>IT - Software</t>
        </is>
      </c>
      <c r="E23" t="n">
        <v>48026</v>
      </c>
      <c r="F23" t="n">
        <v>1539.81</v>
      </c>
      <c r="G23" t="n">
        <v>1.66</v>
      </c>
    </row>
    <row r="24">
      <c r="B24" t="inlineStr">
        <is>
          <t>Larsen &amp; Toubro Ltd.</t>
        </is>
      </c>
      <c r="C24" t="inlineStr">
        <is>
          <t>INE018A01030</t>
        </is>
      </c>
      <c r="D24" t="inlineStr">
        <is>
          <t>Construction</t>
        </is>
      </c>
      <c r="E24" t="n">
        <v>37395</v>
      </c>
      <c r="F24" t="n">
        <v>1527.02</v>
      </c>
      <c r="G24" t="n">
        <v>1.64</v>
      </c>
    </row>
    <row r="25">
      <c r="B25" t="inlineStr">
        <is>
          <t>SRF Ltd.</t>
        </is>
      </c>
      <c r="C25" t="inlineStr">
        <is>
          <t>INE647A01010</t>
        </is>
      </c>
      <c r="D25" t="inlineStr">
        <is>
          <t>Chemicals &amp; Petrochemicals</t>
        </is>
      </c>
      <c r="E25" t="n">
        <v>41890</v>
      </c>
      <c r="F25" t="n">
        <v>1288.12</v>
      </c>
      <c r="G25" t="n">
        <v>1.39</v>
      </c>
    </row>
    <row r="26">
      <c r="B26" t="inlineStr">
        <is>
          <t>Axis Bank Ltd.</t>
        </is>
      </c>
      <c r="C26" t="inlineStr">
        <is>
          <t>INE238A01034</t>
        </is>
      </c>
      <c r="D26" t="inlineStr">
        <is>
          <t>Banks</t>
        </is>
      </c>
      <c r="E26" t="n">
        <v>100566</v>
      </c>
      <c r="F26" t="n">
        <v>1276.58</v>
      </c>
      <c r="G26" t="n">
        <v>1.37</v>
      </c>
    </row>
    <row r="27">
      <c r="B27" t="inlineStr">
        <is>
          <t>VARUN BEVERAGES LIMITED</t>
        </is>
      </c>
      <c r="C27" t="inlineStr">
        <is>
          <t>INE200M01039</t>
        </is>
      </c>
      <c r="D27" t="inlineStr">
        <is>
          <t>Beverages</t>
        </is>
      </c>
      <c r="E27" t="n">
        <v>254418</v>
      </c>
      <c r="F27" t="n">
        <v>1246.27</v>
      </c>
      <c r="G27" t="n">
        <v>1.34</v>
      </c>
    </row>
    <row r="28">
      <c r="B28" t="inlineStr">
        <is>
          <t>Mahindra &amp; Mahindra Ltd.</t>
        </is>
      </c>
      <c r="C28" t="inlineStr">
        <is>
          <t>INE101A01026</t>
        </is>
      </c>
      <c r="D28" t="inlineStr">
        <is>
          <t>Automobiles</t>
        </is>
      </c>
      <c r="E28" t="n">
        <v>31628</v>
      </c>
      <c r="F28" t="n">
        <v>1173.15</v>
      </c>
      <c r="G28" t="n">
        <v>1.26</v>
      </c>
    </row>
    <row r="29">
      <c r="B29" t="inlineStr">
        <is>
          <t>Cummins India Ltd.</t>
        </is>
      </c>
      <c r="C29" t="inlineStr">
        <is>
          <t>INE298A01020</t>
        </is>
      </c>
      <c r="D29" t="inlineStr">
        <is>
          <t>Industrial Products</t>
        </is>
      </c>
      <c r="E29" t="n">
        <v>25288</v>
      </c>
      <c r="F29" t="n">
        <v>1121.37</v>
      </c>
      <c r="G29" t="n">
        <v>1.21</v>
      </c>
    </row>
    <row r="30">
      <c r="B30" t="inlineStr">
        <is>
          <t>Abbott India Ltd.</t>
        </is>
      </c>
      <c r="C30" t="inlineStr">
        <is>
          <t>INE358A01014</t>
        </is>
      </c>
      <c r="D30" t="inlineStr">
        <is>
          <t>Pharmaceuticals &amp; Biotechnology</t>
        </is>
      </c>
      <c r="E30" t="n">
        <v>3722</v>
      </c>
      <c r="F30" t="n">
        <v>1080.31</v>
      </c>
      <c r="G30" t="n">
        <v>1.16</v>
      </c>
    </row>
    <row r="31">
      <c r="B31" t="inlineStr">
        <is>
          <t>Titan Company Ltd.</t>
        </is>
      </c>
      <c r="C31" t="inlineStr">
        <is>
          <t>INE280A01028</t>
        </is>
      </c>
      <c r="D31" t="inlineStr">
        <is>
          <t>Consumer Durables</t>
        </is>
      </c>
      <c r="E31" t="n">
        <v>25350</v>
      </c>
      <c r="F31" t="n">
        <v>1027.06</v>
      </c>
      <c r="G31" t="n">
        <v>1.11</v>
      </c>
    </row>
    <row r="32">
      <c r="B32" t="inlineStr">
        <is>
          <t>Max Healthcare Institute Ltd.</t>
        </is>
      </c>
      <c r="C32" t="inlineStr">
        <is>
          <t>INE027H01010</t>
        </is>
      </c>
      <c r="D32" t="inlineStr">
        <is>
          <t>Healthcare Services</t>
        </is>
      </c>
      <c r="E32" t="n">
        <v>90758</v>
      </c>
      <c r="F32" t="n">
        <v>948.51</v>
      </c>
      <c r="G32" t="n">
        <v>1.02</v>
      </c>
    </row>
    <row r="33">
      <c r="B33" t="inlineStr">
        <is>
          <t>Muthoot Finance Ltd.</t>
        </is>
      </c>
      <c r="C33" t="inlineStr">
        <is>
          <t>INE414G01012</t>
        </is>
      </c>
      <c r="D33" t="inlineStr">
        <is>
          <t>Finance</t>
        </is>
      </c>
      <c r="E33" t="n">
        <v>24818</v>
      </c>
      <c r="F33" t="n">
        <v>945.99</v>
      </c>
      <c r="G33" t="n">
        <v>1.02</v>
      </c>
    </row>
    <row r="34">
      <c r="B34" t="inlineStr">
        <is>
          <t>TVS Motor Company Ltd.</t>
        </is>
      </c>
      <c r="C34" t="inlineStr">
        <is>
          <t>INE494B01023</t>
        </is>
      </c>
      <c r="D34" t="inlineStr">
        <is>
          <t>Automobiles</t>
        </is>
      </c>
      <c r="E34" t="n">
        <v>25127</v>
      </c>
      <c r="F34" t="n">
        <v>934.67</v>
      </c>
      <c r="G34" t="n">
        <v>1.01</v>
      </c>
    </row>
    <row r="35">
      <c r="B35" t="inlineStr">
        <is>
          <t>United Spirits Ltd.</t>
        </is>
      </c>
      <c r="C35" t="inlineStr">
        <is>
          <t>INE854D01024</t>
        </is>
      </c>
      <c r="D35" t="inlineStr">
        <is>
          <t>Beverages</t>
        </is>
      </c>
      <c r="E35" t="n">
        <v>63838</v>
      </c>
      <c r="F35" t="n">
        <v>921.63</v>
      </c>
      <c r="G35" t="n">
        <v>0.99</v>
      </c>
    </row>
    <row r="36">
      <c r="B36" t="inlineStr">
        <is>
          <t>LTIMindtree Ltd.</t>
        </is>
      </c>
      <c r="C36" t="inlineStr">
        <is>
          <t>INE214T01019</t>
        </is>
      </c>
      <c r="D36" t="inlineStr">
        <is>
          <t>IT - Software</t>
        </is>
      </c>
      <c r="E36" t="n">
        <v>15000</v>
      </c>
      <c r="F36" t="n">
        <v>909.53</v>
      </c>
      <c r="G36" t="n">
        <v>0.98</v>
      </c>
    </row>
    <row r="37">
      <c r="B37" t="inlineStr">
        <is>
          <t>ICICI Lombard General Insurance Co. Ltd.</t>
        </is>
      </c>
      <c r="C37" t="inlineStr">
        <is>
          <t>INE765G01017</t>
        </is>
      </c>
      <c r="D37" t="inlineStr">
        <is>
          <t>Insurance</t>
        </is>
      </c>
      <c r="E37" t="n">
        <v>43274</v>
      </c>
      <c r="F37" t="n">
        <v>849.08</v>
      </c>
      <c r="G37" t="n">
        <v>0.91</v>
      </c>
    </row>
    <row r="38">
      <c r="B38" t="inlineStr">
        <is>
          <t>JK Cement Ltd.</t>
        </is>
      </c>
      <c r="C38" t="inlineStr">
        <is>
          <t>INE823G01014</t>
        </is>
      </c>
      <c r="D38" t="inlineStr">
        <is>
          <t>Cement &amp; Cement Products</t>
        </is>
      </c>
      <c r="E38" t="n">
        <v>15007</v>
      </c>
      <c r="F38" t="n">
        <v>830.04</v>
      </c>
      <c r="G38" t="n">
        <v>0.89</v>
      </c>
    </row>
    <row r="39">
      <c r="B39" t="inlineStr">
        <is>
          <t>Britannia Industries Ltd.</t>
        </is>
      </c>
      <c r="C39" t="inlineStr">
        <is>
          <t>INE216A01030</t>
        </is>
      </c>
      <c r="D39" t="inlineStr">
        <is>
          <t>Food Products</t>
        </is>
      </c>
      <c r="E39" t="n">
        <v>13108</v>
      </c>
      <c r="F39" t="n">
        <v>790.54</v>
      </c>
      <c r="G39" t="n">
        <v>0.85</v>
      </c>
    </row>
    <row r="40">
      <c r="B40" t="inlineStr">
        <is>
          <t>Multi Commodity Exchange Of India Ltd.</t>
        </is>
      </c>
      <c r="C40" t="inlineStr">
        <is>
          <t>INE745G01035</t>
        </is>
      </c>
      <c r="D40" t="inlineStr">
        <is>
          <t>Capital Markets</t>
        </is>
      </c>
      <c r="E40" t="n">
        <v>7041</v>
      </c>
      <c r="F40" t="n">
        <v>784.09</v>
      </c>
      <c r="G40" t="n">
        <v>0.84</v>
      </c>
    </row>
    <row r="41">
      <c r="B41" t="inlineStr">
        <is>
          <t>Maruti Suzuki India Ltd.</t>
        </is>
      </c>
      <c r="C41" t="inlineStr">
        <is>
          <t>INE585B01010</t>
        </is>
      </c>
      <c r="D41" t="inlineStr">
        <is>
          <t>Automobiles</t>
        </is>
      </c>
      <c r="E41" t="n">
        <v>4601</v>
      </c>
      <c r="F41" t="n">
        <v>768.23</v>
      </c>
      <c r="G41" t="n">
        <v>0.83</v>
      </c>
    </row>
    <row r="42">
      <c r="B42" t="inlineStr">
        <is>
          <t>Persistent Systems Ltd.</t>
        </is>
      </c>
      <c r="C42" t="inlineStr">
        <is>
          <t>INE262H01021</t>
        </is>
      </c>
      <c r="D42" t="inlineStr">
        <is>
          <t>IT - Software</t>
        </is>
      </c>
      <c r="E42" t="n">
        <v>12123</v>
      </c>
      <c r="F42" t="n">
        <v>760.35</v>
      </c>
      <c r="G42" t="n">
        <v>0.82</v>
      </c>
    </row>
    <row r="43">
      <c r="B43" t="inlineStr">
        <is>
          <t>Aster DM Healthcare Ltd.</t>
        </is>
      </c>
      <c r="C43" t="inlineStr">
        <is>
          <t>INE914M01019</t>
        </is>
      </c>
      <c r="D43" t="inlineStr">
        <is>
          <t>Healthcare Services</t>
        </is>
      </c>
      <c r="E43" t="n">
        <v>120422</v>
      </c>
      <c r="F43" t="n">
        <v>742.8200000000001</v>
      </c>
      <c r="G43" t="n">
        <v>0.8</v>
      </c>
    </row>
    <row r="44">
      <c r="B44" t="inlineStr">
        <is>
          <t>Divi's Laboratories Ltd.</t>
        </is>
      </c>
      <c r="C44" t="inlineStr">
        <is>
          <t>INE361B01024</t>
        </is>
      </c>
      <c r="D44" t="inlineStr">
        <is>
          <t>Pharmaceuticals &amp; Biotechnology</t>
        </is>
      </c>
      <c r="E44" t="n">
        <v>11231</v>
      </c>
      <c r="F44" t="n">
        <v>717.9400000000001</v>
      </c>
      <c r="G44" t="n">
        <v>0.77</v>
      </c>
    </row>
    <row r="45">
      <c r="B45" t="inlineStr">
        <is>
          <t>CG Power and Industrial Solutions Ltd.</t>
        </is>
      </c>
      <c r="C45" t="inlineStr">
        <is>
          <t>INE067A01029</t>
        </is>
      </c>
      <c r="D45" t="inlineStr">
        <is>
          <t>Electrical Equipment</t>
        </is>
      </c>
      <c r="E45" t="n">
        <v>108163</v>
      </c>
      <c r="F45" t="n">
        <v>700.79</v>
      </c>
      <c r="G45" t="n">
        <v>0.75</v>
      </c>
    </row>
    <row r="46">
      <c r="B46" t="inlineStr">
        <is>
          <t>Navin Fluorine International Ltd.</t>
        </is>
      </c>
      <c r="C46" t="inlineStr">
        <is>
          <t>INE048G01026</t>
        </is>
      </c>
      <c r="D46" t="inlineStr">
        <is>
          <t>Chemicals &amp; Petrochemicals</t>
        </is>
      </c>
      <c r="E46" t="n">
        <v>11615</v>
      </c>
      <c r="F46" t="n">
        <v>687.61</v>
      </c>
      <c r="G46" t="n">
        <v>0.74</v>
      </c>
    </row>
    <row r="47">
      <c r="B47" t="inlineStr">
        <is>
          <t>UNO Minda Ltd.</t>
        </is>
      </c>
      <c r="C47" t="inlineStr">
        <is>
          <t>INE405E01023</t>
        </is>
      </c>
      <c r="D47" t="inlineStr">
        <is>
          <t>Auto Components</t>
        </is>
      </c>
      <c r="E47" t="n">
        <v>53157</v>
      </c>
      <c r="F47" t="n">
        <v>683.49</v>
      </c>
      <c r="G47" t="n">
        <v>0.74</v>
      </c>
    </row>
    <row r="48">
      <c r="B48" t="inlineStr">
        <is>
          <t>PB Fintech Ltd.</t>
        </is>
      </c>
      <c r="C48" t="inlineStr">
        <is>
          <t>INE417T01026</t>
        </is>
      </c>
      <c r="D48" t="inlineStr">
        <is>
          <t>Financial Technology (Fintech)</t>
        </is>
      </c>
      <c r="E48" t="n">
        <v>36416</v>
      </c>
      <c r="F48" t="n">
        <v>664.8099999999999</v>
      </c>
      <c r="G48" t="n">
        <v>0.72</v>
      </c>
    </row>
    <row r="49">
      <c r="B49" t="inlineStr">
        <is>
          <t>Bharat Electronics Ltd.</t>
        </is>
      </c>
      <c r="C49" t="inlineStr">
        <is>
          <t>INE263A01024</t>
        </is>
      </c>
      <c r="D49" t="inlineStr">
        <is>
          <t>Aerospace &amp; Defense</t>
        </is>
      </c>
      <c r="E49" t="n">
        <v>166142</v>
      </c>
      <c r="F49" t="n">
        <v>663.9</v>
      </c>
      <c r="G49" t="n">
        <v>0.71</v>
      </c>
    </row>
    <row r="50">
      <c r="B50" t="inlineStr">
        <is>
          <t>Dr. Reddy's Laboratories Ltd.</t>
        </is>
      </c>
      <c r="C50" t="inlineStr">
        <is>
          <t>INE089A01031</t>
        </is>
      </c>
      <c r="D50" t="inlineStr">
        <is>
          <t>Pharmaceuticals &amp; Biotechnology</t>
        </is>
      </c>
      <c r="E50" t="n">
        <v>49033</v>
      </c>
      <c r="F50" t="n">
        <v>623.41</v>
      </c>
      <c r="G50" t="n">
        <v>0.67</v>
      </c>
    </row>
    <row r="51">
      <c r="B51" t="inlineStr">
        <is>
          <t>Ultratech Cement Ltd.</t>
        </is>
      </c>
      <c r="C51" t="inlineStr">
        <is>
          <t>INE481G01011</t>
        </is>
      </c>
      <c r="D51" t="inlineStr">
        <is>
          <t>Cement &amp; Cement Products</t>
        </is>
      </c>
      <c r="E51" t="n">
        <v>5267</v>
      </c>
      <c r="F51" t="n">
        <v>620.66</v>
      </c>
      <c r="G51" t="n">
        <v>0.67</v>
      </c>
    </row>
    <row r="52">
      <c r="B52" t="inlineStr">
        <is>
          <t>NTPC Ltd.</t>
        </is>
      </c>
      <c r="C52" t="inlineStr">
        <is>
          <t>INE733E01010</t>
        </is>
      </c>
      <c r="D52" t="inlineStr">
        <is>
          <t>Power</t>
        </is>
      </c>
      <c r="E52" t="n">
        <v>181636</v>
      </c>
      <c r="F52" t="n">
        <v>598.58</v>
      </c>
      <c r="G52" t="n">
        <v>0.64</v>
      </c>
    </row>
    <row r="53">
      <c r="B53" t="inlineStr">
        <is>
          <t>Vishal Mega Mart Ltd</t>
        </is>
      </c>
      <c r="C53" t="inlineStr">
        <is>
          <t>INE01EA01019</t>
        </is>
      </c>
      <c r="D53" t="inlineStr">
        <is>
          <t>Retailing</t>
        </is>
      </c>
      <c r="E53" t="n">
        <v>435247</v>
      </c>
      <c r="F53" t="n">
        <v>593.55</v>
      </c>
      <c r="G53" t="n">
        <v>0.64</v>
      </c>
    </row>
    <row r="54">
      <c r="B54" t="inlineStr">
        <is>
          <t>JB Chemicals &amp; Pharmaceuticals Ltd.</t>
        </is>
      </c>
      <c r="C54" t="inlineStr">
        <is>
          <t>INE572A01036</t>
        </is>
      </c>
      <c r="D54" t="inlineStr">
        <is>
          <t>Pharmaceuticals &amp; Biotechnology</t>
        </is>
      </c>
      <c r="E54" t="n">
        <v>32369</v>
      </c>
      <c r="F54" t="n">
        <v>589.02</v>
      </c>
      <c r="G54" t="n">
        <v>0.63</v>
      </c>
    </row>
    <row r="55">
      <c r="B55" t="inlineStr">
        <is>
          <t>Tube Investments Of India Ltd.</t>
        </is>
      </c>
      <c r="C55" t="inlineStr">
        <is>
          <t>INE974X01010</t>
        </is>
      </c>
      <c r="D55" t="inlineStr">
        <is>
          <t>Auto Components</t>
        </is>
      </c>
      <c r="E55" t="n">
        <v>22193</v>
      </c>
      <c r="F55" t="n">
        <v>580.15</v>
      </c>
      <c r="G55" t="n">
        <v>0.62</v>
      </c>
    </row>
    <row r="56">
      <c r="B56" t="inlineStr">
        <is>
          <t>Dixon Technologies (India) Ltd.</t>
        </is>
      </c>
      <c r="C56" t="inlineStr">
        <is>
          <t>INE935N01020</t>
        </is>
      </c>
      <c r="D56" t="inlineStr">
        <is>
          <t>Consumer Durables</t>
        </is>
      </c>
      <c r="E56" t="n">
        <v>4435</v>
      </c>
      <c r="F56" t="n">
        <v>536.72</v>
      </c>
      <c r="G56" t="n">
        <v>0.58</v>
      </c>
    </row>
    <row r="57">
      <c r="B57" t="inlineStr">
        <is>
          <t>Solar Industries India Ltd.</t>
        </is>
      </c>
      <c r="C57" t="inlineStr">
        <is>
          <t>INE343H01029</t>
        </is>
      </c>
      <c r="D57" t="inlineStr">
        <is>
          <t>Chemicals &amp; Petrochemicals</t>
        </is>
      </c>
      <c r="E57" t="n">
        <v>4224</v>
      </c>
      <c r="F57" t="n">
        <v>517.52</v>
      </c>
      <c r="G57" t="n">
        <v>0.5600000000000001</v>
      </c>
    </row>
    <row r="58">
      <c r="B58" t="inlineStr">
        <is>
          <t>Torrent Power Ltd.</t>
        </is>
      </c>
      <c r="C58" t="inlineStr">
        <is>
          <t>INE813H01021</t>
        </is>
      </c>
      <c r="D58" t="inlineStr">
        <is>
          <t>Power</t>
        </is>
      </c>
      <c r="E58" t="n">
        <v>39414</v>
      </c>
      <c r="F58" t="n">
        <v>515.02</v>
      </c>
      <c r="G58" t="n">
        <v>0.55</v>
      </c>
    </row>
    <row r="59">
      <c r="B59" t="inlineStr">
        <is>
          <t>Prestige Estates Projects Ltd.</t>
        </is>
      </c>
      <c r="C59" t="inlineStr">
        <is>
          <t>INE811K01011</t>
        </is>
      </c>
      <c r="D59" t="inlineStr">
        <is>
          <t>Realty</t>
        </is>
      </c>
      <c r="E59" t="n">
        <v>31541</v>
      </c>
      <c r="F59" t="n">
        <v>503.02</v>
      </c>
      <c r="G59" t="n">
        <v>0.54</v>
      </c>
    </row>
    <row r="60">
      <c r="B60" t="inlineStr">
        <is>
          <t>Astral Ltd.</t>
        </is>
      </c>
      <c r="C60" t="inlineStr">
        <is>
          <t>INE006I01046</t>
        </is>
      </c>
      <c r="D60" t="inlineStr">
        <is>
          <t>Industrial Products</t>
        </is>
      </c>
      <c r="E60" t="n">
        <v>32330</v>
      </c>
      <c r="F60" t="n">
        <v>448.9</v>
      </c>
      <c r="G60" t="n">
        <v>0.48</v>
      </c>
    </row>
    <row r="61">
      <c r="B61" t="inlineStr">
        <is>
          <t>Blue Star Ltd.</t>
        </is>
      </c>
      <c r="C61" t="inlineStr">
        <is>
          <t>INE472A01039</t>
        </is>
      </c>
      <c r="D61" t="inlineStr">
        <is>
          <t>Consumer Durables</t>
        </is>
      </c>
      <c r="E61" t="n">
        <v>25612</v>
      </c>
      <c r="F61" t="n">
        <v>443.27</v>
      </c>
      <c r="G61" t="n">
        <v>0.48</v>
      </c>
    </row>
    <row r="62">
      <c r="B62" t="inlineStr">
        <is>
          <t>CCL Products (India) Ltd.</t>
        </is>
      </c>
      <c r="C62" t="inlineStr">
        <is>
          <t>INE421D01022</t>
        </is>
      </c>
      <c r="D62" t="inlineStr">
        <is>
          <t>Agricultural Food &amp; other Products</t>
        </is>
      </c>
      <c r="E62" t="n">
        <v>41116</v>
      </c>
      <c r="F62" t="n">
        <v>388.22</v>
      </c>
      <c r="G62" t="n">
        <v>0.42</v>
      </c>
    </row>
    <row r="63">
      <c r="B63" t="inlineStr">
        <is>
          <t>ITC Ltd.</t>
        </is>
      </c>
      <c r="C63" t="inlineStr">
        <is>
          <t>INE154A01025</t>
        </is>
      </c>
      <c r="D63" t="inlineStr">
        <is>
          <t>Diversified FMCG</t>
        </is>
      </c>
      <c r="E63" t="n">
        <v>93019</v>
      </c>
      <c r="F63" t="n">
        <v>374.87</v>
      </c>
      <c r="G63" t="n">
        <v>0.4</v>
      </c>
    </row>
    <row r="64">
      <c r="B64" t="inlineStr">
        <is>
          <t>Safari Industries India Ltd.</t>
        </is>
      </c>
      <c r="C64" t="inlineStr">
        <is>
          <t>INE429E01023</t>
        </is>
      </c>
      <c r="D64" t="inlineStr">
        <is>
          <t>Consumer Durables</t>
        </is>
      </c>
      <c r="E64" t="n">
        <v>16604</v>
      </c>
      <c r="F64" t="n">
        <v>361.04</v>
      </c>
      <c r="G64" t="n">
        <v>0.39</v>
      </c>
    </row>
    <row r="65">
      <c r="B65" t="inlineStr">
        <is>
          <t>LG Electronics India Ltd.</t>
        </is>
      </c>
      <c r="C65" t="inlineStr">
        <is>
          <t>INE324D01010</t>
        </is>
      </c>
      <c r="D65" t="inlineStr">
        <is>
          <t>Consumer Durables</t>
        </is>
      </c>
      <c r="E65" t="n">
        <v>20600</v>
      </c>
      <c r="F65" t="n">
        <v>313.41</v>
      </c>
      <c r="G65" t="n">
        <v>0.34</v>
      </c>
    </row>
    <row r="66">
      <c r="B66" t="inlineStr">
        <is>
          <t>Supreme Industries Ltd.</t>
        </is>
      </c>
      <c r="C66" t="inlineStr">
        <is>
          <t>INE195A01028</t>
        </is>
      </c>
      <c r="D66" t="inlineStr">
        <is>
          <t>Industrial Products</t>
        </is>
      </c>
      <c r="E66" t="n">
        <v>9249</v>
      </c>
      <c r="F66" t="n">
        <v>310.19</v>
      </c>
      <c r="G66" t="n">
        <v>0.33</v>
      </c>
    </row>
    <row r="67">
      <c r="B67" t="inlineStr">
        <is>
          <t>MRS Bectors Food Specialities Ltd.</t>
        </is>
      </c>
      <c r="C67" t="inlineStr">
        <is>
          <t>INE495P01020</t>
        </is>
      </c>
      <c r="D67" t="inlineStr">
        <is>
          <t>Food Products</t>
        </is>
      </c>
      <c r="E67" t="n">
        <v>115500</v>
      </c>
      <c r="F67" t="n">
        <v>266.11</v>
      </c>
      <c r="G67" t="n">
        <v>0.29</v>
      </c>
    </row>
    <row r="68">
      <c r="B68" t="inlineStr">
        <is>
          <t>Sub Total</t>
        </is>
      </c>
      <c r="F68" t="n">
        <v>61172.27</v>
      </c>
      <c r="G68" t="n">
        <v>65.84</v>
      </c>
    </row>
    <row r="70">
      <c r="B70" t="inlineStr">
        <is>
          <t>(b) Unlisted</t>
        </is>
      </c>
    </row>
    <row r="71">
      <c r="F71" t="n">
        <v>0</v>
      </c>
      <c r="G71" t="n">
        <v>0</v>
      </c>
    </row>
    <row r="72">
      <c r="B72" t="inlineStr">
        <is>
          <t>Sub Total</t>
        </is>
      </c>
      <c r="F72" t="inlineStr">
        <is>
          <t>NIL</t>
        </is>
      </c>
      <c r="G72" t="inlineStr">
        <is>
          <t>NIL</t>
        </is>
      </c>
    </row>
    <row r="74">
      <c r="B74" t="inlineStr">
        <is>
          <t>TOTAL</t>
        </is>
      </c>
      <c r="F74" t="n">
        <v>61172.27</v>
      </c>
      <c r="G74" t="n">
        <v>65.84</v>
      </c>
    </row>
    <row r="75">
      <c r="B75" t="inlineStr">
        <is>
          <t>Debt Instruments</t>
        </is>
      </c>
    </row>
    <row r="77">
      <c r="B77" t="inlineStr">
        <is>
          <t>(a)Listed / Awaiting listing on stock Exchanges</t>
        </is>
      </c>
    </row>
    <row r="78">
      <c r="B78" t="inlineStr">
        <is>
          <t>7.18% Government of India</t>
        </is>
      </c>
      <c r="C78" t="inlineStr">
        <is>
          <t>IN0020230085</t>
        </is>
      </c>
      <c r="D78" t="inlineStr">
        <is>
          <t>SOVEREIGN</t>
        </is>
      </c>
      <c r="E78" t="n">
        <v>4190000</v>
      </c>
      <c r="F78" t="n">
        <v>4323.05</v>
      </c>
      <c r="G78" t="n">
        <v>4.66</v>
      </c>
      <c r="H78" t="n">
        <v>6.7506</v>
      </c>
    </row>
    <row r="79">
      <c r="B79" t="inlineStr">
        <is>
          <t>6.79% Government of India</t>
        </is>
      </c>
      <c r="C79" t="inlineStr">
        <is>
          <t>IN0020240126</t>
        </is>
      </c>
      <c r="D79" t="inlineStr">
        <is>
          <t>SOVEREIGN</t>
        </is>
      </c>
      <c r="E79" t="n">
        <v>3406667</v>
      </c>
      <c r="F79" t="n">
        <v>3437.2</v>
      </c>
      <c r="G79" t="n">
        <v>3.7</v>
      </c>
      <c r="H79" t="n">
        <v>6.7619</v>
      </c>
    </row>
    <row r="80">
      <c r="B80" t="inlineStr">
        <is>
          <t>7.18% Government of India</t>
        </is>
      </c>
      <c r="C80" t="inlineStr">
        <is>
          <t>IN0020230077</t>
        </is>
      </c>
      <c r="D80" t="inlineStr">
        <is>
          <t>SOVEREIGN</t>
        </is>
      </c>
      <c r="E80" t="n">
        <v>2900000</v>
      </c>
      <c r="F80" t="n">
        <v>2972.21</v>
      </c>
      <c r="G80" t="n">
        <v>3.2</v>
      </c>
      <c r="H80" t="n">
        <v>6.9815</v>
      </c>
    </row>
    <row r="81">
      <c r="B81" t="inlineStr">
        <is>
          <t>7.24% Government of India</t>
        </is>
      </c>
      <c r="C81" t="inlineStr">
        <is>
          <t>IN0020250075</t>
        </is>
      </c>
      <c r="D81" t="inlineStr">
        <is>
          <t>SOVEREIGN</t>
        </is>
      </c>
      <c r="E81" t="n">
        <v>2950000</v>
      </c>
      <c r="F81" t="n">
        <v>2941.95</v>
      </c>
      <c r="G81" t="n">
        <v>3.17</v>
      </c>
      <c r="H81" t="n">
        <v>7.3933</v>
      </c>
    </row>
    <row r="82">
      <c r="B82" t="inlineStr">
        <is>
          <t>6.48% Government of India</t>
        </is>
      </c>
      <c r="C82" t="inlineStr">
        <is>
          <t>IN0020250091</t>
        </is>
      </c>
      <c r="D82" t="inlineStr">
        <is>
          <t>SOVEREIGN</t>
        </is>
      </c>
      <c r="E82" t="n">
        <v>1810000</v>
      </c>
      <c r="F82" t="n">
        <v>1794.36</v>
      </c>
      <c r="G82" t="n">
        <v>1.93</v>
      </c>
      <c r="H82" t="n">
        <v>6.7085</v>
      </c>
    </row>
    <row r="83">
      <c r="B83" t="inlineStr">
        <is>
          <t>7.09% Government of India</t>
        </is>
      </c>
      <c r="C83" t="inlineStr">
        <is>
          <t>IN0020240118</t>
        </is>
      </c>
      <c r="D83" t="inlineStr">
        <is>
          <t>SOVEREIGN</t>
        </is>
      </c>
      <c r="E83" t="n">
        <v>1500000</v>
      </c>
      <c r="F83" t="n">
        <v>1466.55</v>
      </c>
      <c r="G83" t="n">
        <v>1.58</v>
      </c>
      <c r="H83" t="n">
        <v>7.4079</v>
      </c>
    </row>
    <row r="84">
      <c r="B84" t="inlineStr">
        <is>
          <t>7.25% Government of India</t>
        </is>
      </c>
      <c r="C84" t="inlineStr">
        <is>
          <t>IN0020230044</t>
        </is>
      </c>
      <c r="D84" t="inlineStr">
        <is>
          <t>SOVEREIGN</t>
        </is>
      </c>
      <c r="E84" t="n">
        <v>1441600</v>
      </c>
      <c r="F84" t="n">
        <v>1423.34</v>
      </c>
      <c r="G84" t="n">
        <v>1.53</v>
      </c>
      <c r="H84" t="n">
        <v>7.4843</v>
      </c>
    </row>
    <row r="85">
      <c r="B85" t="inlineStr">
        <is>
          <t>7.1% Government of India</t>
        </is>
      </c>
      <c r="C85" t="inlineStr">
        <is>
          <t>IN0020240019</t>
        </is>
      </c>
      <c r="D85" t="inlineStr">
        <is>
          <t>SOVEREIGN</t>
        </is>
      </c>
      <c r="E85" t="n">
        <v>1041667</v>
      </c>
      <c r="F85" t="n">
        <v>1071.48</v>
      </c>
      <c r="G85" t="n">
        <v>1.15</v>
      </c>
      <c r="H85" t="n">
        <v>6.7527</v>
      </c>
    </row>
    <row r="86">
      <c r="B86" t="inlineStr">
        <is>
          <t>6.68% Government of India</t>
        </is>
      </c>
      <c r="C86" t="inlineStr">
        <is>
          <t>IN0020250042</t>
        </is>
      </c>
      <c r="D86" t="inlineStr">
        <is>
          <t>SOVEREIGN</t>
        </is>
      </c>
      <c r="E86" t="n">
        <v>800000</v>
      </c>
      <c r="F86" t="n">
        <v>776.84</v>
      </c>
      <c r="G86" t="n">
        <v>0.84</v>
      </c>
      <c r="H86" t="n">
        <v>7.1232</v>
      </c>
    </row>
    <row r="87">
      <c r="B87" t="inlineStr">
        <is>
          <t>6.59% Power Finance Corporation Ltd. **</t>
        </is>
      </c>
      <c r="C87" t="inlineStr">
        <is>
          <t>INE134E08NU7</t>
        </is>
      </c>
      <c r="D87" t="inlineStr">
        <is>
          <t>CRISIL AAA</t>
        </is>
      </c>
      <c r="E87" t="n">
        <v>750000</v>
      </c>
      <c r="F87" t="n">
        <v>737.3099999999999</v>
      </c>
      <c r="G87" t="n">
        <v>0.79</v>
      </c>
      <c r="H87" t="n">
        <v>7.0137</v>
      </c>
    </row>
    <row r="88">
      <c r="B88" t="inlineStr">
        <is>
          <t>7.7% REC Ltd.</t>
        </is>
      </c>
      <c r="C88" t="inlineStr">
        <is>
          <t>INE020B08FC8</t>
        </is>
      </c>
      <c r="D88" t="inlineStr">
        <is>
          <t>ICRA AAA</t>
        </is>
      </c>
      <c r="E88" t="n">
        <v>700000</v>
      </c>
      <c r="F88" t="n">
        <v>703.21</v>
      </c>
      <c r="G88" t="n">
        <v>0.76</v>
      </c>
      <c r="H88" t="n">
        <v>6.8</v>
      </c>
    </row>
    <row r="89">
      <c r="B89" t="inlineStr">
        <is>
          <t>8.5% NHPC Ltd. **</t>
        </is>
      </c>
      <c r="C89" t="inlineStr">
        <is>
          <t>INE848E07880</t>
        </is>
      </c>
      <c r="D89" t="inlineStr">
        <is>
          <t>FITCH AAA</t>
        </is>
      </c>
      <c r="E89" t="n">
        <v>650000</v>
      </c>
      <c r="F89" t="n">
        <v>675.01</v>
      </c>
      <c r="G89" t="n">
        <v>0.73</v>
      </c>
      <c r="H89" t="n">
        <v>6.765</v>
      </c>
    </row>
    <row r="90">
      <c r="B90" t="inlineStr">
        <is>
          <t>7.82% Power Finance Corporation Ltd. **</t>
        </is>
      </c>
      <c r="C90" t="inlineStr">
        <is>
          <t>INE134E08ME3</t>
        </is>
      </c>
      <c r="D90" t="inlineStr">
        <is>
          <t>CRISIL AAA</t>
        </is>
      </c>
      <c r="E90" t="n">
        <v>500000</v>
      </c>
      <c r="F90" t="n">
        <v>516.59</v>
      </c>
      <c r="G90" t="n">
        <v>0.5600000000000001</v>
      </c>
      <c r="H90" t="n">
        <v>7.13</v>
      </c>
    </row>
    <row r="91">
      <c r="B91" t="inlineStr">
        <is>
          <t>7.9% Jamnagar Utilities &amp; Power Pvt. Ltd. **</t>
        </is>
      </c>
      <c r="C91" t="inlineStr">
        <is>
          <t>INE936D07182</t>
        </is>
      </c>
      <c r="D91" t="inlineStr">
        <is>
          <t>CRISIL AAA</t>
        </is>
      </c>
      <c r="E91" t="n">
        <v>500000</v>
      </c>
      <c r="F91" t="n">
        <v>508.84</v>
      </c>
      <c r="G91" t="n">
        <v>0.55</v>
      </c>
      <c r="H91" t="n">
        <v>7.105</v>
      </c>
    </row>
    <row r="92">
      <c r="B92" t="inlineStr">
        <is>
          <t>7.3% Government of India</t>
        </is>
      </c>
      <c r="C92" t="inlineStr">
        <is>
          <t>IN0020230051</t>
        </is>
      </c>
      <c r="D92" t="inlineStr">
        <is>
          <t>SOVEREIGN</t>
        </is>
      </c>
      <c r="E92" t="n">
        <v>500000</v>
      </c>
      <c r="F92" t="n">
        <v>500.88</v>
      </c>
      <c r="G92" t="n">
        <v>0.54</v>
      </c>
      <c r="H92" t="n">
        <v>7.4174</v>
      </c>
    </row>
    <row r="93">
      <c r="B93" t="inlineStr">
        <is>
          <t>7.51% Small Industries Development Bank of India **</t>
        </is>
      </c>
      <c r="C93" t="inlineStr">
        <is>
          <t>INE556F08KU4</t>
        </is>
      </c>
      <c r="D93" t="inlineStr">
        <is>
          <t>CRISIL AAA</t>
        </is>
      </c>
      <c r="E93" t="n">
        <v>400000</v>
      </c>
      <c r="F93" t="n">
        <v>405.72</v>
      </c>
      <c r="G93" t="n">
        <v>0.44</v>
      </c>
      <c r="H93" t="n">
        <v>6.8687</v>
      </c>
    </row>
    <row r="94">
      <c r="B94" t="inlineStr">
        <is>
          <t>7.34% Government of India</t>
        </is>
      </c>
      <c r="C94" t="inlineStr">
        <is>
          <t>IN0020240035</t>
        </is>
      </c>
      <c r="D94" t="inlineStr">
        <is>
          <t>SOVEREIGN</t>
        </is>
      </c>
      <c r="E94" t="n">
        <v>387500</v>
      </c>
      <c r="F94" t="n">
        <v>386.33</v>
      </c>
      <c r="G94" t="n">
        <v>0.42</v>
      </c>
      <c r="H94" t="n">
        <v>7.4979</v>
      </c>
    </row>
    <row r="95">
      <c r="B95" t="inlineStr">
        <is>
          <t>8.0359% Kotak Mahindra Investments Ltd. **</t>
        </is>
      </c>
      <c r="C95" t="inlineStr">
        <is>
          <t>INE975F07IM9</t>
        </is>
      </c>
      <c r="D95" t="inlineStr">
        <is>
          <t>CRISIL AAA</t>
        </is>
      </c>
      <c r="E95" t="n">
        <v>350000</v>
      </c>
      <c r="F95" t="n">
        <v>352.1</v>
      </c>
      <c r="G95" t="n">
        <v>0.38</v>
      </c>
      <c r="H95" t="n">
        <v>7.135</v>
      </c>
    </row>
    <row r="96">
      <c r="B96" t="inlineStr">
        <is>
          <t>6.01% Government of India</t>
        </is>
      </c>
      <c r="C96" t="inlineStr">
        <is>
          <t>IN0020250067</t>
        </is>
      </c>
      <c r="D96" t="inlineStr">
        <is>
          <t>SOVEREIGN</t>
        </is>
      </c>
      <c r="E96" t="n">
        <v>350000</v>
      </c>
      <c r="F96" t="n">
        <v>345.75</v>
      </c>
      <c r="G96" t="n">
        <v>0.37</v>
      </c>
      <c r="H96" t="n">
        <v>6.4193</v>
      </c>
    </row>
    <row r="97">
      <c r="B97" t="inlineStr">
        <is>
          <t>7.34% Small Industries Development Bank of India **</t>
        </is>
      </c>
      <c r="C97" t="inlineStr">
        <is>
          <t>INE556F08KS8</t>
        </is>
      </c>
      <c r="D97" t="inlineStr">
        <is>
          <t>CRISIL AAA</t>
        </is>
      </c>
      <c r="E97" t="n">
        <v>300000</v>
      </c>
      <c r="F97" t="n">
        <v>302.93</v>
      </c>
      <c r="G97" t="n">
        <v>0.33</v>
      </c>
      <c r="H97" t="n">
        <v>6.985</v>
      </c>
    </row>
    <row r="98">
      <c r="B98" t="inlineStr">
        <is>
          <t>7.09% Government of India</t>
        </is>
      </c>
      <c r="C98" t="inlineStr">
        <is>
          <t>IN0020240142</t>
        </is>
      </c>
      <c r="D98" t="inlineStr">
        <is>
          <t>SOVEREIGN</t>
        </is>
      </c>
      <c r="E98" t="n">
        <v>300000</v>
      </c>
      <c r="F98" t="n">
        <v>288.93</v>
      </c>
      <c r="G98" t="n">
        <v>0.31</v>
      </c>
      <c r="H98" t="n">
        <v>7.505</v>
      </c>
    </row>
    <row r="99">
      <c r="B99" t="inlineStr">
        <is>
          <t>6.54% Government of India</t>
        </is>
      </c>
      <c r="C99" t="inlineStr">
        <is>
          <t>IN0020210244</t>
        </is>
      </c>
      <c r="D99" t="inlineStr">
        <is>
          <t>SOVEREIGN</t>
        </is>
      </c>
      <c r="E99" t="n">
        <v>248700</v>
      </c>
      <c r="F99" t="n">
        <v>248.45</v>
      </c>
      <c r="G99" t="n">
        <v>0.27</v>
      </c>
      <c r="H99" t="n">
        <v>6.667</v>
      </c>
    </row>
    <row r="100">
      <c r="B100" t="inlineStr">
        <is>
          <t>7.17% Government of India</t>
        </is>
      </c>
      <c r="C100" t="inlineStr">
        <is>
          <t>IN0020170174</t>
        </is>
      </c>
      <c r="D100" t="inlineStr">
        <is>
          <t>SOVEREIGN</t>
        </is>
      </c>
      <c r="E100" t="n">
        <v>240700</v>
      </c>
      <c r="F100" t="n">
        <v>246.74</v>
      </c>
      <c r="G100" t="n">
        <v>0.27</v>
      </c>
      <c r="H100" t="n">
        <v>5.9185</v>
      </c>
    </row>
    <row r="101">
      <c r="B101" t="inlineStr">
        <is>
          <t>6.64% Government of India</t>
        </is>
      </c>
      <c r="C101" t="inlineStr">
        <is>
          <t>IN0020240167</t>
        </is>
      </c>
      <c r="D101" t="inlineStr">
        <is>
          <t>SOVEREIGN</t>
        </is>
      </c>
      <c r="E101" t="n">
        <v>230000</v>
      </c>
      <c r="F101" t="n">
        <v>233.93</v>
      </c>
      <c r="G101" t="n">
        <v>0.25</v>
      </c>
      <c r="H101" t="n">
        <v>5.7742</v>
      </c>
    </row>
    <row r="102">
      <c r="B102" t="inlineStr">
        <is>
          <t>7.26% Government of India</t>
        </is>
      </c>
      <c r="C102" t="inlineStr">
        <is>
          <t>IN0020220151</t>
        </is>
      </c>
      <c r="D102" t="inlineStr">
        <is>
          <t>SOVEREIGN</t>
        </is>
      </c>
      <c r="E102" t="n">
        <v>210000</v>
      </c>
      <c r="F102" t="n">
        <v>217.42</v>
      </c>
      <c r="G102" t="n">
        <v>0.23</v>
      </c>
      <c r="H102" t="n">
        <v>6.7362</v>
      </c>
    </row>
    <row r="103">
      <c r="B103" t="inlineStr">
        <is>
          <t>8.16% Aditya Birla Capital Ltd. **</t>
        </is>
      </c>
      <c r="C103" t="inlineStr">
        <is>
          <t>INE860H07IW8</t>
        </is>
      </c>
      <c r="D103" t="inlineStr">
        <is>
          <t>ICRA AAA</t>
        </is>
      </c>
      <c r="E103" t="n">
        <v>200000</v>
      </c>
      <c r="F103" t="n">
        <v>203.97</v>
      </c>
      <c r="G103" t="n">
        <v>0.22</v>
      </c>
      <c r="H103" t="n">
        <v>7.4127</v>
      </c>
    </row>
    <row r="104">
      <c r="B104" t="inlineStr">
        <is>
          <t>8.7% Shriram Finance Ltd. **</t>
        </is>
      </c>
      <c r="C104" t="inlineStr">
        <is>
          <t>INE721A07SL9</t>
        </is>
      </c>
      <c r="D104" t="inlineStr">
        <is>
          <t>CRISIL AA+</t>
        </is>
      </c>
      <c r="E104" t="n">
        <v>100000</v>
      </c>
      <c r="F104" t="n">
        <v>102.17</v>
      </c>
      <c r="G104" t="n">
        <v>0.11</v>
      </c>
      <c r="H104" t="n">
        <v>7.5934</v>
      </c>
    </row>
    <row r="105">
      <c r="B105" t="inlineStr">
        <is>
          <t>7.26% Government of India</t>
        </is>
      </c>
      <c r="C105" t="inlineStr">
        <is>
          <t>IN0020220060</t>
        </is>
      </c>
      <c r="D105" t="inlineStr">
        <is>
          <t>SOVEREIGN</t>
        </is>
      </c>
      <c r="E105" t="n">
        <v>25000</v>
      </c>
      <c r="F105" t="n">
        <v>25.86</v>
      </c>
      <c r="G105" t="n">
        <v>0.03</v>
      </c>
      <c r="H105" t="n">
        <v>6.7176</v>
      </c>
    </row>
    <row r="106">
      <c r="B106" t="inlineStr">
        <is>
          <t>Sub Total</t>
        </is>
      </c>
      <c r="F106" t="n">
        <v>27209.12</v>
      </c>
      <c r="G106" t="n">
        <v>29.32</v>
      </c>
    </row>
    <row r="108">
      <c r="B108" t="inlineStr">
        <is>
          <t>(b)Privately Placed/Unlisted</t>
        </is>
      </c>
    </row>
    <row r="109">
      <c r="F109" t="n">
        <v>0</v>
      </c>
      <c r="G109" t="n">
        <v>0</v>
      </c>
    </row>
    <row r="110">
      <c r="B110" t="inlineStr">
        <is>
          <t>Sub Total</t>
        </is>
      </c>
      <c r="F110" t="inlineStr">
        <is>
          <t>NIL</t>
        </is>
      </c>
      <c r="G110" t="inlineStr">
        <is>
          <t>NIL</t>
        </is>
      </c>
    </row>
    <row r="112">
      <c r="B112" t="inlineStr">
        <is>
          <t>(c)Securitised Debt Instruments</t>
        </is>
      </c>
    </row>
    <row r="113">
      <c r="F113" t="n">
        <v>0</v>
      </c>
      <c r="G113" t="n">
        <v>0</v>
      </c>
    </row>
    <row r="114">
      <c r="B114" t="inlineStr">
        <is>
          <t>Sub Total</t>
        </is>
      </c>
      <c r="F114" t="inlineStr">
        <is>
          <t>NIL</t>
        </is>
      </c>
      <c r="G114" t="inlineStr">
        <is>
          <t>NIL</t>
        </is>
      </c>
    </row>
    <row r="116">
      <c r="B116" t="inlineStr">
        <is>
          <t>TOTAL</t>
        </is>
      </c>
      <c r="F116">
        <f>F106</f>
        <v/>
      </c>
      <c r="G116">
        <f>G106</f>
        <v/>
      </c>
    </row>
    <row r="118">
      <c r="B118" t="inlineStr">
        <is>
          <t>Preference Shares - (Awaiting listing on Stock Exchanges)</t>
        </is>
      </c>
    </row>
    <row r="119">
      <c r="B119" t="inlineStr">
        <is>
          <t>TVS Motor Company Ltd. ** #</t>
        </is>
      </c>
      <c r="C119" t="inlineStr">
        <is>
          <t>INE494B04019</t>
        </is>
      </c>
      <c r="D119" t="inlineStr">
        <is>
          <t>CARE A1+</t>
        </is>
      </c>
      <c r="E119" t="n">
        <v>104440</v>
      </c>
      <c r="F119" t="n">
        <v>10.64</v>
      </c>
      <c r="G119" t="n">
        <v>0.01</v>
      </c>
      <c r="H119" t="n">
        <v>6.105</v>
      </c>
    </row>
    <row r="120">
      <c r="B120" t="inlineStr">
        <is>
          <t>Sub Total</t>
        </is>
      </c>
      <c r="F120" t="n">
        <v>10.64</v>
      </c>
      <c r="G120" t="n">
        <v>0.01</v>
      </c>
    </row>
    <row r="122">
      <c r="B122" t="inlineStr">
        <is>
          <t>TOTAL</t>
        </is>
      </c>
      <c r="F122">
        <f>F119</f>
        <v/>
      </c>
      <c r="G122">
        <f>G119</f>
        <v/>
      </c>
    </row>
    <row r="124">
      <c r="B124" t="inlineStr">
        <is>
          <t>Money Market Instruments</t>
        </is>
      </c>
    </row>
    <row r="126">
      <c r="B126" t="inlineStr">
        <is>
          <t>Certificate of Deposit</t>
        </is>
      </c>
    </row>
    <row r="127">
      <c r="B127" t="inlineStr">
        <is>
          <t>Bank of Baroda #</t>
        </is>
      </c>
      <c r="C127" t="inlineStr">
        <is>
          <t>INE028A16KR4</t>
        </is>
      </c>
      <c r="D127" t="inlineStr">
        <is>
          <t>ICRA A1+</t>
        </is>
      </c>
      <c r="E127" t="n">
        <v>1300000</v>
      </c>
      <c r="F127" t="n">
        <v>1265.73</v>
      </c>
      <c r="G127" t="n">
        <v>1.36</v>
      </c>
      <c r="H127" t="n">
        <v>6.375</v>
      </c>
    </row>
    <row r="128">
      <c r="B128" t="inlineStr">
        <is>
          <t>Sub Total</t>
        </is>
      </c>
      <c r="F128" t="n">
        <v>1265.73</v>
      </c>
      <c r="G128" t="n">
        <v>1.36</v>
      </c>
    </row>
    <row r="130">
      <c r="B130" t="inlineStr">
        <is>
          <t>Commercial Paper</t>
        </is>
      </c>
    </row>
    <row r="131">
      <c r="B131" t="inlineStr">
        <is>
          <t>Bharti Telecom Ltd. **</t>
        </is>
      </c>
      <c r="C131" t="inlineStr">
        <is>
          <t>INE403D14551</t>
        </is>
      </c>
      <c r="D131" t="inlineStr">
        <is>
          <t>CRISIL A1+</t>
        </is>
      </c>
      <c r="E131" t="n">
        <v>700000</v>
      </c>
      <c r="F131" t="n">
        <v>694.6</v>
      </c>
      <c r="G131" t="n">
        <v>0.75</v>
      </c>
      <c r="H131" t="n">
        <v>6.595</v>
      </c>
    </row>
    <row r="132">
      <c r="B132" t="inlineStr">
        <is>
          <t>Infina Finance Pvt Ltd. **</t>
        </is>
      </c>
      <c r="C132" t="inlineStr">
        <is>
          <t>INE879F14LY8</t>
        </is>
      </c>
      <c r="D132" t="inlineStr">
        <is>
          <t>CRISIL A1+</t>
        </is>
      </c>
      <c r="E132" t="n">
        <v>500000</v>
      </c>
      <c r="F132" t="n">
        <v>469.44</v>
      </c>
      <c r="G132" t="n">
        <v>0.51</v>
      </c>
      <c r="H132" t="n">
        <v>7.4249</v>
      </c>
    </row>
    <row r="133">
      <c r="B133" t="inlineStr">
        <is>
          <t>Sub Total</t>
        </is>
      </c>
      <c r="F133" t="n">
        <v>1164.04</v>
      </c>
      <c r="G133" t="n">
        <v>1.26</v>
      </c>
    </row>
    <row r="135">
      <c r="B135" t="inlineStr">
        <is>
          <t>TOTAL</t>
        </is>
      </c>
      <c r="F135" t="n">
        <v>2429.77</v>
      </c>
      <c r="G135" t="n">
        <v>2.62</v>
      </c>
    </row>
    <row r="138">
      <c r="B138" t="inlineStr">
        <is>
          <t>Treps / Reverse Repo</t>
        </is>
      </c>
    </row>
    <row r="139">
      <c r="B139" t="inlineStr">
        <is>
          <t>Clearing Corporation of India Ltd.</t>
        </is>
      </c>
      <c r="F139" t="n">
        <v>1237.27</v>
      </c>
      <c r="G139" t="n">
        <v>1.33</v>
      </c>
    </row>
    <row r="140">
      <c r="B140" t="inlineStr">
        <is>
          <t>Sub Total</t>
        </is>
      </c>
      <c r="F140" t="n">
        <v>1237.27</v>
      </c>
      <c r="G140" t="n">
        <v>1.33</v>
      </c>
    </row>
    <row r="142">
      <c r="B142" t="inlineStr">
        <is>
          <t>TOTAL</t>
        </is>
      </c>
      <c r="F142" t="n">
        <v>1237.27</v>
      </c>
      <c r="G142" t="n">
        <v>1.33</v>
      </c>
    </row>
    <row r="144">
      <c r="B144" t="inlineStr">
        <is>
          <t>Net Receivables / (Payables)</t>
        </is>
      </c>
      <c r="F144" t="n">
        <v>804.9</v>
      </c>
      <c r="G144" t="n">
        <v>0.8799999999999955</v>
      </c>
    </row>
    <row r="146">
      <c r="B146" t="inlineStr">
        <is>
          <t>GRAND TOTAL</t>
        </is>
      </c>
      <c r="F146" t="n">
        <v>92863.97</v>
      </c>
      <c r="G146" t="n">
        <v>100</v>
      </c>
    </row>
    <row r="148">
      <c r="B148" t="inlineStr">
        <is>
          <t>#  Unlisted Security</t>
        </is>
      </c>
    </row>
    <row r="149">
      <c r="B149" t="inlineStr">
        <is>
          <t>** Non Traded Security</t>
        </is>
      </c>
    </row>
    <row r="155">
      <c r="B155" t="inlineStr">
        <is>
          <t>Notes:</t>
        </is>
      </c>
    </row>
    <row r="156">
      <c r="B156" t="inlineStr">
        <is>
          <t>1. Plan / Option-wise Net Asset Value per unit are as below :   (Face Value per unit = Rs. 10)</t>
        </is>
      </c>
    </row>
    <row r="157">
      <c r="B157" t="inlineStr">
        <is>
          <t xml:space="preserve">Plan / Option </t>
        </is>
      </c>
      <c r="C157" s="1" t="n">
        <v>45989</v>
      </c>
      <c r="D157" s="1" t="n">
        <v>46022</v>
      </c>
    </row>
    <row r="158">
      <c r="B158" t="inlineStr">
        <is>
          <t>Direct Plan</t>
        </is>
      </c>
      <c r="C158" t="inlineStr">
        <is>
          <t>(INR)</t>
        </is>
      </c>
      <c r="D158" t="inlineStr">
        <is>
          <t>(INR)</t>
        </is>
      </c>
    </row>
    <row r="159">
      <c r="B159" t="inlineStr">
        <is>
          <t>Growth</t>
        </is>
      </c>
      <c r="C159" t="n">
        <v>17.09</v>
      </c>
      <c r="D159" t="n">
        <v>16.93</v>
      </c>
    </row>
    <row r="160">
      <c r="B160" t="inlineStr">
        <is>
          <t>IDCW (earlier called Dividend)</t>
        </is>
      </c>
      <c r="C160" t="n">
        <v>12.32</v>
      </c>
      <c r="D160" t="n">
        <v>12.2</v>
      </c>
    </row>
    <row r="161">
      <c r="B161" t="inlineStr">
        <is>
          <t>Regular Plan</t>
        </is>
      </c>
    </row>
    <row r="162">
      <c r="B162" t="inlineStr">
        <is>
          <t>Growth</t>
        </is>
      </c>
      <c r="C162" t="n">
        <v>15.71</v>
      </c>
      <c r="D162" t="n">
        <v>15.54</v>
      </c>
    </row>
    <row r="163">
      <c r="B163" t="inlineStr">
        <is>
          <t>IDCW (earlier called Dividend)</t>
        </is>
      </c>
      <c r="C163" t="n">
        <v>11.9</v>
      </c>
      <c r="D163" t="n">
        <v>11.77</v>
      </c>
    </row>
    <row r="165">
      <c r="B165" t="inlineStr">
        <is>
          <t>2.   Exposure to derivative instruments in the scheme at the end of the month</t>
        </is>
      </c>
      <c r="D165" t="inlineStr">
        <is>
          <t>NIL</t>
        </is>
      </c>
    </row>
    <row r="167">
      <c r="B167" t="inlineStr">
        <is>
          <t>3.  Derivatives Transactions in the scheme for the month</t>
        </is>
      </c>
      <c r="D167" t="inlineStr">
        <is>
          <t>NIL</t>
        </is>
      </c>
    </row>
    <row r="169">
      <c r="B169" t="inlineStr">
        <is>
          <t>4.   Investment in foreign securities/ADRs/GDRs at the end of the month (INR Lacs)</t>
        </is>
      </c>
      <c r="D169" t="inlineStr">
        <is>
          <t>NIL</t>
        </is>
      </c>
    </row>
    <row r="171">
      <c r="B171" t="inlineStr">
        <is>
          <t>5.   Investment in short term deposits at the end of the month (INR Lacs)</t>
        </is>
      </c>
      <c r="D171" t="inlineStr">
        <is>
          <t>NIL</t>
        </is>
      </c>
    </row>
    <row r="173">
      <c r="B173" t="inlineStr">
        <is>
          <t>6. Portfolio Turnover Ratio</t>
        </is>
      </c>
      <c r="D173" t="n">
        <v>0.62</v>
      </c>
    </row>
    <row r="175">
      <c r="B175" t="inlineStr">
        <is>
          <t>7.   Aggregate IDCW (earlier called Dividend) declared during the month</t>
        </is>
      </c>
      <c r="D175" t="inlineStr">
        <is>
          <t>NIL</t>
        </is>
      </c>
    </row>
    <row r="177">
      <c r="B177" t="inlineStr">
        <is>
          <t>8.   (a) Total Exposure to illiquid securities in the portfolio (INR Lacs)</t>
        </is>
      </c>
      <c r="D177" t="inlineStr">
        <is>
          <t>NIL</t>
        </is>
      </c>
    </row>
    <row r="178">
      <c r="B178" t="inlineStr">
        <is>
          <t xml:space="preserve">     (b) Total Exposure to illiquid securities in the portfolio (% of AUM)</t>
        </is>
      </c>
      <c r="D178" t="inlineStr">
        <is>
          <t>NIL</t>
        </is>
      </c>
    </row>
    <row r="180">
      <c r="B180" t="inlineStr">
        <is>
          <t>9.   Instances of Fair valuation of securities or Deviation in valuation from what is  provided by valuation agencies</t>
        </is>
      </c>
      <c r="D180" t="inlineStr">
        <is>
          <t>NIL</t>
        </is>
      </c>
    </row>
    <row r="182">
      <c r="B182" t="inlineStr">
        <is>
          <t>10. Securities in default beyond its maturity date in the portfolio of the scheme</t>
        </is>
      </c>
      <c r="D182" t="inlineStr">
        <is>
          <t>NIL</t>
        </is>
      </c>
    </row>
    <row r="183">
      <c r="B183" t="inlineStr">
        <is>
          <t xml:space="preserve">11. For Performance of the scheme refer - </t>
        </is>
      </c>
      <c r="C183" t="inlineStr">
        <is>
          <t xml:space="preserve">PGIM India Balanced Advantage Fund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ELSS TAX SAVER FUND</t>
        </is>
      </c>
    </row>
    <row r="2">
      <c r="B2" t="inlineStr">
        <is>
          <t>(An Open Ended Equity Linked Savings Scheme With A Statutory Lock-In Of 3 Years And Tax Benefit)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TR Index)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672678</v>
      </c>
      <c r="F16" t="n">
        <v>6667.58</v>
      </c>
      <c r="G16" t="n">
        <v>8.68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413354</v>
      </c>
      <c r="F17" t="n">
        <v>5550.93</v>
      </c>
      <c r="G17" t="n">
        <v>7.23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303931</v>
      </c>
      <c r="F18" t="n">
        <v>4772.93</v>
      </c>
      <c r="G18" t="n">
        <v>6.22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148605</v>
      </c>
      <c r="F19" t="n">
        <v>3129.03</v>
      </c>
      <c r="G19" t="n">
        <v>4.07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57727</v>
      </c>
      <c r="F20" t="n">
        <v>2357.28</v>
      </c>
      <c r="G20" t="n">
        <v>3.07</v>
      </c>
    </row>
    <row r="21">
      <c r="B21" t="inlineStr">
        <is>
          <t>Bajaj Finance Ltd.</t>
        </is>
      </c>
      <c r="C21" t="inlineStr">
        <is>
          <t>INE296A01032</t>
        </is>
      </c>
      <c r="D21" t="inlineStr">
        <is>
          <t>Finance</t>
        </is>
      </c>
      <c r="E21" t="n">
        <v>209120</v>
      </c>
      <c r="F21" t="n">
        <v>2063.6</v>
      </c>
      <c r="G21" t="n">
        <v>2.69</v>
      </c>
    </row>
    <row r="22">
      <c r="B22" t="inlineStr">
        <is>
          <t>ICICI Lombard General Insurance Co. Ltd.</t>
        </is>
      </c>
      <c r="C22" t="inlineStr">
        <is>
          <t>INE765G01017</t>
        </is>
      </c>
      <c r="D22" t="inlineStr">
        <is>
          <t>Insurance</t>
        </is>
      </c>
      <c r="E22" t="n">
        <v>98882</v>
      </c>
      <c r="F22" t="n">
        <v>1940.16</v>
      </c>
      <c r="G22" t="n">
        <v>2.53</v>
      </c>
    </row>
    <row r="23">
      <c r="B23" t="inlineStr">
        <is>
          <t>Multi Commodity Exchange Of India Ltd.</t>
        </is>
      </c>
      <c r="C23" t="inlineStr">
        <is>
          <t>INE745G01035</t>
        </is>
      </c>
      <c r="D23" t="inlineStr">
        <is>
          <t>Capital Markets</t>
        </is>
      </c>
      <c r="E23" t="n">
        <v>16618</v>
      </c>
      <c r="F23" t="n">
        <v>1850.58</v>
      </c>
      <c r="G23" t="n">
        <v>2.41</v>
      </c>
    </row>
    <row r="24">
      <c r="B24" t="inlineStr">
        <is>
          <t>Kotak Mahindra Bank Ltd.</t>
        </is>
      </c>
      <c r="C24" t="inlineStr">
        <is>
          <t>INE237A01028</t>
        </is>
      </c>
      <c r="D24" t="inlineStr">
        <is>
          <t>Banks</t>
        </is>
      </c>
      <c r="E24" t="n">
        <v>84000</v>
      </c>
      <c r="F24" t="n">
        <v>1848.92</v>
      </c>
      <c r="G24" t="n">
        <v>2.41</v>
      </c>
    </row>
    <row r="25">
      <c r="B25" t="inlineStr">
        <is>
          <t>Eternal Ltd.</t>
        </is>
      </c>
      <c r="C25" t="inlineStr">
        <is>
          <t>INE758T01015</t>
        </is>
      </c>
      <c r="D25" t="inlineStr">
        <is>
          <t>Retailing</t>
        </is>
      </c>
      <c r="E25" t="n">
        <v>661249</v>
      </c>
      <c r="F25" t="n">
        <v>1838.6</v>
      </c>
      <c r="G25" t="n">
        <v>2.39</v>
      </c>
    </row>
    <row r="26">
      <c r="B26" t="inlineStr">
        <is>
          <t>UNO Minda Ltd.</t>
        </is>
      </c>
      <c r="C26" t="inlineStr">
        <is>
          <t>INE405E01023</t>
        </is>
      </c>
      <c r="D26" t="inlineStr">
        <is>
          <t>Auto Components</t>
        </is>
      </c>
      <c r="E26" t="n">
        <v>135889</v>
      </c>
      <c r="F26" t="n">
        <v>1747.26</v>
      </c>
      <c r="G26" t="n">
        <v>2.28</v>
      </c>
    </row>
    <row r="27">
      <c r="B27" t="inlineStr">
        <is>
          <t>Ultratech Cement Ltd.</t>
        </is>
      </c>
      <c r="C27" t="inlineStr">
        <is>
          <t>INE481G01011</t>
        </is>
      </c>
      <c r="D27" t="inlineStr">
        <is>
          <t>Cement &amp; Cement Products</t>
        </is>
      </c>
      <c r="E27" t="n">
        <v>14185</v>
      </c>
      <c r="F27" t="n">
        <v>1671.56</v>
      </c>
      <c r="G27" t="n">
        <v>2.18</v>
      </c>
    </row>
    <row r="28">
      <c r="B28" t="inlineStr">
        <is>
          <t>VARUN BEVERAGES LIMITED</t>
        </is>
      </c>
      <c r="C28" t="inlineStr">
        <is>
          <t>INE200M01039</t>
        </is>
      </c>
      <c r="D28" t="inlineStr">
        <is>
          <t>Beverages</t>
        </is>
      </c>
      <c r="E28" t="n">
        <v>312725</v>
      </c>
      <c r="F28" t="n">
        <v>1531.88</v>
      </c>
      <c r="G28" t="n">
        <v>1.99</v>
      </c>
    </row>
    <row r="29">
      <c r="B29" t="inlineStr">
        <is>
          <t>Infosys Ltd.</t>
        </is>
      </c>
      <c r="C29" t="inlineStr">
        <is>
          <t>INE009A01021</t>
        </is>
      </c>
      <c r="D29" t="inlineStr">
        <is>
          <t>IT - Software</t>
        </is>
      </c>
      <c r="E29" t="n">
        <v>94201</v>
      </c>
      <c r="F29" t="n">
        <v>1521.72</v>
      </c>
      <c r="G29" t="n">
        <v>1.98</v>
      </c>
    </row>
    <row r="30">
      <c r="B30" t="inlineStr">
        <is>
          <t>Persistent Systems Ltd.</t>
        </is>
      </c>
      <c r="C30" t="inlineStr">
        <is>
          <t>INE262H01021</t>
        </is>
      </c>
      <c r="D30" t="inlineStr">
        <is>
          <t>IT - Software</t>
        </is>
      </c>
      <c r="E30" t="n">
        <v>23792</v>
      </c>
      <c r="F30" t="n">
        <v>1492.23</v>
      </c>
      <c r="G30" t="n">
        <v>1.94</v>
      </c>
    </row>
    <row r="31">
      <c r="B31" t="inlineStr">
        <is>
          <t>Mankind Pharma Ltd.</t>
        </is>
      </c>
      <c r="C31" t="inlineStr">
        <is>
          <t>INE634S01028</t>
        </is>
      </c>
      <c r="D31" t="inlineStr">
        <is>
          <t>Pharmaceuticals &amp; Biotechnology</t>
        </is>
      </c>
      <c r="E31" t="n">
        <v>67624</v>
      </c>
      <c r="F31" t="n">
        <v>1485.36</v>
      </c>
      <c r="G31" t="n">
        <v>1.93</v>
      </c>
    </row>
    <row r="32">
      <c r="B32" t="inlineStr">
        <is>
          <t>Dixon Technologies (India) Ltd.</t>
        </is>
      </c>
      <c r="C32" t="inlineStr">
        <is>
          <t>INE935N01020</t>
        </is>
      </c>
      <c r="D32" t="inlineStr">
        <is>
          <t>Consumer Durables</t>
        </is>
      </c>
      <c r="E32" t="n">
        <v>12000</v>
      </c>
      <c r="F32" t="n">
        <v>1452.24</v>
      </c>
      <c r="G32" t="n">
        <v>1.89</v>
      </c>
    </row>
    <row r="33">
      <c r="B33" t="inlineStr">
        <is>
          <t>Tata Consultancy Services Ltd.</t>
        </is>
      </c>
      <c r="C33" t="inlineStr">
        <is>
          <t>INE467B01029</t>
        </is>
      </c>
      <c r="D33" t="inlineStr">
        <is>
          <t>IT - Software</t>
        </is>
      </c>
      <c r="E33" t="n">
        <v>43406</v>
      </c>
      <c r="F33" t="n">
        <v>1391.68</v>
      </c>
      <c r="G33" t="n">
        <v>1.81</v>
      </c>
    </row>
    <row r="34">
      <c r="B34" t="inlineStr">
        <is>
          <t>Mahindra &amp; Mahindra Ltd.</t>
        </is>
      </c>
      <c r="C34" t="inlineStr">
        <is>
          <t>INE101A01026</t>
        </is>
      </c>
      <c r="D34" t="inlineStr">
        <is>
          <t>Automobiles</t>
        </is>
      </c>
      <c r="E34" t="n">
        <v>36000</v>
      </c>
      <c r="F34" t="n">
        <v>1335.31</v>
      </c>
      <c r="G34" t="n">
        <v>1.74</v>
      </c>
    </row>
    <row r="35">
      <c r="B35" t="inlineStr">
        <is>
          <t>Max Healthcare Institute Ltd.</t>
        </is>
      </c>
      <c r="C35" t="inlineStr">
        <is>
          <t>INE027H01010</t>
        </is>
      </c>
      <c r="D35" t="inlineStr">
        <is>
          <t>Healthcare Services</t>
        </is>
      </c>
      <c r="E35" t="n">
        <v>117187</v>
      </c>
      <c r="F35" t="n">
        <v>1224.72</v>
      </c>
      <c r="G35" t="n">
        <v>1.59</v>
      </c>
    </row>
    <row r="36">
      <c r="B36" t="inlineStr">
        <is>
          <t>Cholamandalam Investment &amp; Finance Company Ltd.</t>
        </is>
      </c>
      <c r="C36" t="inlineStr">
        <is>
          <t>INE121A01024</t>
        </is>
      </c>
      <c r="D36" t="inlineStr">
        <is>
          <t>Finance</t>
        </is>
      </c>
      <c r="E36" t="n">
        <v>68679</v>
      </c>
      <c r="F36" t="n">
        <v>1169.05</v>
      </c>
      <c r="G36" t="n">
        <v>1.52</v>
      </c>
    </row>
    <row r="37">
      <c r="B37" t="inlineStr">
        <is>
          <t>SRF Ltd.</t>
        </is>
      </c>
      <c r="C37" t="inlineStr">
        <is>
          <t>INE647A01010</t>
        </is>
      </c>
      <c r="D37" t="inlineStr">
        <is>
          <t>Chemicals &amp; Petrochemicals</t>
        </is>
      </c>
      <c r="E37" t="n">
        <v>33720</v>
      </c>
      <c r="F37" t="n">
        <v>1036.89</v>
      </c>
      <c r="G37" t="n">
        <v>1.35</v>
      </c>
    </row>
    <row r="38">
      <c r="B38" t="inlineStr">
        <is>
          <t>Titan Company Ltd.</t>
        </is>
      </c>
      <c r="C38" t="inlineStr">
        <is>
          <t>INE280A01028</t>
        </is>
      </c>
      <c r="D38" t="inlineStr">
        <is>
          <t>Consumer Durables</t>
        </is>
      </c>
      <c r="E38" t="n">
        <v>25348</v>
      </c>
      <c r="F38" t="n">
        <v>1026.97</v>
      </c>
      <c r="G38" t="n">
        <v>1.34</v>
      </c>
    </row>
    <row r="39">
      <c r="B39" t="inlineStr">
        <is>
          <t>Vishal Mega Mart Ltd</t>
        </is>
      </c>
      <c r="C39" t="inlineStr">
        <is>
          <t>INE01EA01019</t>
        </is>
      </c>
      <c r="D39" t="inlineStr">
        <is>
          <t>Retailing</t>
        </is>
      </c>
      <c r="E39" t="n">
        <v>744000</v>
      </c>
      <c r="F39" t="n">
        <v>1014.59</v>
      </c>
      <c r="G39" t="n">
        <v>1.32</v>
      </c>
    </row>
    <row r="40">
      <c r="B40" t="inlineStr">
        <is>
          <t>Solar Industries India Ltd.</t>
        </is>
      </c>
      <c r="C40" t="inlineStr">
        <is>
          <t>INE343H01029</t>
        </is>
      </c>
      <c r="D40" t="inlineStr">
        <is>
          <t>Chemicals &amp; Petrochemicals</t>
        </is>
      </c>
      <c r="E40" t="n">
        <v>7500</v>
      </c>
      <c r="F40" t="n">
        <v>918.9</v>
      </c>
      <c r="G40" t="n">
        <v>1.2</v>
      </c>
    </row>
    <row r="41">
      <c r="B41" t="inlineStr">
        <is>
          <t>International Gemmological Inst Ind Ltd.</t>
        </is>
      </c>
      <c r="C41" t="inlineStr">
        <is>
          <t>INE0Q9301021</t>
        </is>
      </c>
      <c r="D41" t="inlineStr">
        <is>
          <t>Commercial Services &amp; Supplies</t>
        </is>
      </c>
      <c r="E41" t="n">
        <v>266700</v>
      </c>
      <c r="F41" t="n">
        <v>893.45</v>
      </c>
      <c r="G41" t="n">
        <v>1.16</v>
      </c>
    </row>
    <row r="42">
      <c r="B42" t="inlineStr">
        <is>
          <t>Navin Fluorine International Ltd.</t>
        </is>
      </c>
      <c r="C42" t="inlineStr">
        <is>
          <t>INE048G01026</t>
        </is>
      </c>
      <c r="D42" t="inlineStr">
        <is>
          <t>Chemicals &amp; Petrochemicals</t>
        </is>
      </c>
      <c r="E42" t="n">
        <v>15002</v>
      </c>
      <c r="F42" t="n">
        <v>888.12</v>
      </c>
      <c r="G42" t="n">
        <v>1.16</v>
      </c>
    </row>
    <row r="43">
      <c r="B43" t="inlineStr">
        <is>
          <t>SBI Life Insurance Company Ltd.</t>
        </is>
      </c>
      <c r="C43" t="inlineStr">
        <is>
          <t>INE123W01016</t>
        </is>
      </c>
      <c r="D43" t="inlineStr">
        <is>
          <t>Insurance</t>
        </is>
      </c>
      <c r="E43" t="n">
        <v>43270</v>
      </c>
      <c r="F43" t="n">
        <v>880.5</v>
      </c>
      <c r="G43" t="n">
        <v>1.15</v>
      </c>
    </row>
    <row r="44">
      <c r="B44" t="inlineStr">
        <is>
          <t>JSW Cement Ltd.</t>
        </is>
      </c>
      <c r="C44" t="inlineStr">
        <is>
          <t>INE718I01012</t>
        </is>
      </c>
      <c r="D44" t="inlineStr">
        <is>
          <t>Cement &amp; Cement Products</t>
        </is>
      </c>
      <c r="E44" t="n">
        <v>680340</v>
      </c>
      <c r="F44" t="n">
        <v>808.65</v>
      </c>
      <c r="G44" t="n">
        <v>1.05</v>
      </c>
    </row>
    <row r="45">
      <c r="B45" t="inlineStr">
        <is>
          <t>TVS Motor Company Ltd.</t>
        </is>
      </c>
      <c r="C45" t="inlineStr">
        <is>
          <t>INE494B01023</t>
        </is>
      </c>
      <c r="D45" t="inlineStr">
        <is>
          <t>Automobiles</t>
        </is>
      </c>
      <c r="E45" t="n">
        <v>21000</v>
      </c>
      <c r="F45" t="n">
        <v>781.16</v>
      </c>
      <c r="G45" t="n">
        <v>1.02</v>
      </c>
    </row>
    <row r="46">
      <c r="B46" t="inlineStr">
        <is>
          <t>Bharat Electronics Ltd.</t>
        </is>
      </c>
      <c r="C46" t="inlineStr">
        <is>
          <t>INE263A01024</t>
        </is>
      </c>
      <c r="D46" t="inlineStr">
        <is>
          <t>Aerospace &amp; Defense</t>
        </is>
      </c>
      <c r="E46" t="n">
        <v>195000</v>
      </c>
      <c r="F46" t="n">
        <v>779.22</v>
      </c>
      <c r="G46" t="n">
        <v>1.01</v>
      </c>
    </row>
    <row r="47">
      <c r="B47" t="inlineStr">
        <is>
          <t>AU Small Finance Bank Ltd.</t>
        </is>
      </c>
      <c r="C47" t="inlineStr">
        <is>
          <t>INE949L01017</t>
        </is>
      </c>
      <c r="D47" t="inlineStr">
        <is>
          <t>Banks</t>
        </is>
      </c>
      <c r="E47" t="n">
        <v>78300</v>
      </c>
      <c r="F47" t="n">
        <v>778.6900000000001</v>
      </c>
      <c r="G47" t="n">
        <v>1.01</v>
      </c>
    </row>
    <row r="48">
      <c r="B48" t="inlineStr">
        <is>
          <t>Eicher Motors Ltd.</t>
        </is>
      </c>
      <c r="C48" t="inlineStr">
        <is>
          <t>INE066A01021</t>
        </is>
      </c>
      <c r="D48" t="inlineStr">
        <is>
          <t>Automobiles</t>
        </is>
      </c>
      <c r="E48" t="n">
        <v>10620</v>
      </c>
      <c r="F48" t="n">
        <v>776.59</v>
      </c>
      <c r="G48" t="n">
        <v>1.01</v>
      </c>
    </row>
    <row r="49">
      <c r="B49" t="inlineStr">
        <is>
          <t>Blue Star Ltd.</t>
        </is>
      </c>
      <c r="C49" t="inlineStr">
        <is>
          <t>INE472A01039</t>
        </is>
      </c>
      <c r="D49" t="inlineStr">
        <is>
          <t>Consumer Durables</t>
        </is>
      </c>
      <c r="E49" t="n">
        <v>43226</v>
      </c>
      <c r="F49" t="n">
        <v>748.11</v>
      </c>
      <c r="G49" t="n">
        <v>0.97</v>
      </c>
    </row>
    <row r="50">
      <c r="B50" t="inlineStr">
        <is>
          <t>Krishna Inst of Medical Sciences Ltd.</t>
        </is>
      </c>
      <c r="C50" t="inlineStr">
        <is>
          <t>INE967H01025</t>
        </is>
      </c>
      <c r="D50" t="inlineStr">
        <is>
          <t>Healthcare Services</t>
        </is>
      </c>
      <c r="E50" t="n">
        <v>121445</v>
      </c>
      <c r="F50" t="n">
        <v>739.11</v>
      </c>
      <c r="G50" t="n">
        <v>0.96</v>
      </c>
    </row>
    <row r="51">
      <c r="B51" t="inlineStr">
        <is>
          <t>CG Power and Industrial Solutions Ltd.</t>
        </is>
      </c>
      <c r="C51" t="inlineStr">
        <is>
          <t>INE067A01029</t>
        </is>
      </c>
      <c r="D51" t="inlineStr">
        <is>
          <t>Electrical Equipment</t>
        </is>
      </c>
      <c r="E51" t="n">
        <v>110000</v>
      </c>
      <c r="F51" t="n">
        <v>712.6900000000001</v>
      </c>
      <c r="G51" t="n">
        <v>0.93</v>
      </c>
    </row>
    <row r="52">
      <c r="B52" t="inlineStr">
        <is>
          <t>ICICI Prudential Asset Mgmt Co Ltd.</t>
        </is>
      </c>
      <c r="C52" t="inlineStr">
        <is>
          <t>INE346A01027</t>
        </is>
      </c>
      <c r="D52" t="inlineStr">
        <is>
          <t>Capital Markets</t>
        </is>
      </c>
      <c r="E52" t="n">
        <v>26228</v>
      </c>
      <c r="F52" t="n">
        <v>697.95</v>
      </c>
      <c r="G52" t="n">
        <v>0.91</v>
      </c>
    </row>
    <row r="53">
      <c r="B53" t="inlineStr">
        <is>
          <t>Dr Agarwal's Health Care Ltd.</t>
        </is>
      </c>
      <c r="C53" t="inlineStr">
        <is>
          <t>INE943P01029</t>
        </is>
      </c>
      <c r="D53" t="inlineStr">
        <is>
          <t>Healthcare Services</t>
        </is>
      </c>
      <c r="E53" t="n">
        <v>134798</v>
      </c>
      <c r="F53" t="n">
        <v>685.25</v>
      </c>
      <c r="G53" t="n">
        <v>0.89</v>
      </c>
    </row>
    <row r="54">
      <c r="B54" t="inlineStr">
        <is>
          <t>Physicswallah Ltd.</t>
        </is>
      </c>
      <c r="C54" t="inlineStr">
        <is>
          <t>INE0LP301011</t>
        </is>
      </c>
      <c r="D54" t="inlineStr">
        <is>
          <t>Other Consumer Services</t>
        </is>
      </c>
      <c r="E54" t="n">
        <v>510462</v>
      </c>
      <c r="F54" t="n">
        <v>677.9400000000001</v>
      </c>
      <c r="G54" t="n">
        <v>0.88</v>
      </c>
    </row>
    <row r="55">
      <c r="B55" t="inlineStr">
        <is>
          <t>MRS Bectors Food Specialities Ltd.</t>
        </is>
      </c>
      <c r="C55" t="inlineStr">
        <is>
          <t>INE495P01020</t>
        </is>
      </c>
      <c r="D55" t="inlineStr">
        <is>
          <t>Food Products</t>
        </is>
      </c>
      <c r="E55" t="n">
        <v>290271</v>
      </c>
      <c r="F55" t="n">
        <v>668.78</v>
      </c>
      <c r="G55" t="n">
        <v>0.87</v>
      </c>
    </row>
    <row r="56">
      <c r="B56" t="inlineStr">
        <is>
          <t>Rubicon Research Ltd.</t>
        </is>
      </c>
      <c r="C56" t="inlineStr">
        <is>
          <t>INE506V01022</t>
        </is>
      </c>
      <c r="D56" t="inlineStr">
        <is>
          <t>Pharmaceuticals &amp; Biotechnology</t>
        </is>
      </c>
      <c r="E56" t="n">
        <v>96900</v>
      </c>
      <c r="F56" t="n">
        <v>659.65</v>
      </c>
      <c r="G56" t="n">
        <v>0.86</v>
      </c>
    </row>
    <row r="57">
      <c r="B57" t="inlineStr">
        <is>
          <t>ITC Ltd.</t>
        </is>
      </c>
      <c r="C57" t="inlineStr">
        <is>
          <t>INE154A01025</t>
        </is>
      </c>
      <c r="D57" t="inlineStr">
        <is>
          <t>Diversified FMCG</t>
        </is>
      </c>
      <c r="E57" t="n">
        <v>163000</v>
      </c>
      <c r="F57" t="n">
        <v>656.89</v>
      </c>
      <c r="G57" t="n">
        <v>0.86</v>
      </c>
    </row>
    <row r="58">
      <c r="B58" t="inlineStr">
        <is>
          <t>CCL Products (India) Ltd.</t>
        </is>
      </c>
      <c r="C58" t="inlineStr">
        <is>
          <t>INE421D01022</t>
        </is>
      </c>
      <c r="D58" t="inlineStr">
        <is>
          <t>Agricultural Food &amp; other Products</t>
        </is>
      </c>
      <c r="E58" t="n">
        <v>66033</v>
      </c>
      <c r="F58" t="n">
        <v>623.48</v>
      </c>
      <c r="G58" t="n">
        <v>0.8100000000000001</v>
      </c>
    </row>
    <row r="59">
      <c r="B59" t="inlineStr">
        <is>
          <t>Affle 3i Ltd.</t>
        </is>
      </c>
      <c r="C59" t="inlineStr">
        <is>
          <t>INE00WC01027</t>
        </is>
      </c>
      <c r="D59" t="inlineStr">
        <is>
          <t>IT - Services</t>
        </is>
      </c>
      <c r="E59" t="n">
        <v>34200</v>
      </c>
      <c r="F59" t="n">
        <v>615.39</v>
      </c>
      <c r="G59" t="n">
        <v>0.8</v>
      </c>
    </row>
    <row r="60">
      <c r="B60" t="inlineStr">
        <is>
          <t>Gabriel India Ltd.</t>
        </is>
      </c>
      <c r="C60" t="inlineStr">
        <is>
          <t>INE524A01029</t>
        </is>
      </c>
      <c r="D60" t="inlineStr">
        <is>
          <t>Auto Components</t>
        </is>
      </c>
      <c r="E60" t="n">
        <v>57000</v>
      </c>
      <c r="F60" t="n">
        <v>575.59</v>
      </c>
      <c r="G60" t="n">
        <v>0.75</v>
      </c>
    </row>
    <row r="61">
      <c r="B61" t="inlineStr">
        <is>
          <t>LG Electronics India Ltd.</t>
        </is>
      </c>
      <c r="C61" t="inlineStr">
        <is>
          <t>INE324D01010</t>
        </is>
      </c>
      <c r="D61" t="inlineStr">
        <is>
          <t>Consumer Durables</t>
        </is>
      </c>
      <c r="E61" t="n">
        <v>37502</v>
      </c>
      <c r="F61" t="n">
        <v>570.5599999999999</v>
      </c>
      <c r="G61" t="n">
        <v>0.74</v>
      </c>
    </row>
    <row r="62">
      <c r="B62" t="inlineStr">
        <is>
          <t>Tube Investments Of India Ltd.</t>
        </is>
      </c>
      <c r="C62" t="inlineStr">
        <is>
          <t>INE974X01010</t>
        </is>
      </c>
      <c r="D62" t="inlineStr">
        <is>
          <t>Auto Components</t>
        </is>
      </c>
      <c r="E62" t="n">
        <v>21779</v>
      </c>
      <c r="F62" t="n">
        <v>569.3200000000001</v>
      </c>
      <c r="G62" t="n">
        <v>0.74</v>
      </c>
    </row>
    <row r="63">
      <c r="B63" t="inlineStr">
        <is>
          <t>K.P.R. Mill Ltd.</t>
        </is>
      </c>
      <c r="C63" t="inlineStr">
        <is>
          <t>INE930H01031</t>
        </is>
      </c>
      <c r="D63" t="inlineStr">
        <is>
          <t>Textiles &amp; Apparels</t>
        </is>
      </c>
      <c r="E63" t="n">
        <v>60000</v>
      </c>
      <c r="F63" t="n">
        <v>565.4400000000001</v>
      </c>
      <c r="G63" t="n">
        <v>0.74</v>
      </c>
    </row>
    <row r="64">
      <c r="B64" t="inlineStr">
        <is>
          <t>Inventurus Knowledge Solutions Ltd.</t>
        </is>
      </c>
      <c r="C64" t="inlineStr">
        <is>
          <t>INE115Q01022</t>
        </is>
      </c>
      <c r="D64" t="inlineStr">
        <is>
          <t>IT - Services</t>
        </is>
      </c>
      <c r="E64" t="n">
        <v>33543</v>
      </c>
      <c r="F64" t="n">
        <v>556.08</v>
      </c>
      <c r="G64" t="n">
        <v>0.72</v>
      </c>
    </row>
    <row r="65">
      <c r="B65" t="inlineStr">
        <is>
          <t>Home First Finance Company India Ltd.</t>
        </is>
      </c>
      <c r="C65" t="inlineStr">
        <is>
          <t>INE481N01025</t>
        </is>
      </c>
      <c r="D65" t="inlineStr">
        <is>
          <t>Finance</t>
        </is>
      </c>
      <c r="E65" t="n">
        <v>48339</v>
      </c>
      <c r="F65" t="n">
        <v>532.79</v>
      </c>
      <c r="G65" t="n">
        <v>0.6899999999999999</v>
      </c>
    </row>
    <row r="66">
      <c r="B66" t="inlineStr">
        <is>
          <t>Data Patterns (India) Ltd.</t>
        </is>
      </c>
      <c r="C66" t="inlineStr">
        <is>
          <t>INE0IX101010</t>
        </is>
      </c>
      <c r="D66" t="inlineStr">
        <is>
          <t>Aerospace &amp; Defense</t>
        </is>
      </c>
      <c r="E66" t="n">
        <v>19800</v>
      </c>
      <c r="F66" t="n">
        <v>520.0700000000001</v>
      </c>
      <c r="G66" t="n">
        <v>0.68</v>
      </c>
    </row>
    <row r="67">
      <c r="B67" t="inlineStr">
        <is>
          <t>Doms Industries Ltd.</t>
        </is>
      </c>
      <c r="C67" t="inlineStr">
        <is>
          <t>INE321T01012</t>
        </is>
      </c>
      <c r="D67" t="inlineStr">
        <is>
          <t>Household Products</t>
        </is>
      </c>
      <c r="E67" t="n">
        <v>19499</v>
      </c>
      <c r="F67" t="n">
        <v>509.98</v>
      </c>
      <c r="G67" t="n">
        <v>0.66</v>
      </c>
    </row>
    <row r="68">
      <c r="B68" t="inlineStr">
        <is>
          <t>Sai Life Sciences Ltd</t>
        </is>
      </c>
      <c r="C68" t="inlineStr">
        <is>
          <t>INE570L01029</t>
        </is>
      </c>
      <c r="D68" t="inlineStr">
        <is>
          <t>Pharmaceuticals &amp; Biotechnology</t>
        </is>
      </c>
      <c r="E68" t="n">
        <v>54264</v>
      </c>
      <c r="F68" t="n">
        <v>492.93</v>
      </c>
      <c r="G68" t="n">
        <v>0.64</v>
      </c>
    </row>
    <row r="69">
      <c r="B69" t="inlineStr">
        <is>
          <t>United Spirits Ltd.</t>
        </is>
      </c>
      <c r="C69" t="inlineStr">
        <is>
          <t>INE854D01024</t>
        </is>
      </c>
      <c r="D69" t="inlineStr">
        <is>
          <t>Beverages</t>
        </is>
      </c>
      <c r="E69" t="n">
        <v>33009</v>
      </c>
      <c r="F69" t="n">
        <v>476.55</v>
      </c>
      <c r="G69" t="n">
        <v>0.62</v>
      </c>
    </row>
    <row r="70">
      <c r="B70" t="inlineStr">
        <is>
          <t>AWFIS Space Solutions Ltd.</t>
        </is>
      </c>
      <c r="C70" t="inlineStr">
        <is>
          <t>INE108V01019</t>
        </is>
      </c>
      <c r="D70" t="inlineStr">
        <is>
          <t>Commercial Services &amp; Supplies</t>
        </is>
      </c>
      <c r="E70" t="n">
        <v>90000</v>
      </c>
      <c r="F70" t="n">
        <v>443.52</v>
      </c>
      <c r="G70" t="n">
        <v>0.58</v>
      </c>
    </row>
    <row r="71">
      <c r="B71" t="inlineStr">
        <is>
          <t>Hexaware Technologies Ltd.</t>
        </is>
      </c>
      <c r="C71" t="inlineStr">
        <is>
          <t>INE093A01041</t>
        </is>
      </c>
      <c r="D71" t="inlineStr">
        <is>
          <t>IT - Software</t>
        </is>
      </c>
      <c r="E71" t="n">
        <v>55828</v>
      </c>
      <c r="F71" t="n">
        <v>427.39</v>
      </c>
      <c r="G71" t="n">
        <v>0.5600000000000001</v>
      </c>
    </row>
    <row r="72">
      <c r="B72" t="inlineStr">
        <is>
          <t>Pine Labs Ltd.</t>
        </is>
      </c>
      <c r="C72" t="inlineStr">
        <is>
          <t>INE15B701018</t>
        </is>
      </c>
      <c r="D72" t="inlineStr">
        <is>
          <t>Financial Technology (Fintech)</t>
        </is>
      </c>
      <c r="E72" t="n">
        <v>164887</v>
      </c>
      <c r="F72" t="n">
        <v>394.62</v>
      </c>
      <c r="G72" t="n">
        <v>0.51</v>
      </c>
    </row>
    <row r="73">
      <c r="B73" t="inlineStr">
        <is>
          <t>The Phoenix Mills Ltd.</t>
        </is>
      </c>
      <c r="C73" t="inlineStr">
        <is>
          <t>INE211B01039</t>
        </is>
      </c>
      <c r="D73" t="inlineStr">
        <is>
          <t>Realty</t>
        </is>
      </c>
      <c r="E73" t="n">
        <v>21240</v>
      </c>
      <c r="F73" t="n">
        <v>393.68</v>
      </c>
      <c r="G73" t="n">
        <v>0.51</v>
      </c>
    </row>
    <row r="74">
      <c r="B74" t="inlineStr">
        <is>
          <t>Anthem Biosciences Ltd.</t>
        </is>
      </c>
      <c r="C74" t="inlineStr">
        <is>
          <t>INE0CZ201020</t>
        </is>
      </c>
      <c r="D74" t="inlineStr">
        <is>
          <t>Pharmaceuticals &amp; Biotechnology</t>
        </is>
      </c>
      <c r="E74" t="n">
        <v>60000</v>
      </c>
      <c r="F74" t="n">
        <v>390.9</v>
      </c>
      <c r="G74" t="n">
        <v>0.51</v>
      </c>
    </row>
    <row r="75">
      <c r="B75" t="inlineStr">
        <is>
          <t>TBO Tek Ltd.</t>
        </is>
      </c>
      <c r="C75" t="inlineStr">
        <is>
          <t>INE673O01025</t>
        </is>
      </c>
      <c r="D75" t="inlineStr">
        <is>
          <t>Leisure Services</t>
        </is>
      </c>
      <c r="E75" t="n">
        <v>23400</v>
      </c>
      <c r="F75" t="n">
        <v>389.07</v>
      </c>
      <c r="G75" t="n">
        <v>0.51</v>
      </c>
    </row>
    <row r="76">
      <c r="B76" t="inlineStr">
        <is>
          <t>Abbott India Ltd.</t>
        </is>
      </c>
      <c r="C76" t="inlineStr">
        <is>
          <t>INE358A01014</t>
        </is>
      </c>
      <c r="D76" t="inlineStr">
        <is>
          <t>Pharmaceuticals &amp; Biotechnology</t>
        </is>
      </c>
      <c r="E76" t="n">
        <v>1140</v>
      </c>
      <c r="F76" t="n">
        <v>330.89</v>
      </c>
      <c r="G76" t="n">
        <v>0.43</v>
      </c>
    </row>
    <row r="77">
      <c r="B77" t="inlineStr">
        <is>
          <t>Page Industries Ltd.</t>
        </is>
      </c>
      <c r="C77" t="inlineStr">
        <is>
          <t>INE761H01022</t>
        </is>
      </c>
      <c r="D77" t="inlineStr">
        <is>
          <t>Textiles &amp; Apparels</t>
        </is>
      </c>
      <c r="E77" t="n">
        <v>801</v>
      </c>
      <c r="F77" t="n">
        <v>288.72</v>
      </c>
      <c r="G77" t="n">
        <v>0.38</v>
      </c>
    </row>
    <row r="78">
      <c r="B78" t="inlineStr">
        <is>
          <t>Triveni Turbine Ltd.</t>
        </is>
      </c>
      <c r="C78" t="inlineStr">
        <is>
          <t>INE152M01016</t>
        </is>
      </c>
      <c r="D78" t="inlineStr">
        <is>
          <t>Electrical Equipment</t>
        </is>
      </c>
      <c r="E78" t="n">
        <v>53032</v>
      </c>
      <c r="F78" t="n">
        <v>285.44</v>
      </c>
      <c r="G78" t="n">
        <v>0.37</v>
      </c>
    </row>
    <row r="79">
      <c r="B79" t="inlineStr">
        <is>
          <t>Sagility Ltd.</t>
        </is>
      </c>
      <c r="C79" t="inlineStr">
        <is>
          <t>INE0W2G01015</t>
        </is>
      </c>
      <c r="D79" t="inlineStr">
        <is>
          <t>IT - Services</t>
        </is>
      </c>
      <c r="E79" t="n">
        <v>534500</v>
      </c>
      <c r="F79" t="n">
        <v>278.05</v>
      </c>
      <c r="G79" t="n">
        <v>0.36</v>
      </c>
    </row>
    <row r="80">
      <c r="B80" t="inlineStr">
        <is>
          <t>ITC Hotels Ltd.</t>
        </is>
      </c>
      <c r="C80" t="inlineStr">
        <is>
          <t>INE379A01028</t>
        </is>
      </c>
      <c r="D80" t="inlineStr">
        <is>
          <t>Leisure Services</t>
        </is>
      </c>
      <c r="E80" t="n">
        <v>16300</v>
      </c>
      <c r="F80" t="n">
        <v>32.18</v>
      </c>
      <c r="G80" t="n">
        <v>0.04</v>
      </c>
    </row>
    <row r="81">
      <c r="B81" t="inlineStr">
        <is>
          <t>Sun Pharmaceutical Industries Ltd.</t>
        </is>
      </c>
      <c r="C81" t="inlineStr">
        <is>
          <t>INE044A01036</t>
        </is>
      </c>
      <c r="D81" t="inlineStr">
        <is>
          <t>Pharmaceuticals &amp; Biotechnology</t>
        </is>
      </c>
      <c r="E81" t="n">
        <v>1</v>
      </c>
      <c r="F81" t="n">
        <v>0.02</v>
      </c>
      <c r="G81" t="n">
        <v>0</v>
      </c>
    </row>
    <row r="82">
      <c r="B82" t="inlineStr">
        <is>
          <t>Sub Total</t>
        </is>
      </c>
      <c r="F82" t="n">
        <v>75135.38</v>
      </c>
      <c r="G82" t="n">
        <v>97.81</v>
      </c>
    </row>
    <row r="84">
      <c r="B84" t="inlineStr">
        <is>
          <t>(b) Unlisted</t>
        </is>
      </c>
    </row>
    <row r="85">
      <c r="F85" t="n">
        <v>0</v>
      </c>
      <c r="G85" t="n">
        <v>0</v>
      </c>
    </row>
    <row r="86">
      <c r="B86" t="inlineStr">
        <is>
          <t>Sub Total</t>
        </is>
      </c>
      <c r="F86" t="inlineStr">
        <is>
          <t>NIL</t>
        </is>
      </c>
      <c r="G86" t="inlineStr">
        <is>
          <t>NIL</t>
        </is>
      </c>
    </row>
    <row r="88">
      <c r="B88" t="inlineStr">
        <is>
          <t>TOTAL</t>
        </is>
      </c>
      <c r="F88" t="n">
        <v>75135.38</v>
      </c>
      <c r="G88" t="n">
        <v>97.81</v>
      </c>
    </row>
    <row r="89">
      <c r="B89" t="inlineStr">
        <is>
          <t>Debt Instruments</t>
        </is>
      </c>
    </row>
    <row r="91">
      <c r="B91" t="inlineStr">
        <is>
          <t>(a) Listed / Awaiting listing on Stock Exchanges</t>
        </is>
      </c>
    </row>
    <row r="93">
      <c r="B93" t="inlineStr">
        <is>
          <t>Sub Total</t>
        </is>
      </c>
      <c r="F93" t="inlineStr">
        <is>
          <t>NIL</t>
        </is>
      </c>
      <c r="G93" t="inlineStr">
        <is>
          <t>NIL</t>
        </is>
      </c>
    </row>
    <row r="95">
      <c r="B95" t="inlineStr">
        <is>
          <t>(b)Privately Placed/Unlisted</t>
        </is>
      </c>
    </row>
    <row r="96">
      <c r="F96" t="n">
        <v>0</v>
      </c>
      <c r="G96" t="n">
        <v>0</v>
      </c>
    </row>
    <row r="97">
      <c r="B97" t="inlineStr">
        <is>
          <t>Sub Total</t>
        </is>
      </c>
      <c r="F97" t="inlineStr">
        <is>
          <t>NIL</t>
        </is>
      </c>
      <c r="G97" t="inlineStr">
        <is>
          <t>NIL</t>
        </is>
      </c>
    </row>
    <row r="99">
      <c r="B99" t="inlineStr">
        <is>
          <t>(c)Securitised Debt Instruments</t>
        </is>
      </c>
    </row>
    <row r="100">
      <c r="F100" t="n">
        <v>0</v>
      </c>
      <c r="G100" t="n">
        <v>0</v>
      </c>
    </row>
    <row r="101">
      <c r="B101" t="inlineStr">
        <is>
          <t>Sub Total</t>
        </is>
      </c>
      <c r="F101" t="inlineStr">
        <is>
          <t>NIL</t>
        </is>
      </c>
      <c r="G101" t="inlineStr">
        <is>
          <t>NIL</t>
        </is>
      </c>
    </row>
    <row r="103">
      <c r="B103" t="inlineStr">
        <is>
          <t>TOTAL</t>
        </is>
      </c>
      <c r="F103" t="inlineStr">
        <is>
          <t>NIL</t>
        </is>
      </c>
      <c r="G103" t="inlineStr">
        <is>
          <t>NIL</t>
        </is>
      </c>
    </row>
    <row r="105">
      <c r="B105" t="inlineStr">
        <is>
          <t>Preference Shares - (Awaiting listing on Stock Exchanges)</t>
        </is>
      </c>
    </row>
    <row r="106">
      <c r="B106" t="inlineStr">
        <is>
          <t>TVS Motor Company Ltd. ** #</t>
        </is>
      </c>
      <c r="C106" t="inlineStr">
        <is>
          <t>INE494B04019</t>
        </is>
      </c>
      <c r="D106" t="inlineStr">
        <is>
          <t>CARE A1+</t>
        </is>
      </c>
      <c r="E106" t="n">
        <v>84000</v>
      </c>
      <c r="F106" t="n">
        <v>8.56</v>
      </c>
      <c r="G106" t="n">
        <v>0.01</v>
      </c>
      <c r="H106" t="n">
        <v>6.105</v>
      </c>
    </row>
    <row r="107">
      <c r="B107" t="inlineStr">
        <is>
          <t>Sub Total</t>
        </is>
      </c>
      <c r="F107">
        <f>SUM(F106)</f>
        <v/>
      </c>
      <c r="G107">
        <f>SUM(G106)</f>
        <v/>
      </c>
    </row>
    <row r="109">
      <c r="B109" t="inlineStr">
        <is>
          <t>TOTAL</t>
        </is>
      </c>
      <c r="F109">
        <f>F107</f>
        <v/>
      </c>
      <c r="G109">
        <f>G107</f>
        <v/>
      </c>
    </row>
    <row r="111">
      <c r="B111" t="inlineStr">
        <is>
          <t>Money Market Instruments</t>
        </is>
      </c>
    </row>
    <row r="113">
      <c r="B113" t="inlineStr">
        <is>
          <t>Treasury Bill</t>
        </is>
      </c>
    </row>
    <row r="114">
      <c r="B114" t="inlineStr">
        <is>
          <t>364 DAYS TBILL RED 29-10-2026</t>
        </is>
      </c>
      <c r="C114" t="inlineStr">
        <is>
          <t>IN002025Z310</t>
        </is>
      </c>
      <c r="D114" t="inlineStr">
        <is>
          <t>SOVEREIGN</t>
        </is>
      </c>
      <c r="E114" t="n">
        <v>100000</v>
      </c>
      <c r="F114" t="n">
        <v>95.7</v>
      </c>
      <c r="G114" t="n">
        <v>0.12</v>
      </c>
      <c r="H114" t="n">
        <v>5.45</v>
      </c>
    </row>
    <row r="115">
      <c r="B115" t="inlineStr">
        <is>
          <t>Sub Total</t>
        </is>
      </c>
      <c r="F115" t="n">
        <v>95.7</v>
      </c>
      <c r="G115" t="n">
        <v>0.12</v>
      </c>
    </row>
    <row r="117">
      <c r="B117" t="inlineStr">
        <is>
          <t>TOTAL</t>
        </is>
      </c>
      <c r="F117" t="n">
        <v>95.7</v>
      </c>
      <c r="G117" t="n">
        <v>0.12</v>
      </c>
    </row>
    <row r="120">
      <c r="B120" t="inlineStr">
        <is>
          <t>Treps / Reverse Repo</t>
        </is>
      </c>
    </row>
    <row r="121">
      <c r="B121" t="inlineStr">
        <is>
          <t>Clearing Corporation of India Ltd.</t>
        </is>
      </c>
      <c r="F121" t="n">
        <v>1637.28</v>
      </c>
      <c r="G121" t="n">
        <v>2.13</v>
      </c>
    </row>
    <row r="122">
      <c r="B122" t="inlineStr">
        <is>
          <t>Sub Total</t>
        </is>
      </c>
      <c r="F122" t="n">
        <v>1637.28</v>
      </c>
      <c r="G122" t="n">
        <v>2.13</v>
      </c>
    </row>
    <row r="124">
      <c r="B124" t="inlineStr">
        <is>
          <t>TOTAL</t>
        </is>
      </c>
      <c r="F124" t="n">
        <v>1637.28</v>
      </c>
      <c r="G124" t="n">
        <v>2.13</v>
      </c>
    </row>
    <row r="126">
      <c r="B126" t="inlineStr">
        <is>
          <t>Net Receivables / (Payables)</t>
        </is>
      </c>
      <c r="F126" t="n">
        <v>-87.12</v>
      </c>
      <c r="G126" t="n">
        <v>-0.07000000000000739</v>
      </c>
    </row>
    <row r="128">
      <c r="B128" t="inlineStr">
        <is>
          <t>GRAND TOTAL</t>
        </is>
      </c>
      <c r="F128" t="n">
        <v>76789.8</v>
      </c>
      <c r="G128" t="n">
        <v>100</v>
      </c>
    </row>
    <row r="130">
      <c r="B130" t="inlineStr">
        <is>
          <t>#  Unlisted Security</t>
        </is>
      </c>
    </row>
    <row r="131">
      <c r="B131" t="inlineStr">
        <is>
          <t>** Non Traded Security</t>
        </is>
      </c>
    </row>
    <row r="137">
      <c r="B137" t="inlineStr">
        <is>
          <t>Notes:</t>
        </is>
      </c>
    </row>
    <row r="138">
      <c r="B138" t="inlineStr">
        <is>
          <t>1. Plan / Option-wise Net Asset Value per unit are as below :   (Face Value per unit = Rs. 10)</t>
        </is>
      </c>
    </row>
    <row r="139">
      <c r="B139" t="inlineStr">
        <is>
          <t xml:space="preserve">Plan / Option </t>
        </is>
      </c>
      <c r="C139" s="1" t="n">
        <v>45989</v>
      </c>
      <c r="D139" s="1" t="n">
        <v>46022</v>
      </c>
    </row>
    <row r="140">
      <c r="B140" t="inlineStr">
        <is>
          <t>Direct Plan</t>
        </is>
      </c>
      <c r="C140" t="inlineStr">
        <is>
          <t>(INR)</t>
        </is>
      </c>
      <c r="D140" t="inlineStr">
        <is>
          <t>(INR)</t>
        </is>
      </c>
    </row>
    <row r="141">
      <c r="B141" t="inlineStr">
        <is>
          <t>Growth</t>
        </is>
      </c>
      <c r="C141" t="n">
        <v>40.98</v>
      </c>
      <c r="D141" t="n">
        <v>40.34</v>
      </c>
    </row>
    <row r="142">
      <c r="B142" t="inlineStr">
        <is>
          <t>IDCW (earlier called Dividend)</t>
        </is>
      </c>
      <c r="C142" t="n">
        <v>19.9</v>
      </c>
      <c r="D142" t="n">
        <v>19.59</v>
      </c>
    </row>
    <row r="143">
      <c r="B143" t="inlineStr">
        <is>
          <t>Regular Plan</t>
        </is>
      </c>
    </row>
    <row r="144">
      <c r="B144" t="inlineStr">
        <is>
          <t>Growth</t>
        </is>
      </c>
      <c r="C144" t="n">
        <v>35.61</v>
      </c>
      <c r="D144" t="n">
        <v>35</v>
      </c>
    </row>
    <row r="145">
      <c r="B145" t="inlineStr">
        <is>
          <t>IDCW (earlier called Dividend)</t>
        </is>
      </c>
      <c r="C145" t="n">
        <v>18.63</v>
      </c>
      <c r="D145" t="n">
        <v>18.31</v>
      </c>
    </row>
    <row r="147">
      <c r="B147" t="inlineStr">
        <is>
          <t>2.   Exposure to derivative instruments in the scheme at the end of the month</t>
        </is>
      </c>
      <c r="D147" t="inlineStr">
        <is>
          <t>NIL</t>
        </is>
      </c>
    </row>
    <row r="149">
      <c r="B149" t="inlineStr">
        <is>
          <t>3.  Derivatives Transactions in the scheme for the month</t>
        </is>
      </c>
      <c r="D149" t="inlineStr">
        <is>
          <t>NIL</t>
        </is>
      </c>
    </row>
    <row r="151">
      <c r="B151" t="inlineStr">
        <is>
          <t>4.   Investment in foreign securities/ADRs/GDRs at the end of the month (INR Lacs)</t>
        </is>
      </c>
      <c r="D151" t="inlineStr">
        <is>
          <t>NIL</t>
        </is>
      </c>
    </row>
    <row r="153">
      <c r="B153" t="inlineStr">
        <is>
          <t>5.   Investment in short term deposits at the end of the month (INR Lacs)</t>
        </is>
      </c>
      <c r="D153" t="inlineStr">
        <is>
          <t>NIL</t>
        </is>
      </c>
    </row>
    <row r="155">
      <c r="B155" t="inlineStr">
        <is>
          <t>6. Portfolio Turnover Ratio</t>
        </is>
      </c>
      <c r="D155" t="n">
        <v>0.28</v>
      </c>
    </row>
    <row r="157">
      <c r="B157" t="inlineStr">
        <is>
          <t>7.   Aggregate IDCW (earlier called Dividend) declared during the month</t>
        </is>
      </c>
      <c r="D157" t="inlineStr">
        <is>
          <t>NIL</t>
        </is>
      </c>
    </row>
    <row r="159">
      <c r="B159" t="inlineStr">
        <is>
          <t>8.   (a) Total Exposure to illiquid securities in the portfolio (INR Lacs)</t>
        </is>
      </c>
      <c r="D159" t="inlineStr">
        <is>
          <t>NIL</t>
        </is>
      </c>
    </row>
    <row r="160">
      <c r="B160" t="inlineStr">
        <is>
          <t xml:space="preserve">     (b) Total Exposure to illiquid securities in the portfolio (% of AUM)</t>
        </is>
      </c>
      <c r="D160" t="inlineStr">
        <is>
          <t>NIL</t>
        </is>
      </c>
    </row>
    <row r="162">
      <c r="B162" t="inlineStr">
        <is>
          <t>9.   Instances of Fair valuation of securities or Deviation in valuation from what is  provided by valuation agencies</t>
        </is>
      </c>
      <c r="D162" t="inlineStr">
        <is>
          <t>NIL</t>
        </is>
      </c>
    </row>
    <row r="164">
      <c r="B164" t="inlineStr">
        <is>
          <t>10. Securities in default beyond its maturity date in the portfolio of the scheme</t>
        </is>
      </c>
      <c r="D164" t="inlineStr">
        <is>
          <t>NIL</t>
        </is>
      </c>
    </row>
    <row r="165">
      <c r="B165" t="inlineStr">
        <is>
          <t xml:space="preserve">11. For Performance of the scheme refer - </t>
        </is>
      </c>
      <c r="C165" t="inlineStr">
        <is>
          <t>PGIM India ELSS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EQUITY SAVINGS FUND</t>
        </is>
      </c>
    </row>
    <row r="2">
      <c r="B2" t="inlineStr">
        <is>
          <t>(An Open Ended Scheme Investing In Equity, Arbitrage And Debt)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Equity Savings Index) </t>
        </is>
      </c>
    </row>
    <row r="9">
      <c r="B9" t="inlineStr">
        <is>
          <t>Investors understand that their 
principal will be at low to moderate risk</t>
        </is>
      </c>
      <c r="E9" t="inlineStr">
        <is>
          <t>Benchmark riskometer is at moderate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67178</v>
      </c>
      <c r="F16" t="n">
        <v>665.87</v>
      </c>
      <c r="G16" t="n">
        <v>9.880000000000001</v>
      </c>
    </row>
    <row r="17">
      <c r="B17" t="inlineStr">
        <is>
          <t>Reliance Industries Ltd.</t>
        </is>
      </c>
      <c r="C17" t="inlineStr">
        <is>
          <t>INE002A01018</t>
        </is>
      </c>
      <c r="D17" t="inlineStr">
        <is>
          <t>Petroleum Products</t>
        </is>
      </c>
      <c r="E17" t="n">
        <v>41793</v>
      </c>
      <c r="F17" t="n">
        <v>656.3200000000001</v>
      </c>
      <c r="G17" t="n">
        <v>9.74</v>
      </c>
    </row>
    <row r="18">
      <c r="B18" t="inlineStr">
        <is>
          <t>Ambuja Cements Ltd.</t>
        </is>
      </c>
      <c r="C18" t="inlineStr">
        <is>
          <t>INE079A01024</t>
        </is>
      </c>
      <c r="D18" t="inlineStr">
        <is>
          <t>Cement &amp; Cement Products</t>
        </is>
      </c>
      <c r="E18" t="n">
        <v>98700</v>
      </c>
      <c r="F18" t="n">
        <v>549.12</v>
      </c>
      <c r="G18" t="n">
        <v>8.15</v>
      </c>
    </row>
    <row r="19">
      <c r="B19" t="inlineStr">
        <is>
          <t>Tata Steel Ltd.</t>
        </is>
      </c>
      <c r="C19" t="inlineStr">
        <is>
          <t>INE081A01020</t>
        </is>
      </c>
      <c r="D19" t="inlineStr">
        <is>
          <t>Ferrous Metals</t>
        </is>
      </c>
      <c r="E19" t="n">
        <v>280500</v>
      </c>
      <c r="F19" t="n">
        <v>505.12</v>
      </c>
      <c r="G19" t="n">
        <v>7.49</v>
      </c>
    </row>
    <row r="20">
      <c r="B20" t="inlineStr">
        <is>
          <t>Bajaj Finance Ltd.</t>
        </is>
      </c>
      <c r="C20" t="inlineStr">
        <is>
          <t>INE296A01032</t>
        </is>
      </c>
      <c r="D20" t="inlineStr">
        <is>
          <t>Finance</t>
        </is>
      </c>
      <c r="E20" t="n">
        <v>50480</v>
      </c>
      <c r="F20" t="n">
        <v>498.14</v>
      </c>
      <c r="G20" t="n">
        <v>7.39</v>
      </c>
    </row>
    <row r="21">
      <c r="B21" t="inlineStr">
        <is>
          <t>Titan Company Ltd.</t>
        </is>
      </c>
      <c r="C21" t="inlineStr">
        <is>
          <t>INE280A01028</t>
        </is>
      </c>
      <c r="D21" t="inlineStr">
        <is>
          <t>Consumer Durables</t>
        </is>
      </c>
      <c r="E21" t="n">
        <v>8598</v>
      </c>
      <c r="F21" t="n">
        <v>348.35</v>
      </c>
      <c r="G21" t="n">
        <v>5.17</v>
      </c>
    </row>
    <row r="22">
      <c r="B22" t="inlineStr">
        <is>
          <t>Adani Ports &amp; Special Economic Zone Ltd.</t>
        </is>
      </c>
      <c r="C22" t="inlineStr">
        <is>
          <t>INE742F01042</t>
        </is>
      </c>
      <c r="D22" t="inlineStr">
        <is>
          <t>Transport Infrastructure</t>
        </is>
      </c>
      <c r="E22" t="n">
        <v>19950</v>
      </c>
      <c r="F22" t="n">
        <v>293.23</v>
      </c>
      <c r="G22" t="n">
        <v>4.35</v>
      </c>
    </row>
    <row r="23">
      <c r="B23" t="inlineStr">
        <is>
          <t>NMDC Ltd.</t>
        </is>
      </c>
      <c r="C23" t="inlineStr">
        <is>
          <t>INE584A01023</t>
        </is>
      </c>
      <c r="D23" t="inlineStr">
        <is>
          <t>Minerals &amp; Mining</t>
        </is>
      </c>
      <c r="E23" t="n">
        <v>324000</v>
      </c>
      <c r="F23" t="n">
        <v>269.47</v>
      </c>
      <c r="G23" t="n">
        <v>4</v>
      </c>
    </row>
    <row r="24">
      <c r="B24" t="inlineStr">
        <is>
          <t>Larsen &amp; Toubro Ltd.</t>
        </is>
      </c>
      <c r="C24" t="inlineStr">
        <is>
          <t>INE018A01030</t>
        </is>
      </c>
      <c r="D24" t="inlineStr">
        <is>
          <t>Construction</t>
        </is>
      </c>
      <c r="E24" t="n">
        <v>4209</v>
      </c>
      <c r="F24" t="n">
        <v>171.87</v>
      </c>
      <c r="G24" t="n">
        <v>2.55</v>
      </c>
    </row>
    <row r="25">
      <c r="B25" t="inlineStr">
        <is>
          <t>Kotak Mahindra Bank Ltd.</t>
        </is>
      </c>
      <c r="C25" t="inlineStr">
        <is>
          <t>INE237A01028</t>
        </is>
      </c>
      <c r="D25" t="inlineStr">
        <is>
          <t>Banks</t>
        </is>
      </c>
      <c r="E25" t="n">
        <v>6800</v>
      </c>
      <c r="F25" t="n">
        <v>149.67</v>
      </c>
      <c r="G25" t="n">
        <v>2.22</v>
      </c>
    </row>
    <row r="26">
      <c r="B26" t="inlineStr">
        <is>
          <t>Bharti Airtel Ltd.</t>
        </is>
      </c>
      <c r="C26" t="inlineStr">
        <is>
          <t>INE397D01024</t>
        </is>
      </c>
      <c r="D26" t="inlineStr">
        <is>
          <t>Telecom - Services</t>
        </is>
      </c>
      <c r="E26" t="n">
        <v>6740</v>
      </c>
      <c r="F26" t="n">
        <v>141.92</v>
      </c>
      <c r="G26" t="n">
        <v>2.11</v>
      </c>
    </row>
    <row r="27">
      <c r="B27" t="inlineStr">
        <is>
          <t>ICICI Bank Ltd.</t>
        </is>
      </c>
      <c r="C27" t="inlineStr">
        <is>
          <t>INE090A01021</t>
        </is>
      </c>
      <c r="D27" t="inlineStr">
        <is>
          <t>Banks</t>
        </is>
      </c>
      <c r="E27" t="n">
        <v>9765</v>
      </c>
      <c r="F27" t="n">
        <v>131.13</v>
      </c>
      <c r="G27" t="n">
        <v>1.95</v>
      </c>
    </row>
    <row r="28">
      <c r="B28" t="inlineStr">
        <is>
          <t>Tata Consultancy Services Ltd.</t>
        </is>
      </c>
      <c r="C28" t="inlineStr">
        <is>
          <t>INE467B01029</t>
        </is>
      </c>
      <c r="D28" t="inlineStr">
        <is>
          <t>IT - Software</t>
        </is>
      </c>
      <c r="E28" t="n">
        <v>2605</v>
      </c>
      <c r="F28" t="n">
        <v>83.52</v>
      </c>
      <c r="G28" t="n">
        <v>1.24</v>
      </c>
    </row>
    <row r="29">
      <c r="B29" t="inlineStr">
        <is>
          <t>TVS Motor Company Ltd.</t>
        </is>
      </c>
      <c r="C29" t="inlineStr">
        <is>
          <t>INE494B01023</t>
        </is>
      </c>
      <c r="D29" t="inlineStr">
        <is>
          <t>Automobiles</t>
        </is>
      </c>
      <c r="E29" t="n">
        <v>1400</v>
      </c>
      <c r="F29" t="n">
        <v>52.08</v>
      </c>
      <c r="G29" t="n">
        <v>0.77</v>
      </c>
    </row>
    <row r="30">
      <c r="B30" t="inlineStr">
        <is>
          <t>VARUN BEVERAGES LIMITED</t>
        </is>
      </c>
      <c r="C30" t="inlineStr">
        <is>
          <t>INE200M01039</t>
        </is>
      </c>
      <c r="D30" t="inlineStr">
        <is>
          <t>Beverages</t>
        </is>
      </c>
      <c r="E30" t="n">
        <v>9362</v>
      </c>
      <c r="F30" t="n">
        <v>45.86</v>
      </c>
      <c r="G30" t="n">
        <v>0.68</v>
      </c>
    </row>
    <row r="31">
      <c r="B31" t="inlineStr">
        <is>
          <t>ICICI Lombard General Insurance Co. Ltd.</t>
        </is>
      </c>
      <c r="C31" t="inlineStr">
        <is>
          <t>INE765G01017</t>
        </is>
      </c>
      <c r="D31" t="inlineStr">
        <is>
          <t>Insurance</t>
        </is>
      </c>
      <c r="E31" t="n">
        <v>2143</v>
      </c>
      <c r="F31" t="n">
        <v>42.05</v>
      </c>
      <c r="G31" t="n">
        <v>0.62</v>
      </c>
    </row>
    <row r="32">
      <c r="B32" t="inlineStr">
        <is>
          <t>Eternal Ltd.</t>
        </is>
      </c>
      <c r="C32" t="inlineStr">
        <is>
          <t>INE758T01015</t>
        </is>
      </c>
      <c r="D32" t="inlineStr">
        <is>
          <t>Retailing</t>
        </is>
      </c>
      <c r="E32" t="n">
        <v>13348</v>
      </c>
      <c r="F32" t="n">
        <v>37.11</v>
      </c>
      <c r="G32" t="n">
        <v>0.55</v>
      </c>
    </row>
    <row r="33">
      <c r="B33" t="inlineStr">
        <is>
          <t>Ultratech Cement Ltd.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304</v>
      </c>
      <c r="F33" t="n">
        <v>35.82</v>
      </c>
      <c r="G33" t="n">
        <v>0.53</v>
      </c>
    </row>
    <row r="34">
      <c r="B34" t="inlineStr">
        <is>
          <t>Muthoot Finance Ltd.</t>
        </is>
      </c>
      <c r="C34" t="inlineStr">
        <is>
          <t>INE414G01012</t>
        </is>
      </c>
      <c r="D34" t="inlineStr">
        <is>
          <t>Finance</t>
        </is>
      </c>
      <c r="E34" t="n">
        <v>890</v>
      </c>
      <c r="F34" t="n">
        <v>33.92</v>
      </c>
      <c r="G34" t="n">
        <v>0.5</v>
      </c>
    </row>
    <row r="35">
      <c r="B35" t="inlineStr">
        <is>
          <t>JB Chemicals &amp; Pharmaceuticals Ltd.</t>
        </is>
      </c>
      <c r="C35" t="inlineStr">
        <is>
          <t>INE572A01036</t>
        </is>
      </c>
      <c r="D35" t="inlineStr">
        <is>
          <t>Pharmaceuticals &amp; Biotechnology</t>
        </is>
      </c>
      <c r="E35" t="n">
        <v>1840</v>
      </c>
      <c r="F35" t="n">
        <v>33.48</v>
      </c>
      <c r="G35" t="n">
        <v>0.5</v>
      </c>
    </row>
    <row r="36">
      <c r="B36" t="inlineStr">
        <is>
          <t>Mahindra &amp; Mahindra Ltd.</t>
        </is>
      </c>
      <c r="C36" t="inlineStr">
        <is>
          <t>INE101A01026</t>
        </is>
      </c>
      <c r="D36" t="inlineStr">
        <is>
          <t>Automobiles</t>
        </is>
      </c>
      <c r="E36" t="n">
        <v>894</v>
      </c>
      <c r="F36" t="n">
        <v>33.16</v>
      </c>
      <c r="G36" t="n">
        <v>0.49</v>
      </c>
    </row>
    <row r="37">
      <c r="B37" t="inlineStr">
        <is>
          <t>Maruti Suzuki India Ltd.</t>
        </is>
      </c>
      <c r="C37" t="inlineStr">
        <is>
          <t>INE585B01010</t>
        </is>
      </c>
      <c r="D37" t="inlineStr">
        <is>
          <t>Automobiles</t>
        </is>
      </c>
      <c r="E37" t="n">
        <v>198</v>
      </c>
      <c r="F37" t="n">
        <v>33.06</v>
      </c>
      <c r="G37" t="n">
        <v>0.49</v>
      </c>
    </row>
    <row r="38">
      <c r="B38" t="inlineStr">
        <is>
          <t>Max Healthcare Institute Ltd.</t>
        </is>
      </c>
      <c r="C38" t="inlineStr">
        <is>
          <t>INE027H01010</t>
        </is>
      </c>
      <c r="D38" t="inlineStr">
        <is>
          <t>Healthcare Services</t>
        </is>
      </c>
      <c r="E38" t="n">
        <v>2746</v>
      </c>
      <c r="F38" t="n">
        <v>28.7</v>
      </c>
      <c r="G38" t="n">
        <v>0.43</v>
      </c>
    </row>
    <row r="39">
      <c r="B39" t="inlineStr">
        <is>
          <t>Persistent Systems Ltd.</t>
        </is>
      </c>
      <c r="C39" t="inlineStr">
        <is>
          <t>INE262H01021</t>
        </is>
      </c>
      <c r="D39" t="inlineStr">
        <is>
          <t>IT - Software</t>
        </is>
      </c>
      <c r="E39" t="n">
        <v>415</v>
      </c>
      <c r="F39" t="n">
        <v>26.03</v>
      </c>
      <c r="G39" t="n">
        <v>0.39</v>
      </c>
    </row>
    <row r="40">
      <c r="B40" t="inlineStr">
        <is>
          <t>Divi's Laboratories Ltd.</t>
        </is>
      </c>
      <c r="C40" t="inlineStr">
        <is>
          <t>INE361B01024</t>
        </is>
      </c>
      <c r="D40" t="inlineStr">
        <is>
          <t>Pharmaceuticals &amp; Biotechnology</t>
        </is>
      </c>
      <c r="E40" t="n">
        <v>370</v>
      </c>
      <c r="F40" t="n">
        <v>23.65</v>
      </c>
      <c r="G40" t="n">
        <v>0.35</v>
      </c>
    </row>
    <row r="41">
      <c r="B41" t="inlineStr">
        <is>
          <t>Solar Industries India Ltd.</t>
        </is>
      </c>
      <c r="C41" t="inlineStr">
        <is>
          <t>INE343H01029</t>
        </is>
      </c>
      <c r="D41" t="inlineStr">
        <is>
          <t>Chemicals &amp; Petrochemicals</t>
        </is>
      </c>
      <c r="E41" t="n">
        <v>185</v>
      </c>
      <c r="F41" t="n">
        <v>22.67</v>
      </c>
      <c r="G41" t="n">
        <v>0.34</v>
      </c>
    </row>
    <row r="42">
      <c r="B42" t="inlineStr">
        <is>
          <t>United Spirits Ltd.</t>
        </is>
      </c>
      <c r="C42" t="inlineStr">
        <is>
          <t>INE854D01024</t>
        </is>
      </c>
      <c r="D42" t="inlineStr">
        <is>
          <t>Beverages</t>
        </is>
      </c>
      <c r="E42" t="n">
        <v>1514</v>
      </c>
      <c r="F42" t="n">
        <v>21.86</v>
      </c>
      <c r="G42" t="n">
        <v>0.32</v>
      </c>
    </row>
    <row r="43">
      <c r="B43" t="inlineStr">
        <is>
          <t>Cummins India Ltd.</t>
        </is>
      </c>
      <c r="C43" t="inlineStr">
        <is>
          <t>INE298A01020</t>
        </is>
      </c>
      <c r="D43" t="inlineStr">
        <is>
          <t>Industrial Products</t>
        </is>
      </c>
      <c r="E43" t="n">
        <v>428</v>
      </c>
      <c r="F43" t="n">
        <v>18.98</v>
      </c>
      <c r="G43" t="n">
        <v>0.28</v>
      </c>
    </row>
    <row r="44">
      <c r="B44" t="inlineStr">
        <is>
          <t>Mankind Pharma Ltd.</t>
        </is>
      </c>
      <c r="C44" t="inlineStr">
        <is>
          <t>INE634S01028</t>
        </is>
      </c>
      <c r="D44" t="inlineStr">
        <is>
          <t>Pharmaceuticals &amp; Biotechnology</t>
        </is>
      </c>
      <c r="E44" t="n">
        <v>860</v>
      </c>
      <c r="F44" t="n">
        <v>18.89</v>
      </c>
      <c r="G44" t="n">
        <v>0.28</v>
      </c>
    </row>
    <row r="45">
      <c r="B45" t="inlineStr">
        <is>
          <t>SRF Ltd.</t>
        </is>
      </c>
      <c r="C45" t="inlineStr">
        <is>
          <t>INE647A01010</t>
        </is>
      </c>
      <c r="D45" t="inlineStr">
        <is>
          <t>Chemicals &amp; Petrochemicals</t>
        </is>
      </c>
      <c r="E45" t="n">
        <v>612</v>
      </c>
      <c r="F45" t="n">
        <v>18.82</v>
      </c>
      <c r="G45" t="n">
        <v>0.28</v>
      </c>
    </row>
    <row r="46">
      <c r="B46" t="inlineStr">
        <is>
          <t>Dixon Technologies (India) Ltd.</t>
        </is>
      </c>
      <c r="C46" t="inlineStr">
        <is>
          <t>INE935N01020</t>
        </is>
      </c>
      <c r="D46" t="inlineStr">
        <is>
          <t>Consumer Durables</t>
        </is>
      </c>
      <c r="E46" t="n">
        <v>135</v>
      </c>
      <c r="F46" t="n">
        <v>16.34</v>
      </c>
      <c r="G46" t="n">
        <v>0.24</v>
      </c>
    </row>
    <row r="47">
      <c r="B47" t="inlineStr">
        <is>
          <t>Samvardhana Motherson International Ltd.</t>
        </is>
      </c>
      <c r="C47" t="inlineStr">
        <is>
          <t>INE775A01035</t>
        </is>
      </c>
      <c r="D47" t="inlineStr">
        <is>
          <t>Auto Components</t>
        </is>
      </c>
      <c r="E47" t="n">
        <v>13000</v>
      </c>
      <c r="F47" t="n">
        <v>15.59</v>
      </c>
      <c r="G47" t="n">
        <v>0.23</v>
      </c>
    </row>
    <row r="48">
      <c r="B48" t="inlineStr">
        <is>
          <t>Axis Bank Ltd.</t>
        </is>
      </c>
      <c r="C48" t="inlineStr">
        <is>
          <t>INE238A01034</t>
        </is>
      </c>
      <c r="D48" t="inlineStr">
        <is>
          <t>Banks</t>
        </is>
      </c>
      <c r="E48" t="n">
        <v>1182</v>
      </c>
      <c r="F48" t="n">
        <v>15</v>
      </c>
      <c r="G48" t="n">
        <v>0.22</v>
      </c>
    </row>
    <row r="49">
      <c r="B49" t="inlineStr">
        <is>
          <t>HDFC Life Insurance Company Ltd.</t>
        </is>
      </c>
      <c r="C49" t="inlineStr">
        <is>
          <t>INE795G01014</t>
        </is>
      </c>
      <c r="D49" t="inlineStr">
        <is>
          <t>Insurance</t>
        </is>
      </c>
      <c r="E49" t="n">
        <v>1494</v>
      </c>
      <c r="F49" t="n">
        <v>11.2</v>
      </c>
      <c r="G49" t="n">
        <v>0.17</v>
      </c>
    </row>
    <row r="50">
      <c r="B50" t="inlineStr">
        <is>
          <t>ICICI Prudential Asset Mgmt Co Ltd.</t>
        </is>
      </c>
      <c r="C50" t="inlineStr">
        <is>
          <t>INE346A01027</t>
        </is>
      </c>
      <c r="D50" t="inlineStr">
        <is>
          <t>Capital Markets</t>
        </is>
      </c>
      <c r="E50" t="n">
        <v>400</v>
      </c>
      <c r="F50" t="n">
        <v>10.64</v>
      </c>
      <c r="G50" t="n">
        <v>0.16</v>
      </c>
    </row>
    <row r="51">
      <c r="B51" t="inlineStr">
        <is>
          <t>Britannia Industries Ltd.</t>
        </is>
      </c>
      <c r="C51" t="inlineStr">
        <is>
          <t>INE216A01030</t>
        </is>
      </c>
      <c r="D51" t="inlineStr">
        <is>
          <t>Food Products</t>
        </is>
      </c>
      <c r="E51" t="n">
        <v>172</v>
      </c>
      <c r="F51" t="n">
        <v>10.37</v>
      </c>
      <c r="G51" t="n">
        <v>0.15</v>
      </c>
    </row>
    <row r="52">
      <c r="B52" t="inlineStr">
        <is>
          <t>LG Electronics India Ltd.</t>
        </is>
      </c>
      <c r="C52" t="inlineStr">
        <is>
          <t>INE324D01010</t>
        </is>
      </c>
      <c r="D52" t="inlineStr">
        <is>
          <t>Consumer Durables</t>
        </is>
      </c>
      <c r="E52" t="n">
        <v>510</v>
      </c>
      <c r="F52" t="n">
        <v>7.76</v>
      </c>
      <c r="G52" t="n">
        <v>0.12</v>
      </c>
    </row>
    <row r="53">
      <c r="B53" t="inlineStr">
        <is>
          <t>KPIT Technologies Ltd.</t>
        </is>
      </c>
      <c r="C53" t="inlineStr">
        <is>
          <t>INE04I401011</t>
        </is>
      </c>
      <c r="D53" t="inlineStr">
        <is>
          <t>IT - Software</t>
        </is>
      </c>
      <c r="E53" t="n">
        <v>590</v>
      </c>
      <c r="F53" t="n">
        <v>6.92</v>
      </c>
      <c r="G53" t="n">
        <v>0.1</v>
      </c>
    </row>
    <row r="54">
      <c r="B54" t="inlineStr">
        <is>
          <t>Hindustan Aeronautics Ltd.</t>
        </is>
      </c>
      <c r="C54" t="inlineStr">
        <is>
          <t>INE066F01020</t>
        </is>
      </c>
      <c r="D54" t="inlineStr">
        <is>
          <t>Aerospace &amp; Defense</t>
        </is>
      </c>
      <c r="E54" t="n">
        <v>156</v>
      </c>
      <c r="F54" t="n">
        <v>6.85</v>
      </c>
      <c r="G54" t="n">
        <v>0.1</v>
      </c>
    </row>
    <row r="55">
      <c r="B55" t="inlineStr">
        <is>
          <t>Sub Total</t>
        </is>
      </c>
      <c r="F55" t="n">
        <v>5090.54</v>
      </c>
      <c r="G55" t="n">
        <v>75.53</v>
      </c>
    </row>
    <row r="57">
      <c r="B57" t="inlineStr">
        <is>
          <t>(b) Unlisted</t>
        </is>
      </c>
    </row>
    <row r="58">
      <c r="F58" t="n">
        <v>0</v>
      </c>
      <c r="G58" t="n">
        <v>0</v>
      </c>
    </row>
    <row r="59">
      <c r="B59" t="inlineStr">
        <is>
          <t>Sub Total</t>
        </is>
      </c>
      <c r="F59" t="inlineStr">
        <is>
          <t>NIL</t>
        </is>
      </c>
      <c r="G59" t="inlineStr">
        <is>
          <t>NIL</t>
        </is>
      </c>
    </row>
    <row r="61">
      <c r="B61" t="inlineStr">
        <is>
          <t>TOTAL</t>
        </is>
      </c>
      <c r="F61" t="n">
        <v>5090.54</v>
      </c>
      <c r="G61" t="n">
        <v>75.53</v>
      </c>
    </row>
    <row r="63">
      <c r="B63" t="inlineStr">
        <is>
          <t>Derivatives  (Index / Stock Futures)</t>
        </is>
      </c>
    </row>
    <row r="64">
      <c r="B64" t="inlineStr">
        <is>
          <t>Ambuja Cements Ltd.</t>
        </is>
      </c>
      <c r="E64" t="n">
        <v>-98700</v>
      </c>
      <c r="F64" t="n">
        <v>-551.73</v>
      </c>
      <c r="G64" t="n">
        <v>-8.18</v>
      </c>
    </row>
    <row r="65">
      <c r="B65" t="inlineStr">
        <is>
          <t>HDFC Bank Ltd.</t>
        </is>
      </c>
      <c r="E65" t="n">
        <v>-53900</v>
      </c>
      <c r="F65" t="n">
        <v>-537.6</v>
      </c>
      <c r="G65" t="n">
        <v>-7.97</v>
      </c>
    </row>
    <row r="66">
      <c r="B66" t="inlineStr">
        <is>
          <t>Reliance Industries Ltd.</t>
        </is>
      </c>
      <c r="E66" t="n">
        <v>-34000</v>
      </c>
      <c r="F66" t="n">
        <v>-536.52</v>
      </c>
      <c r="G66" t="n">
        <v>-7.96</v>
      </c>
    </row>
    <row r="67">
      <c r="B67" t="inlineStr">
        <is>
          <t>Tata Steel Ltd.</t>
        </is>
      </c>
      <c r="E67" t="n">
        <v>-280500</v>
      </c>
      <c r="F67" t="n">
        <v>-507.87</v>
      </c>
      <c r="G67" t="n">
        <v>-7.53</v>
      </c>
    </row>
    <row r="68">
      <c r="B68" t="inlineStr">
        <is>
          <t>Bajaj Finance Ltd.</t>
        </is>
      </c>
      <c r="E68" t="n">
        <v>-45000</v>
      </c>
      <c r="F68" t="n">
        <v>-446.9</v>
      </c>
      <c r="G68" t="n">
        <v>-6.63</v>
      </c>
    </row>
    <row r="69">
      <c r="B69" t="inlineStr">
        <is>
          <t>Titan Company Ltd.</t>
        </is>
      </c>
      <c r="E69" t="n">
        <v>-8050</v>
      </c>
      <c r="F69" t="n">
        <v>-327.25</v>
      </c>
      <c r="G69" t="n">
        <v>-4.85</v>
      </c>
    </row>
    <row r="70">
      <c r="B70" t="inlineStr">
        <is>
          <t>Adani Ports &amp; Special Economic Zone Ltd.</t>
        </is>
      </c>
      <c r="E70" t="n">
        <v>-19950</v>
      </c>
      <c r="F70" t="n">
        <v>-294.98</v>
      </c>
      <c r="G70" t="n">
        <v>-4.38</v>
      </c>
    </row>
    <row r="71">
      <c r="B71" t="inlineStr">
        <is>
          <t>NMDC Ltd.</t>
        </is>
      </c>
      <c r="E71" t="n">
        <v>-324000</v>
      </c>
      <c r="F71" t="n">
        <v>-270.54</v>
      </c>
      <c r="G71" t="n">
        <v>-4.01</v>
      </c>
    </row>
    <row r="72">
      <c r="B72" t="inlineStr">
        <is>
          <t>Kotak Mahindra Bank Ltd.</t>
        </is>
      </c>
      <c r="E72" t="n">
        <v>-6800</v>
      </c>
      <c r="F72" t="n">
        <v>-150.23</v>
      </c>
      <c r="G72" t="n">
        <v>-2.23</v>
      </c>
    </row>
    <row r="73">
      <c r="B73" t="inlineStr">
        <is>
          <t>Larsen &amp; Toubro Ltd.</t>
        </is>
      </c>
      <c r="E73" t="n">
        <v>-2975</v>
      </c>
      <c r="F73" t="n">
        <v>-122.2</v>
      </c>
      <c r="G73" t="n">
        <v>-1.81</v>
      </c>
    </row>
    <row r="74">
      <c r="B74" t="inlineStr">
        <is>
          <t>Bharti Airtel Ltd.</t>
        </is>
      </c>
      <c r="E74" t="n">
        <v>-3800</v>
      </c>
      <c r="F74" t="n">
        <v>-80.52</v>
      </c>
      <c r="G74" t="n">
        <v>-1.19</v>
      </c>
    </row>
    <row r="76">
      <c r="B76" t="inlineStr">
        <is>
          <t>TOTAL</t>
        </is>
      </c>
      <c r="F76" t="n">
        <v>-3826.34</v>
      </c>
      <c r="G76" t="n">
        <v>-56.74</v>
      </c>
    </row>
    <row r="78">
      <c r="B78" t="inlineStr">
        <is>
          <t>Debt Instruments</t>
        </is>
      </c>
    </row>
    <row r="80">
      <c r="B80" t="inlineStr">
        <is>
          <t>(a)Listed / Awaiting listing on stock Exchanges</t>
        </is>
      </c>
    </row>
    <row r="81">
      <c r="B81" t="inlineStr">
        <is>
          <t>7.1% Government of India</t>
        </is>
      </c>
      <c r="C81" t="inlineStr">
        <is>
          <t>IN0020240019</t>
        </is>
      </c>
      <c r="D81" t="inlineStr">
        <is>
          <t>SOVEREIGN</t>
        </is>
      </c>
      <c r="E81" t="n">
        <v>500000</v>
      </c>
      <c r="F81" t="n">
        <v>514.3099999999999</v>
      </c>
      <c r="G81" t="n">
        <v>7.63</v>
      </c>
      <c r="H81" t="n">
        <v>6.7527</v>
      </c>
    </row>
    <row r="82">
      <c r="B82" t="inlineStr">
        <is>
          <t>7.18% Government of India</t>
        </is>
      </c>
      <c r="C82" t="inlineStr">
        <is>
          <t>IN0020230085</t>
        </is>
      </c>
      <c r="D82" t="inlineStr">
        <is>
          <t>SOVEREIGN</t>
        </is>
      </c>
      <c r="E82" t="n">
        <v>300000</v>
      </c>
      <c r="F82" t="n">
        <v>309.53</v>
      </c>
      <c r="G82" t="n">
        <v>4.59</v>
      </c>
      <c r="H82" t="n">
        <v>6.7506</v>
      </c>
    </row>
    <row r="83">
      <c r="B83" t="inlineStr">
        <is>
          <t>8.87% Export Import Bank of India **</t>
        </is>
      </c>
      <c r="C83" t="inlineStr">
        <is>
          <t>INE514E08ED5</t>
        </is>
      </c>
      <c r="D83" t="inlineStr">
        <is>
          <t>CRISIL AAA</t>
        </is>
      </c>
      <c r="E83" t="n">
        <v>200000</v>
      </c>
      <c r="F83" t="n">
        <v>212.99</v>
      </c>
      <c r="G83" t="n">
        <v>3.16</v>
      </c>
      <c r="H83" t="n">
        <v>6.87</v>
      </c>
    </row>
    <row r="84">
      <c r="B84" t="inlineStr">
        <is>
          <t>5.63% Government of India</t>
        </is>
      </c>
      <c r="C84" t="inlineStr">
        <is>
          <t>IN0020210012</t>
        </is>
      </c>
      <c r="D84" t="inlineStr">
        <is>
          <t>SOVEREIGN</t>
        </is>
      </c>
      <c r="E84" t="n">
        <v>150000</v>
      </c>
      <c r="F84" t="n">
        <v>150.05</v>
      </c>
      <c r="G84" t="n">
        <v>2.23</v>
      </c>
      <c r="H84" t="n">
        <v>5.5977</v>
      </c>
    </row>
    <row r="85">
      <c r="B85" t="inlineStr">
        <is>
          <t>8.28% Government of India</t>
        </is>
      </c>
      <c r="C85" t="inlineStr">
        <is>
          <t>IN0020070069</t>
        </is>
      </c>
      <c r="D85" t="inlineStr">
        <is>
          <t>SOVEREIGN</t>
        </is>
      </c>
      <c r="E85" t="n">
        <v>100000</v>
      </c>
      <c r="F85" t="n">
        <v>104.1</v>
      </c>
      <c r="G85" t="n">
        <v>1.54</v>
      </c>
      <c r="H85" t="n">
        <v>5.8224</v>
      </c>
    </row>
    <row r="86">
      <c r="B86" t="inlineStr">
        <is>
          <t>7.98% Bajaj Housing Finance Ltd. **</t>
        </is>
      </c>
      <c r="C86" t="inlineStr">
        <is>
          <t>INE377Y07490</t>
        </is>
      </c>
      <c r="D86" t="inlineStr">
        <is>
          <t>CRISIL AAA</t>
        </is>
      </c>
      <c r="E86" t="n">
        <v>100000</v>
      </c>
      <c r="F86" t="n">
        <v>100.66</v>
      </c>
      <c r="G86" t="n">
        <v>1.49</v>
      </c>
      <c r="H86" t="n">
        <v>6.8107</v>
      </c>
    </row>
    <row r="87">
      <c r="B87" t="inlineStr">
        <is>
          <t>6.54% Government of India</t>
        </is>
      </c>
      <c r="C87" t="inlineStr">
        <is>
          <t>IN0020210244</t>
        </is>
      </c>
      <c r="D87" t="inlineStr">
        <is>
          <t>SOVEREIGN</t>
        </is>
      </c>
      <c r="E87" t="n">
        <v>50000</v>
      </c>
      <c r="F87" t="n">
        <v>49.95</v>
      </c>
      <c r="G87" t="n">
        <v>0.74</v>
      </c>
      <c r="H87" t="n">
        <v>6.667</v>
      </c>
    </row>
    <row r="88">
      <c r="B88" t="inlineStr">
        <is>
          <t>Sub Total</t>
        </is>
      </c>
      <c r="F88" t="n">
        <v>1441.59</v>
      </c>
      <c r="G88" t="n">
        <v>21.38</v>
      </c>
    </row>
    <row r="90">
      <c r="B90" t="inlineStr">
        <is>
          <t>(b)Privately Placed/Unlisted</t>
        </is>
      </c>
    </row>
    <row r="91">
      <c r="F91" t="n">
        <v>0</v>
      </c>
      <c r="G91" t="n">
        <v>0</v>
      </c>
    </row>
    <row r="92">
      <c r="B92" t="inlineStr">
        <is>
          <t>Sub Total</t>
        </is>
      </c>
      <c r="F92" t="inlineStr">
        <is>
          <t>NIL</t>
        </is>
      </c>
      <c r="G92" t="inlineStr">
        <is>
          <t>NIL</t>
        </is>
      </c>
    </row>
    <row r="94">
      <c r="B94" t="inlineStr">
        <is>
          <t>(c)Securitised Debt Instruments</t>
        </is>
      </c>
    </row>
    <row r="95">
      <c r="F95" t="n">
        <v>0</v>
      </c>
      <c r="G95" t="n">
        <v>0</v>
      </c>
    </row>
    <row r="96">
      <c r="B96" t="inlineStr">
        <is>
          <t>Sub Total</t>
        </is>
      </c>
      <c r="F96" t="inlineStr">
        <is>
          <t>NIL</t>
        </is>
      </c>
      <c r="G96" t="inlineStr">
        <is>
          <t>NIL</t>
        </is>
      </c>
    </row>
    <row r="98">
      <c r="B98" t="inlineStr">
        <is>
          <t>TOTAL</t>
        </is>
      </c>
      <c r="F98">
        <f>F88</f>
        <v/>
      </c>
      <c r="G98">
        <f>G88</f>
        <v/>
      </c>
    </row>
    <row r="100">
      <c r="B100" t="inlineStr">
        <is>
          <t>Preference Shares - (Awaiting listing on Stock Exchanges)</t>
        </is>
      </c>
    </row>
    <row r="101">
      <c r="B101" t="inlineStr">
        <is>
          <t>TVS Motor Company Ltd. ** #</t>
        </is>
      </c>
      <c r="C101" t="inlineStr">
        <is>
          <t>INE494B04019</t>
        </is>
      </c>
      <c r="D101" t="inlineStr">
        <is>
          <t>CARE A1+</t>
        </is>
      </c>
      <c r="E101" t="n">
        <v>5600</v>
      </c>
      <c r="F101" t="n">
        <v>0.57</v>
      </c>
      <c r="G101" t="n">
        <v>0.01</v>
      </c>
      <c r="H101" t="n">
        <v>6.105</v>
      </c>
    </row>
    <row r="102">
      <c r="B102" t="inlineStr">
        <is>
          <t>Sub Total</t>
        </is>
      </c>
      <c r="F102" t="n">
        <v>0.57</v>
      </c>
      <c r="G102" t="n">
        <v>0.01</v>
      </c>
    </row>
    <row r="104">
      <c r="B104" t="inlineStr">
        <is>
          <t>TOTAL</t>
        </is>
      </c>
      <c r="F104">
        <f>F101</f>
        <v/>
      </c>
      <c r="G104">
        <f>G101</f>
        <v/>
      </c>
    </row>
    <row r="106">
      <c r="B106" t="inlineStr">
        <is>
          <t>Treps / Reverse Repo</t>
        </is>
      </c>
    </row>
    <row r="107">
      <c r="B107" t="inlineStr">
        <is>
          <t>Clearing Corporation of India Ltd.</t>
        </is>
      </c>
      <c r="F107" t="n">
        <v>178.37</v>
      </c>
      <c r="G107" t="n">
        <v>2.64</v>
      </c>
    </row>
    <row r="108">
      <c r="B108" t="inlineStr">
        <is>
          <t>Sub Total</t>
        </is>
      </c>
      <c r="F108" t="n">
        <v>178.37</v>
      </c>
      <c r="G108" t="n">
        <v>2.64</v>
      </c>
    </row>
    <row r="110">
      <c r="B110" t="inlineStr">
        <is>
          <t>TOTAL</t>
        </is>
      </c>
      <c r="F110" t="n">
        <v>178.37</v>
      </c>
      <c r="G110" t="n">
        <v>2.64</v>
      </c>
    </row>
    <row r="112">
      <c r="B112" t="inlineStr">
        <is>
          <t>Net Receivables / (Payables)</t>
        </is>
      </c>
      <c r="F112" t="n">
        <v>3856.58</v>
      </c>
      <c r="G112" t="n">
        <v>57.18</v>
      </c>
    </row>
    <row r="114">
      <c r="B114" t="inlineStr">
        <is>
          <t>GRAND TOTAL</t>
        </is>
      </c>
      <c r="F114" t="n">
        <v>6741.31</v>
      </c>
      <c r="G114" t="n">
        <v>100</v>
      </c>
    </row>
    <row r="116">
      <c r="B116" t="inlineStr">
        <is>
          <t>#  Unlisted Security</t>
        </is>
      </c>
    </row>
    <row r="117">
      <c r="B117" t="inlineStr">
        <is>
          <t>** Non Traded Security</t>
        </is>
      </c>
    </row>
    <row r="123">
      <c r="B123" t="inlineStr">
        <is>
          <t>Notes:</t>
        </is>
      </c>
    </row>
    <row r="124">
      <c r="B124" t="inlineStr">
        <is>
          <t>1. Plan / Option-wise Net Asset Value per unit are as below :   (Face Value per unit = Rs. 10)</t>
        </is>
      </c>
    </row>
    <row r="125">
      <c r="B125" t="inlineStr">
        <is>
          <t xml:space="preserve">Plan / Option </t>
        </is>
      </c>
      <c r="C125" s="1" t="n">
        <v>45989</v>
      </c>
      <c r="D125" s="1" t="n">
        <v>46022</v>
      </c>
    </row>
    <row r="126">
      <c r="B126" t="inlineStr">
        <is>
          <t>Direct Plan</t>
        </is>
      </c>
      <c r="C126" t="inlineStr">
        <is>
          <t>(INR)</t>
        </is>
      </c>
      <c r="D126" t="inlineStr">
        <is>
          <t>(INR)</t>
        </is>
      </c>
    </row>
    <row r="127">
      <c r="B127" t="inlineStr">
        <is>
          <t>Growth</t>
        </is>
      </c>
      <c r="C127" t="n">
        <v>57.1605</v>
      </c>
      <c r="D127" t="n">
        <v>57.2176</v>
      </c>
    </row>
    <row r="128">
      <c r="B128" t="inlineStr">
        <is>
          <t>Monthly IDCW (earlier called Monthly Dividend)</t>
        </is>
      </c>
      <c r="C128" t="n">
        <v>14.0182</v>
      </c>
      <c r="D128" t="n">
        <v>13.9597</v>
      </c>
    </row>
    <row r="129">
      <c r="B129" t="inlineStr">
        <is>
          <t>Annual IDCW (earlier called Annual Dividend)</t>
        </is>
      </c>
      <c r="C129" t="n">
        <v>16.4329</v>
      </c>
      <c r="D129" t="n">
        <v>16.4511</v>
      </c>
    </row>
    <row r="130">
      <c r="B130" t="inlineStr">
        <is>
          <t>Regular Plan</t>
        </is>
      </c>
    </row>
    <row r="131">
      <c r="B131" t="inlineStr">
        <is>
          <t>Growth</t>
        </is>
      </c>
      <c r="C131" t="n">
        <v>50.3275</v>
      </c>
      <c r="D131" t="n">
        <v>50.344</v>
      </c>
    </row>
    <row r="132">
      <c r="B132" t="inlineStr">
        <is>
          <t>Monthly IDCW (earlier called Monthly Dividend)</t>
        </is>
      </c>
      <c r="C132" t="n">
        <v>12.7485</v>
      </c>
      <c r="D132" t="n">
        <v>12.6872</v>
      </c>
    </row>
    <row r="133">
      <c r="B133" t="inlineStr">
        <is>
          <t>Annual IDCW (earlier called Annual Dividend)</t>
        </is>
      </c>
      <c r="C133" t="n">
        <v>15.4657</v>
      </c>
      <c r="D133" t="n">
        <v>15.4707</v>
      </c>
    </row>
    <row r="135">
      <c r="B135" t="inlineStr">
        <is>
          <t>2.   Exposure to derivative instruments in the scheme at the end of the month</t>
        </is>
      </c>
    </row>
    <row r="136">
      <c r="C136" t="inlineStr">
        <is>
          <t>Futures</t>
        </is>
      </c>
      <c r="D136" t="inlineStr">
        <is>
          <t>Put Options</t>
        </is>
      </c>
      <c r="E136" t="inlineStr">
        <is>
          <t>Swaps</t>
        </is>
      </c>
    </row>
    <row r="137">
      <c r="B137" t="inlineStr">
        <is>
          <t>a) Hedging Positions</t>
        </is>
      </c>
      <c r="C137" t="inlineStr">
        <is>
          <t>Refer Annexure 1  below</t>
        </is>
      </c>
      <c r="D137" t="inlineStr">
        <is>
          <t>NIL</t>
        </is>
      </c>
      <c r="E137" t="inlineStr">
        <is>
          <t>N.A.</t>
        </is>
      </c>
    </row>
    <row r="138">
      <c r="B138" t="inlineStr">
        <is>
          <t>b) Positions other than (a) above</t>
        </is>
      </c>
      <c r="C138" t="inlineStr">
        <is>
          <t>NIL</t>
        </is>
      </c>
      <c r="D138" t="inlineStr">
        <is>
          <t>NIL</t>
        </is>
      </c>
      <c r="E138" t="inlineStr">
        <is>
          <t>N.A.</t>
        </is>
      </c>
    </row>
    <row r="140">
      <c r="B140" t="inlineStr">
        <is>
          <t>3.  Derivatives Transactions in the scheme for the month</t>
        </is>
      </c>
    </row>
    <row r="141">
      <c r="B141" t="inlineStr">
        <is>
          <t>Futures</t>
        </is>
      </c>
      <c r="C141" t="inlineStr">
        <is>
          <t>Buy</t>
        </is>
      </c>
      <c r="E141" t="inlineStr">
        <is>
          <t>Sell</t>
        </is>
      </c>
    </row>
    <row r="142">
      <c r="C142" t="inlineStr">
        <is>
          <t>Count</t>
        </is>
      </c>
      <c r="D142" t="inlineStr">
        <is>
          <t>Value (INR Lacs)</t>
        </is>
      </c>
      <c r="E142" t="inlineStr">
        <is>
          <t>Count</t>
        </is>
      </c>
      <c r="F142" t="inlineStr">
        <is>
          <t>Value (INR Lacs)</t>
        </is>
      </c>
    </row>
    <row r="143">
      <c r="B143" t="inlineStr">
        <is>
          <t>a) Hedging Positions squared off  / expired</t>
        </is>
      </c>
      <c r="C143" t="n">
        <v>549</v>
      </c>
      <c r="D143" t="n">
        <v>3752.8008594</v>
      </c>
      <c r="E143" t="n">
        <v>0</v>
      </c>
      <c r="F143" t="n">
        <v>0</v>
      </c>
    </row>
    <row r="144">
      <c r="B144" t="inlineStr">
        <is>
          <t>b) Trades other than (a) above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B145" t="inlineStr">
        <is>
          <t>Net Profit / Loss on above    :</t>
        </is>
      </c>
      <c r="F145" t="n">
        <v>-12.9727319</v>
      </c>
    </row>
    <row r="146">
      <c r="B146" t="inlineStr">
        <is>
          <t>Options</t>
        </is>
      </c>
      <c r="C146" t="inlineStr">
        <is>
          <t>Buy</t>
        </is>
      </c>
      <c r="E146" t="inlineStr">
        <is>
          <t>Sell</t>
        </is>
      </c>
    </row>
    <row r="147">
      <c r="C147" t="inlineStr">
        <is>
          <t>Count</t>
        </is>
      </c>
      <c r="D147" t="inlineStr">
        <is>
          <t>Value (INR Lacs)</t>
        </is>
      </c>
      <c r="E147" t="inlineStr">
        <is>
          <t>Count</t>
        </is>
      </c>
      <c r="F147" t="inlineStr">
        <is>
          <t>Value (INR Lacs)</t>
        </is>
      </c>
    </row>
    <row r="148">
      <c r="B148" t="inlineStr">
        <is>
          <t>a) Hedging Positions squared off  / expired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B149" t="inlineStr">
        <is>
          <t>b) Trades other than (a) above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B150" t="inlineStr">
        <is>
          <t>Net Profit / Loss on above    :</t>
        </is>
      </c>
      <c r="F150" t="n">
        <v>0</v>
      </c>
    </row>
    <row r="151">
      <c r="B151" t="inlineStr">
        <is>
          <t>Swaps</t>
        </is>
      </c>
      <c r="C151" t="inlineStr">
        <is>
          <t>Buy</t>
        </is>
      </c>
      <c r="E151" t="inlineStr">
        <is>
          <t>Sell</t>
        </is>
      </c>
    </row>
    <row r="152">
      <c r="C152" t="inlineStr">
        <is>
          <t>Count</t>
        </is>
      </c>
      <c r="D152" t="inlineStr">
        <is>
          <t>Value (INR Lacs)</t>
        </is>
      </c>
      <c r="E152" t="inlineStr">
        <is>
          <t>Count</t>
        </is>
      </c>
      <c r="F152" t="inlineStr">
        <is>
          <t>Value (INR Lacs)</t>
        </is>
      </c>
    </row>
    <row r="153">
      <c r="B153" t="inlineStr">
        <is>
          <t>a) Hedging Positions squared off  / expired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B154" t="inlineStr">
        <is>
          <t>b) Trades other than (a) above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B155" t="inlineStr">
        <is>
          <t>Net Profit / Loss on above    :</t>
        </is>
      </c>
      <c r="F155" t="n">
        <v>0</v>
      </c>
    </row>
    <row r="157">
      <c r="B157" t="inlineStr">
        <is>
          <t>4.   Investment in foreign securities/ADRs/GDRs at the end of the month (INR Lacs)</t>
        </is>
      </c>
      <c r="D157" t="inlineStr">
        <is>
          <t>NIL</t>
        </is>
      </c>
    </row>
    <row r="159">
      <c r="B159" t="inlineStr">
        <is>
          <t>5.   Investment in short term deposits at the end of the month (INR Lacs)</t>
        </is>
      </c>
      <c r="D159" t="inlineStr">
        <is>
          <t>NIL</t>
        </is>
      </c>
    </row>
    <row r="161">
      <c r="B161" t="inlineStr">
        <is>
          <t>6. Portfolio Turnover Ratio</t>
        </is>
      </c>
      <c r="D161" t="n">
        <v>0.02</v>
      </c>
    </row>
    <row r="163">
      <c r="B163" t="inlineStr">
        <is>
          <t>7.   Aggregate IDCW (earlier called Dividend) declared during the month</t>
        </is>
      </c>
    </row>
    <row r="164">
      <c r="B164" t="inlineStr">
        <is>
          <t>Plan/Option</t>
        </is>
      </c>
      <c r="C164" t="inlineStr">
        <is>
          <t>Dividend Rate</t>
        </is>
      </c>
    </row>
    <row r="165">
      <c r="B165" t="inlineStr">
        <is>
          <t>Direct Plan</t>
        </is>
      </c>
    </row>
    <row r="166">
      <c r="B166" t="inlineStr">
        <is>
          <t>Monthly IDCW (earlier called monthly dividend)</t>
        </is>
      </c>
      <c r="C166" t="n">
        <v>0.0718</v>
      </c>
    </row>
    <row r="167">
      <c r="B167" t="inlineStr">
        <is>
          <t>Regular Plan</t>
        </is>
      </c>
    </row>
    <row r="168">
      <c r="B168" t="inlineStr">
        <is>
          <t>Monthly IDCW (earlier called monthly dividend)</t>
        </is>
      </c>
      <c r="C168" t="n">
        <v>0.0653</v>
      </c>
    </row>
    <row r="169">
      <c r="B169" t="inlineStr">
        <is>
          <t>IDCWs are declared on face value. After distribution of IDCW, the NAV falls to the extent of IDCW and statutory levy (if applicable).</t>
        </is>
      </c>
    </row>
    <row r="171">
      <c r="B171" t="inlineStr">
        <is>
          <t>8.   (a) Total Exposure to illiquid securities in the portfolio (INR Lacs)</t>
        </is>
      </c>
      <c r="D171" t="inlineStr">
        <is>
          <t>NIL</t>
        </is>
      </c>
    </row>
    <row r="172">
      <c r="B172" t="inlineStr">
        <is>
          <t xml:space="preserve">     (b) Total Exposure to illiquid securities in the portfolio (% of AUM)</t>
        </is>
      </c>
      <c r="D172" t="inlineStr">
        <is>
          <t>NIL</t>
        </is>
      </c>
    </row>
    <row r="174">
      <c r="B174" t="inlineStr">
        <is>
          <t>9.   Instances of Fair valuation of securities or Deviation in valuation from what is  provided by valuation agencies</t>
        </is>
      </c>
      <c r="D174" t="inlineStr">
        <is>
          <t>NIL</t>
        </is>
      </c>
    </row>
    <row r="176">
      <c r="B176" t="inlineStr">
        <is>
          <t>10. Securities in default beyond its maturity date in the portfolio of the scheme</t>
        </is>
      </c>
      <c r="D176" t="inlineStr">
        <is>
          <t>NIL</t>
        </is>
      </c>
    </row>
    <row r="177">
      <c r="B177" t="inlineStr">
        <is>
          <t xml:space="preserve">11. For Performance of the scheme refer - </t>
        </is>
      </c>
      <c r="C177" t="inlineStr">
        <is>
          <t xml:space="preserve">PGIM India Equity Savings Fund </t>
        </is>
      </c>
    </row>
    <row r="178">
      <c r="B178" t="inlineStr">
        <is>
          <t>Annexure 1</t>
        </is>
      </c>
    </row>
    <row r="179">
      <c r="B179" t="inlineStr">
        <is>
          <t>Underlying</t>
        </is>
      </c>
      <c r="C179" t="inlineStr">
        <is>
          <t>Long / short</t>
        </is>
      </c>
      <c r="D179" t="inlineStr">
        <is>
          <t>Futures price when purchased</t>
        </is>
      </c>
      <c r="E179" t="inlineStr">
        <is>
          <t>Current Price of the contract</t>
        </is>
      </c>
      <c r="F179" t="inlineStr">
        <is>
          <t>Margin maintained in Rs. Lakhs</t>
        </is>
      </c>
    </row>
    <row r="180">
      <c r="B180" t="inlineStr">
        <is>
          <t>Adani Ports &amp; Special Economic Zone Ltd.</t>
        </is>
      </c>
      <c r="C180" t="inlineStr">
        <is>
          <t>short</t>
        </is>
      </c>
      <c r="D180" t="n">
        <v>1471.4357</v>
      </c>
      <c r="E180" t="n">
        <v>1478.6</v>
      </c>
      <c r="F180" t="n">
        <v>56.6362944</v>
      </c>
    </row>
    <row r="181">
      <c r="B181" t="inlineStr">
        <is>
          <t>Ambuja Cements Ltd.</t>
        </is>
      </c>
      <c r="C181" t="inlineStr">
        <is>
          <t>short</t>
        </is>
      </c>
      <c r="D181" t="n">
        <v>554.4223</v>
      </c>
      <c r="E181" t="n">
        <v>559</v>
      </c>
      <c r="F181" t="n">
        <v>97.4360478</v>
      </c>
    </row>
    <row r="182">
      <c r="B182" t="inlineStr">
        <is>
          <t>Bajaj Finance Ltd.</t>
        </is>
      </c>
      <c r="C182" t="inlineStr">
        <is>
          <t>short</t>
        </is>
      </c>
      <c r="D182" t="n">
        <v>999.7283</v>
      </c>
      <c r="E182" t="n">
        <v>993.1</v>
      </c>
      <c r="F182" t="n">
        <v>78.832278</v>
      </c>
    </row>
    <row r="183">
      <c r="B183" t="inlineStr">
        <is>
          <t>Bharti Airtel Ltd.</t>
        </is>
      </c>
      <c r="C183" t="inlineStr">
        <is>
          <t>short</t>
        </is>
      </c>
      <c r="D183" t="n">
        <v>2106.6</v>
      </c>
      <c r="E183" t="n">
        <v>2118.9</v>
      </c>
      <c r="F183" t="n">
        <v>14.2034105</v>
      </c>
    </row>
    <row r="184">
      <c r="B184" t="inlineStr">
        <is>
          <t>HDFC Bank Ltd.</t>
        </is>
      </c>
      <c r="C184" t="inlineStr">
        <is>
          <t>short</t>
        </is>
      </c>
      <c r="D184" t="n">
        <v>993.1887</v>
      </c>
      <c r="E184" t="n">
        <v>997.4</v>
      </c>
      <c r="F184" t="n">
        <v>94.832393</v>
      </c>
    </row>
    <row r="185">
      <c r="B185" t="inlineStr">
        <is>
          <t>Kotak Mahindra Bank Ltd.</t>
        </is>
      </c>
      <c r="C185" t="inlineStr">
        <is>
          <t>short</t>
        </is>
      </c>
      <c r="D185" t="n">
        <v>2173.9</v>
      </c>
      <c r="E185" t="n">
        <v>2209.2</v>
      </c>
      <c r="F185" t="n">
        <v>26.5448635</v>
      </c>
    </row>
    <row r="186">
      <c r="B186" t="inlineStr">
        <is>
          <t>Larsen &amp; Toubro Ltd.</t>
        </is>
      </c>
      <c r="C186" t="inlineStr">
        <is>
          <t>short</t>
        </is>
      </c>
      <c r="D186" t="n">
        <v>4075.4</v>
      </c>
      <c r="E186" t="n">
        <v>4107.5</v>
      </c>
      <c r="F186" t="n">
        <v>21.5557493</v>
      </c>
    </row>
    <row r="187">
      <c r="B187" t="inlineStr">
        <is>
          <t>NMDC Ltd.</t>
        </is>
      </c>
      <c r="C187" t="inlineStr">
        <is>
          <t>short</t>
        </is>
      </c>
      <c r="D187" t="n">
        <v>81.14</v>
      </c>
      <c r="E187" t="n">
        <v>83.5</v>
      </c>
      <c r="F187" t="n">
        <v>95.175972</v>
      </c>
    </row>
    <row r="188">
      <c r="B188" t="inlineStr">
        <is>
          <t>Reliance Industries Ltd.</t>
        </is>
      </c>
      <c r="C188" t="inlineStr">
        <is>
          <t>short</t>
        </is>
      </c>
      <c r="D188" t="n">
        <v>1558.2</v>
      </c>
      <c r="E188" t="n">
        <v>1578</v>
      </c>
      <c r="F188" t="n">
        <v>94.749432</v>
      </c>
    </row>
    <row r="189">
      <c r="B189" t="inlineStr">
        <is>
          <t>Tata Steel Ltd.</t>
        </is>
      </c>
      <c r="C189" t="inlineStr">
        <is>
          <t>short</t>
        </is>
      </c>
      <c r="D189" t="n">
        <v>173.035</v>
      </c>
      <c r="E189" t="n">
        <v>181.06</v>
      </c>
      <c r="F189" t="n">
        <v>91.11247</v>
      </c>
    </row>
    <row r="190">
      <c r="B190" t="inlineStr">
        <is>
          <t>Titan Company Ltd.</t>
        </is>
      </c>
      <c r="C190" t="inlineStr">
        <is>
          <t>short</t>
        </is>
      </c>
      <c r="D190" t="n">
        <v>4027.2804</v>
      </c>
      <c r="E190" t="n">
        <v>4065.2</v>
      </c>
      <c r="F190" t="n">
        <v>57.8575525</v>
      </c>
    </row>
    <row r="192">
      <c r="B192" t="inlineStr">
        <is>
          <t xml:space="preserve">Total %age in of existing assets hedged through futures : </t>
        </is>
      </c>
      <c r="C192">
        <f>G76/100*-1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FLEXI CAP FUND</t>
        </is>
      </c>
    </row>
    <row r="2">
      <c r="B2" t="inlineStr">
        <is>
          <t>(An Open Ended Dynamic Equity Scheme Investing Across Large
Cap, Mid Cap,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TR Index)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5754506</v>
      </c>
      <c r="F16" t="n">
        <v>57038.66</v>
      </c>
      <c r="G16" t="n">
        <v>9.1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3774039</v>
      </c>
      <c r="F17" t="n">
        <v>50681.57</v>
      </c>
      <c r="G17" t="n">
        <v>8.09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2101358</v>
      </c>
      <c r="F18" t="n">
        <v>32999.73</v>
      </c>
      <c r="G18" t="n">
        <v>5.26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1047598</v>
      </c>
      <c r="F19" t="n">
        <v>22058.22</v>
      </c>
      <c r="G19" t="n">
        <v>3.52</v>
      </c>
    </row>
    <row r="20">
      <c r="B20" t="inlineStr">
        <is>
          <t>TVS Motor Company Ltd.</t>
        </is>
      </c>
      <c r="C20" t="inlineStr">
        <is>
          <t>INE494B01023</t>
        </is>
      </c>
      <c r="D20" t="inlineStr">
        <is>
          <t>Automobiles</t>
        </is>
      </c>
      <c r="E20" t="n">
        <v>518671</v>
      </c>
      <c r="F20" t="n">
        <v>19293.52</v>
      </c>
      <c r="G20" t="n">
        <v>3.08</v>
      </c>
    </row>
    <row r="21">
      <c r="B21" t="inlineStr">
        <is>
          <t>Eternal Ltd.</t>
        </is>
      </c>
      <c r="C21" t="inlineStr">
        <is>
          <t>INE758T01015</t>
        </is>
      </c>
      <c r="D21" t="inlineStr">
        <is>
          <t>Retailing</t>
        </is>
      </c>
      <c r="E21" t="n">
        <v>6449726</v>
      </c>
      <c r="F21" t="n">
        <v>17933.46</v>
      </c>
      <c r="G21" t="n">
        <v>2.86</v>
      </c>
    </row>
    <row r="22">
      <c r="B22" t="inlineStr">
        <is>
          <t>Tata Consultancy Services Ltd.</t>
        </is>
      </c>
      <c r="C22" t="inlineStr">
        <is>
          <t>INE467B01029</t>
        </is>
      </c>
      <c r="D22" t="inlineStr">
        <is>
          <t>IT - Software</t>
        </is>
      </c>
      <c r="E22" t="n">
        <v>547696</v>
      </c>
      <c r="F22" t="n">
        <v>17560.23</v>
      </c>
      <c r="G22" t="n">
        <v>2.8</v>
      </c>
    </row>
    <row r="23">
      <c r="B23" t="inlineStr">
        <is>
          <t>VARUN BEVERAGES LIMITED</t>
        </is>
      </c>
      <c r="C23" t="inlineStr">
        <is>
          <t>INE200M01039</t>
        </is>
      </c>
      <c r="D23" t="inlineStr">
        <is>
          <t>Beverages</t>
        </is>
      </c>
      <c r="E23" t="n">
        <v>3321627</v>
      </c>
      <c r="F23" t="n">
        <v>16270.99</v>
      </c>
      <c r="G23" t="n">
        <v>2.6</v>
      </c>
    </row>
    <row r="24">
      <c r="B24" t="inlineStr">
        <is>
          <t>Muthoot Finance Ltd.</t>
        </is>
      </c>
      <c r="C24" t="inlineStr">
        <is>
          <t>INE414G01012</t>
        </is>
      </c>
      <c r="D24" t="inlineStr">
        <is>
          <t>Finance</t>
        </is>
      </c>
      <c r="E24" t="n">
        <v>399676</v>
      </c>
      <c r="F24" t="n">
        <v>15234.45</v>
      </c>
      <c r="G24" t="n">
        <v>2.43</v>
      </c>
    </row>
    <row r="25">
      <c r="B25" t="inlineStr">
        <is>
          <t>Persistent Systems Ltd.</t>
        </is>
      </c>
      <c r="C25" t="inlineStr">
        <is>
          <t>INE262H01021</t>
        </is>
      </c>
      <c r="D25" t="inlineStr">
        <is>
          <t>IT - Software</t>
        </is>
      </c>
      <c r="E25" t="n">
        <v>238006</v>
      </c>
      <c r="F25" t="n">
        <v>14927.74</v>
      </c>
      <c r="G25" t="n">
        <v>2.38</v>
      </c>
    </row>
    <row r="26">
      <c r="B26" t="inlineStr">
        <is>
          <t>Bajaj Finance Ltd.</t>
        </is>
      </c>
      <c r="C26" t="inlineStr">
        <is>
          <t>INE296A01032</t>
        </is>
      </c>
      <c r="D26" t="inlineStr">
        <is>
          <t>Finance</t>
        </is>
      </c>
      <c r="E26" t="n">
        <v>1322600</v>
      </c>
      <c r="F26" t="n">
        <v>13051.42</v>
      </c>
      <c r="G26" t="n">
        <v>2.08</v>
      </c>
    </row>
    <row r="27">
      <c r="B27" t="inlineStr">
        <is>
          <t>Mahindra &amp; Mahindra Ltd.</t>
        </is>
      </c>
      <c r="C27" t="inlineStr">
        <is>
          <t>INE101A01026</t>
        </is>
      </c>
      <c r="D27" t="inlineStr">
        <is>
          <t>Automobiles</t>
        </is>
      </c>
      <c r="E27" t="n">
        <v>350000</v>
      </c>
      <c r="F27" t="n">
        <v>12982.2</v>
      </c>
      <c r="G27" t="n">
        <v>2.07</v>
      </c>
    </row>
    <row r="28">
      <c r="B28" t="inlineStr">
        <is>
          <t>Larsen &amp; Toubro Ltd.</t>
        </is>
      </c>
      <c r="C28" t="inlineStr">
        <is>
          <t>INE018A01030</t>
        </is>
      </c>
      <c r="D28" t="inlineStr">
        <is>
          <t>Construction</t>
        </is>
      </c>
      <c r="E28" t="n">
        <v>298569</v>
      </c>
      <c r="F28" t="n">
        <v>12192.07</v>
      </c>
      <c r="G28" t="n">
        <v>1.95</v>
      </c>
    </row>
    <row r="29">
      <c r="B29" t="inlineStr">
        <is>
          <t>Multi Commodity Exchange Of India Ltd.</t>
        </is>
      </c>
      <c r="C29" t="inlineStr">
        <is>
          <t>INE745G01035</t>
        </is>
      </c>
      <c r="D29" t="inlineStr">
        <is>
          <t>Capital Markets</t>
        </is>
      </c>
      <c r="E29" t="n">
        <v>108770</v>
      </c>
      <c r="F29" t="n">
        <v>12112.63</v>
      </c>
      <c r="G29" t="n">
        <v>1.93</v>
      </c>
    </row>
    <row r="30">
      <c r="B30" t="inlineStr">
        <is>
          <t>Titan Company Ltd.</t>
        </is>
      </c>
      <c r="C30" t="inlineStr">
        <is>
          <t>INE280A01028</t>
        </is>
      </c>
      <c r="D30" t="inlineStr">
        <is>
          <t>Consumer Durables</t>
        </is>
      </c>
      <c r="E30" t="n">
        <v>248965</v>
      </c>
      <c r="F30" t="n">
        <v>10086.82</v>
      </c>
      <c r="G30" t="n">
        <v>1.61</v>
      </c>
    </row>
    <row r="31">
      <c r="B31" t="inlineStr">
        <is>
          <t>JK Cement Ltd.</t>
        </is>
      </c>
      <c r="C31" t="inlineStr">
        <is>
          <t>INE823G01014</t>
        </is>
      </c>
      <c r="D31" t="inlineStr">
        <is>
          <t>Cement &amp; Cement Products</t>
        </is>
      </c>
      <c r="E31" t="n">
        <v>176109</v>
      </c>
      <c r="F31" t="n">
        <v>9740.59</v>
      </c>
      <c r="G31" t="n">
        <v>1.55</v>
      </c>
    </row>
    <row r="32">
      <c r="B32" t="inlineStr">
        <is>
          <t>Divi's Laboratories Ltd.</t>
        </is>
      </c>
      <c r="C32" t="inlineStr">
        <is>
          <t>INE361B01024</t>
        </is>
      </c>
      <c r="D32" t="inlineStr">
        <is>
          <t>Pharmaceuticals &amp; Biotechnology</t>
        </is>
      </c>
      <c r="E32" t="n">
        <v>150718</v>
      </c>
      <c r="F32" t="n">
        <v>9634.65</v>
      </c>
      <c r="G32" t="n">
        <v>1.54</v>
      </c>
    </row>
    <row r="33">
      <c r="B33" t="inlineStr">
        <is>
          <t>Max Healthcare Institute Ltd.</t>
        </is>
      </c>
      <c r="C33" t="inlineStr">
        <is>
          <t>INE027H01010</t>
        </is>
      </c>
      <c r="D33" t="inlineStr">
        <is>
          <t>Healthcare Services</t>
        </is>
      </c>
      <c r="E33" t="n">
        <v>868025</v>
      </c>
      <c r="F33" t="n">
        <v>9071.73</v>
      </c>
      <c r="G33" t="n">
        <v>1.45</v>
      </c>
    </row>
    <row r="34">
      <c r="B34" t="inlineStr">
        <is>
          <t>UNO Minda Ltd.</t>
        </is>
      </c>
      <c r="C34" t="inlineStr">
        <is>
          <t>INE405E01023</t>
        </is>
      </c>
      <c r="D34" t="inlineStr">
        <is>
          <t>Auto Components</t>
        </is>
      </c>
      <c r="E34" t="n">
        <v>692368</v>
      </c>
      <c r="F34" t="n">
        <v>8902.469999999999</v>
      </c>
      <c r="G34" t="n">
        <v>1.42</v>
      </c>
    </row>
    <row r="35">
      <c r="B35" t="inlineStr">
        <is>
          <t>NTPC Ltd.</t>
        </is>
      </c>
      <c r="C35" t="inlineStr">
        <is>
          <t>INE733E01010</t>
        </is>
      </c>
      <c r="D35" t="inlineStr">
        <is>
          <t>Power</t>
        </is>
      </c>
      <c r="E35" t="n">
        <v>2579536</v>
      </c>
      <c r="F35" t="n">
        <v>8500.860000000001</v>
      </c>
      <c r="G35" t="n">
        <v>1.36</v>
      </c>
    </row>
    <row r="36">
      <c r="B36" t="inlineStr">
        <is>
          <t>ICICI Lombard General Insurance Co. Ltd.</t>
        </is>
      </c>
      <c r="C36" t="inlineStr">
        <is>
          <t>INE765G01017</t>
        </is>
      </c>
      <c r="D36" t="inlineStr">
        <is>
          <t>Insurance</t>
        </is>
      </c>
      <c r="E36" t="n">
        <v>429788</v>
      </c>
      <c r="F36" t="n">
        <v>8432.870000000001</v>
      </c>
      <c r="G36" t="n">
        <v>1.35</v>
      </c>
    </row>
    <row r="37">
      <c r="B37" t="inlineStr">
        <is>
          <t>Blue Star Ltd.</t>
        </is>
      </c>
      <c r="C37" t="inlineStr">
        <is>
          <t>INE472A01039</t>
        </is>
      </c>
      <c r="D37" t="inlineStr">
        <is>
          <t>Consumer Durables</t>
        </is>
      </c>
      <c r="E37" t="n">
        <v>474500</v>
      </c>
      <c r="F37" t="n">
        <v>8212.17</v>
      </c>
      <c r="G37" t="n">
        <v>1.31</v>
      </c>
    </row>
    <row r="38">
      <c r="B38" t="inlineStr">
        <is>
          <t>Vishal Mega Mart Ltd</t>
        </is>
      </c>
      <c r="C38" t="inlineStr">
        <is>
          <t>INE01EA01019</t>
        </is>
      </c>
      <c r="D38" t="inlineStr">
        <is>
          <t>Retailing</t>
        </is>
      </c>
      <c r="E38" t="n">
        <v>6015554</v>
      </c>
      <c r="F38" t="n">
        <v>8203.41</v>
      </c>
      <c r="G38" t="n">
        <v>1.31</v>
      </c>
    </row>
    <row r="39">
      <c r="B39" t="inlineStr">
        <is>
          <t>Dixon Technologies (India) Ltd.</t>
        </is>
      </c>
      <c r="C39" t="inlineStr">
        <is>
          <t>INE935N01020</t>
        </is>
      </c>
      <c r="D39" t="inlineStr">
        <is>
          <t>Consumer Durables</t>
        </is>
      </c>
      <c r="E39" t="n">
        <v>66239</v>
      </c>
      <c r="F39" t="n">
        <v>8016.24</v>
      </c>
      <c r="G39" t="n">
        <v>1.28</v>
      </c>
    </row>
    <row r="40">
      <c r="B40" t="inlineStr">
        <is>
          <t>Solar Industries India Ltd.</t>
        </is>
      </c>
      <c r="C40" t="inlineStr">
        <is>
          <t>INE343H01029</t>
        </is>
      </c>
      <c r="D40" t="inlineStr">
        <is>
          <t>Chemicals &amp; Petrochemicals</t>
        </is>
      </c>
      <c r="E40" t="n">
        <v>64125</v>
      </c>
      <c r="F40" t="n">
        <v>7856.6</v>
      </c>
      <c r="G40" t="n">
        <v>1.25</v>
      </c>
    </row>
    <row r="41">
      <c r="B41" t="inlineStr">
        <is>
          <t>Cummins India Ltd.</t>
        </is>
      </c>
      <c r="C41" t="inlineStr">
        <is>
          <t>INE298A01020</t>
        </is>
      </c>
      <c r="D41" t="inlineStr">
        <is>
          <t>Industrial Products</t>
        </is>
      </c>
      <c r="E41" t="n">
        <v>175008</v>
      </c>
      <c r="F41" t="n">
        <v>7760.55</v>
      </c>
      <c r="G41" t="n">
        <v>1.24</v>
      </c>
    </row>
    <row r="42">
      <c r="B42" t="inlineStr">
        <is>
          <t>Britannia Industries Ltd.</t>
        </is>
      </c>
      <c r="C42" t="inlineStr">
        <is>
          <t>INE216A01030</t>
        </is>
      </c>
      <c r="D42" t="inlineStr">
        <is>
          <t>Food Products</t>
        </is>
      </c>
      <c r="E42" t="n">
        <v>128099</v>
      </c>
      <c r="F42" t="n">
        <v>7725.65</v>
      </c>
      <c r="G42" t="n">
        <v>1.23</v>
      </c>
    </row>
    <row r="43">
      <c r="B43" t="inlineStr">
        <is>
          <t>Sagility Ltd.</t>
        </is>
      </c>
      <c r="C43" t="inlineStr">
        <is>
          <t>INE0W2G01015</t>
        </is>
      </c>
      <c r="D43" t="inlineStr">
        <is>
          <t>IT - Services</t>
        </is>
      </c>
      <c r="E43" t="n">
        <v>13971005</v>
      </c>
      <c r="F43" t="n">
        <v>7267.72</v>
      </c>
      <c r="G43" t="n">
        <v>1.16</v>
      </c>
    </row>
    <row r="44">
      <c r="B44" t="inlineStr">
        <is>
          <t>Mankind Pharma Ltd.</t>
        </is>
      </c>
      <c r="C44" t="inlineStr">
        <is>
          <t>INE634S01028</t>
        </is>
      </c>
      <c r="D44" t="inlineStr">
        <is>
          <t>Pharmaceuticals &amp; Biotechnology</t>
        </is>
      </c>
      <c r="E44" t="n">
        <v>318525</v>
      </c>
      <c r="F44" t="n">
        <v>6996.4</v>
      </c>
      <c r="G44" t="n">
        <v>1.12</v>
      </c>
    </row>
    <row r="45">
      <c r="B45" t="inlineStr">
        <is>
          <t>SRF Ltd.</t>
        </is>
      </c>
      <c r="C45" t="inlineStr">
        <is>
          <t>INE647A01010</t>
        </is>
      </c>
      <c r="D45" t="inlineStr">
        <is>
          <t>Chemicals &amp; Petrochemicals</t>
        </is>
      </c>
      <c r="E45" t="n">
        <v>215134</v>
      </c>
      <c r="F45" t="n">
        <v>6615.37</v>
      </c>
      <c r="G45" t="n">
        <v>1.06</v>
      </c>
    </row>
    <row r="46">
      <c r="B46" t="inlineStr">
        <is>
          <t>Bharat Electronics Ltd.</t>
        </is>
      </c>
      <c r="C46" t="inlineStr">
        <is>
          <t>INE263A01024</t>
        </is>
      </c>
      <c r="D46" t="inlineStr">
        <is>
          <t>Aerospace &amp; Defense</t>
        </is>
      </c>
      <c r="E46" t="n">
        <v>1588060</v>
      </c>
      <c r="F46" t="n">
        <v>6345.89</v>
      </c>
      <c r="G46" t="n">
        <v>1.01</v>
      </c>
    </row>
    <row r="47">
      <c r="B47" t="inlineStr">
        <is>
          <t>Affle 3i Ltd.</t>
        </is>
      </c>
      <c r="C47" t="inlineStr">
        <is>
          <t>INE00WC01027</t>
        </is>
      </c>
      <c r="D47" t="inlineStr">
        <is>
          <t>IT - Services</t>
        </is>
      </c>
      <c r="E47" t="n">
        <v>352379</v>
      </c>
      <c r="F47" t="n">
        <v>6340.71</v>
      </c>
      <c r="G47" t="n">
        <v>1.01</v>
      </c>
    </row>
    <row r="48">
      <c r="B48" t="inlineStr">
        <is>
          <t>Global Health Ltd.</t>
        </is>
      </c>
      <c r="C48" t="inlineStr">
        <is>
          <t>INE474Q01031</t>
        </is>
      </c>
      <c r="D48" t="inlineStr">
        <is>
          <t>Healthcare Services</t>
        </is>
      </c>
      <c r="E48" t="n">
        <v>507325</v>
      </c>
      <c r="F48" t="n">
        <v>6018.9</v>
      </c>
      <c r="G48" t="n">
        <v>0.96</v>
      </c>
    </row>
    <row r="49">
      <c r="B49" t="inlineStr">
        <is>
          <t>CG Power and Industrial Solutions Ltd.</t>
        </is>
      </c>
      <c r="C49" t="inlineStr">
        <is>
          <t>INE067A01029</t>
        </is>
      </c>
      <c r="D49" t="inlineStr">
        <is>
          <t>Electrical Equipment</t>
        </is>
      </c>
      <c r="E49" t="n">
        <v>928389</v>
      </c>
      <c r="F49" t="n">
        <v>6015.03</v>
      </c>
      <c r="G49" t="n">
        <v>0.96</v>
      </c>
    </row>
    <row r="50">
      <c r="B50" t="inlineStr">
        <is>
          <t>Brigade Enterprises Ltd.</t>
        </is>
      </c>
      <c r="C50" t="inlineStr">
        <is>
          <t>INE791I01019</t>
        </is>
      </c>
      <c r="D50" t="inlineStr">
        <is>
          <t>Realty</t>
        </is>
      </c>
      <c r="E50" t="n">
        <v>644023</v>
      </c>
      <c r="F50" t="n">
        <v>5699.6</v>
      </c>
      <c r="G50" t="n">
        <v>0.91</v>
      </c>
    </row>
    <row r="51">
      <c r="B51" t="inlineStr">
        <is>
          <t>Ather Energy Ltd.</t>
        </is>
      </c>
      <c r="C51" t="inlineStr">
        <is>
          <t>INE0LEZ01016</t>
        </is>
      </c>
      <c r="D51" t="inlineStr">
        <is>
          <t>Automobiles</t>
        </is>
      </c>
      <c r="E51" t="n">
        <v>749269</v>
      </c>
      <c r="F51" t="n">
        <v>5655.11</v>
      </c>
      <c r="G51" t="n">
        <v>0.9</v>
      </c>
    </row>
    <row r="52">
      <c r="B52" t="inlineStr">
        <is>
          <t>Hindalco Industries Ltd.</t>
        </is>
      </c>
      <c r="C52" t="inlineStr">
        <is>
          <t>INE038A01020</t>
        </is>
      </c>
      <c r="D52" t="inlineStr">
        <is>
          <t>Non - Ferrous Metals</t>
        </is>
      </c>
      <c r="E52" t="n">
        <v>637643</v>
      </c>
      <c r="F52" t="n">
        <v>5653.98</v>
      </c>
      <c r="G52" t="n">
        <v>0.9</v>
      </c>
    </row>
    <row r="53">
      <c r="B53" t="inlineStr">
        <is>
          <t>Maruti Suzuki India Ltd.</t>
        </is>
      </c>
      <c r="C53" t="inlineStr">
        <is>
          <t>INE585B01010</t>
        </is>
      </c>
      <c r="D53" t="inlineStr">
        <is>
          <t>Automobiles</t>
        </is>
      </c>
      <c r="E53" t="n">
        <v>30640</v>
      </c>
      <c r="F53" t="n">
        <v>5115.96</v>
      </c>
      <c r="G53" t="n">
        <v>0.82</v>
      </c>
    </row>
    <row r="54">
      <c r="B54" t="inlineStr">
        <is>
          <t>Cholamandalam Investment &amp; Finance Company Ltd.</t>
        </is>
      </c>
      <c r="C54" t="inlineStr">
        <is>
          <t>INE121A01024</t>
        </is>
      </c>
      <c r="D54" t="inlineStr">
        <is>
          <t>Finance</t>
        </is>
      </c>
      <c r="E54" t="n">
        <v>296100</v>
      </c>
      <c r="F54" t="n">
        <v>5040.21</v>
      </c>
      <c r="G54" t="n">
        <v>0.8</v>
      </c>
    </row>
    <row r="55">
      <c r="B55" t="inlineStr">
        <is>
          <t>JSW Steel Ltd.</t>
        </is>
      </c>
      <c r="C55" t="inlineStr">
        <is>
          <t>INE019A01038</t>
        </is>
      </c>
      <c r="D55" t="inlineStr">
        <is>
          <t>Ferrous Metals</t>
        </is>
      </c>
      <c r="E55" t="n">
        <v>419710</v>
      </c>
      <c r="F55" t="n">
        <v>4888.78</v>
      </c>
      <c r="G55" t="n">
        <v>0.78</v>
      </c>
    </row>
    <row r="56">
      <c r="B56" t="inlineStr">
        <is>
          <t>ICICI Prudential Asset Mgmt Co Ltd.</t>
        </is>
      </c>
      <c r="C56" t="inlineStr">
        <is>
          <t>INE346A01027</t>
        </is>
      </c>
      <c r="D56" t="inlineStr">
        <is>
          <t>Capital Markets</t>
        </is>
      </c>
      <c r="E56" t="n">
        <v>180000</v>
      </c>
      <c r="F56" t="n">
        <v>4789.98</v>
      </c>
      <c r="G56" t="n">
        <v>0.76</v>
      </c>
    </row>
    <row r="57">
      <c r="B57" t="inlineStr">
        <is>
          <t>LG Electronics India Ltd.</t>
        </is>
      </c>
      <c r="C57" t="inlineStr">
        <is>
          <t>INE324D01010</t>
        </is>
      </c>
      <c r="D57" t="inlineStr">
        <is>
          <t>Consumer Durables</t>
        </is>
      </c>
      <c r="E57" t="n">
        <v>313748</v>
      </c>
      <c r="F57" t="n">
        <v>4773.36</v>
      </c>
      <c r="G57" t="n">
        <v>0.76</v>
      </c>
    </row>
    <row r="58">
      <c r="B58" t="inlineStr">
        <is>
          <t>Doms Industries Ltd.</t>
        </is>
      </c>
      <c r="C58" t="inlineStr">
        <is>
          <t>INE321T01012</t>
        </is>
      </c>
      <c r="D58" t="inlineStr">
        <is>
          <t>Household Products</t>
        </is>
      </c>
      <c r="E58" t="n">
        <v>182081</v>
      </c>
      <c r="F58" t="n">
        <v>4762.15</v>
      </c>
      <c r="G58" t="n">
        <v>0.76</v>
      </c>
    </row>
    <row r="59">
      <c r="B59" t="inlineStr">
        <is>
          <t>Inventurus Knowledge Solutions Ltd.</t>
        </is>
      </c>
      <c r="C59" t="inlineStr">
        <is>
          <t>INE115Q01022</t>
        </is>
      </c>
      <c r="D59" t="inlineStr">
        <is>
          <t>IT - Services</t>
        </is>
      </c>
      <c r="E59" t="n">
        <v>283390</v>
      </c>
      <c r="F59" t="n">
        <v>4698.04</v>
      </c>
      <c r="G59" t="n">
        <v>0.75</v>
      </c>
    </row>
    <row r="60">
      <c r="B60" t="inlineStr">
        <is>
          <t>Anthem Biosciences Ltd.</t>
        </is>
      </c>
      <c r="C60" t="inlineStr">
        <is>
          <t>INE0CZ201020</t>
        </is>
      </c>
      <c r="D60" t="inlineStr">
        <is>
          <t>Pharmaceuticals &amp; Biotechnology</t>
        </is>
      </c>
      <c r="E60" t="n">
        <v>712690</v>
      </c>
      <c r="F60" t="n">
        <v>4643.18</v>
      </c>
      <c r="G60" t="n">
        <v>0.74</v>
      </c>
    </row>
    <row r="61">
      <c r="B61" t="inlineStr">
        <is>
          <t>HDFC Life Insurance Company Ltd.</t>
        </is>
      </c>
      <c r="C61" t="inlineStr">
        <is>
          <t>INE795G01014</t>
        </is>
      </c>
      <c r="D61" t="inlineStr">
        <is>
          <t>Insurance</t>
        </is>
      </c>
      <c r="E61" t="n">
        <v>614860</v>
      </c>
      <c r="F61" t="n">
        <v>4610.53</v>
      </c>
      <c r="G61" t="n">
        <v>0.74</v>
      </c>
    </row>
    <row r="62">
      <c r="B62" t="inlineStr">
        <is>
          <t>Dr. Reddy's Laboratories Ltd.</t>
        </is>
      </c>
      <c r="C62" t="inlineStr">
        <is>
          <t>INE089A01031</t>
        </is>
      </c>
      <c r="D62" t="inlineStr">
        <is>
          <t>Pharmaceuticals &amp; Biotechnology</t>
        </is>
      </c>
      <c r="E62" t="n">
        <v>362070</v>
      </c>
      <c r="F62" t="n">
        <v>4603.36</v>
      </c>
      <c r="G62" t="n">
        <v>0.73</v>
      </c>
    </row>
    <row r="63">
      <c r="B63" t="inlineStr">
        <is>
          <t>Krishna Inst of Medical Sciences Ltd.</t>
        </is>
      </c>
      <c r="C63" t="inlineStr">
        <is>
          <t>INE967H01025</t>
        </is>
      </c>
      <c r="D63" t="inlineStr">
        <is>
          <t>Healthcare Services</t>
        </is>
      </c>
      <c r="E63" t="n">
        <v>737086</v>
      </c>
      <c r="F63" t="n">
        <v>4485.91</v>
      </c>
      <c r="G63" t="n">
        <v>0.72</v>
      </c>
    </row>
    <row r="64">
      <c r="B64" t="inlineStr">
        <is>
          <t>Akzo Nobel India Ltd.</t>
        </is>
      </c>
      <c r="C64" t="inlineStr">
        <is>
          <t>INE133A01011</t>
        </is>
      </c>
      <c r="D64" t="inlineStr">
        <is>
          <t>Consumer Durables</t>
        </is>
      </c>
      <c r="E64" t="n">
        <v>132173</v>
      </c>
      <c r="F64" t="n">
        <v>4199.53</v>
      </c>
      <c r="G64" t="n">
        <v>0.67</v>
      </c>
    </row>
    <row r="65">
      <c r="B65" t="inlineStr">
        <is>
          <t>Triveni Turbine Ltd.</t>
        </is>
      </c>
      <c r="C65" t="inlineStr">
        <is>
          <t>INE152M01016</t>
        </is>
      </c>
      <c r="D65" t="inlineStr">
        <is>
          <t>Electrical Equipment</t>
        </is>
      </c>
      <c r="E65" t="n">
        <v>767529</v>
      </c>
      <c r="F65" t="n">
        <v>4131.22</v>
      </c>
      <c r="G65" t="n">
        <v>0.66</v>
      </c>
    </row>
    <row r="66">
      <c r="B66" t="inlineStr">
        <is>
          <t>Neuland Laboratories Ltd.</t>
        </is>
      </c>
      <c r="C66" t="inlineStr">
        <is>
          <t>INE794A01010</t>
        </is>
      </c>
      <c r="D66" t="inlineStr">
        <is>
          <t>Pharmaceuticals &amp; Biotechnology</t>
        </is>
      </c>
      <c r="E66" t="n">
        <v>25605</v>
      </c>
      <c r="F66" t="n">
        <v>3885.56</v>
      </c>
      <c r="G66" t="n">
        <v>0.62</v>
      </c>
    </row>
    <row r="67">
      <c r="B67" t="inlineStr">
        <is>
          <t>Endurance Technologies Ltd.</t>
        </is>
      </c>
      <c r="C67" t="inlineStr">
        <is>
          <t>INE913H01037</t>
        </is>
      </c>
      <c r="D67" t="inlineStr">
        <is>
          <t>Auto Components</t>
        </is>
      </c>
      <c r="E67" t="n">
        <v>137942</v>
      </c>
      <c r="F67" t="n">
        <v>3572.56</v>
      </c>
      <c r="G67" t="n">
        <v>0.57</v>
      </c>
    </row>
    <row r="68">
      <c r="B68" t="inlineStr">
        <is>
          <t>Navin Fluorine International Ltd.</t>
        </is>
      </c>
      <c r="C68" t="inlineStr">
        <is>
          <t>INE048G01026</t>
        </is>
      </c>
      <c r="D68" t="inlineStr">
        <is>
          <t>Chemicals &amp; Petrochemicals</t>
        </is>
      </c>
      <c r="E68" t="n">
        <v>59020</v>
      </c>
      <c r="F68" t="n">
        <v>3493.98</v>
      </c>
      <c r="G68" t="n">
        <v>0.5600000000000001</v>
      </c>
    </row>
    <row r="69">
      <c r="B69" t="inlineStr">
        <is>
          <t>International Gemmological Inst Ind Ltd.</t>
        </is>
      </c>
      <c r="C69" t="inlineStr">
        <is>
          <t>INE0Q9301021</t>
        </is>
      </c>
      <c r="D69" t="inlineStr">
        <is>
          <t>Commercial Services &amp; Supplies</t>
        </is>
      </c>
      <c r="E69" t="n">
        <v>1036045</v>
      </c>
      <c r="F69" t="n">
        <v>3470.75</v>
      </c>
      <c r="G69" t="n">
        <v>0.55</v>
      </c>
    </row>
    <row r="70">
      <c r="B70" t="inlineStr">
        <is>
          <t>Sai Life Sciences Ltd</t>
        </is>
      </c>
      <c r="C70" t="inlineStr">
        <is>
          <t>INE570L01029</t>
        </is>
      </c>
      <c r="D70" t="inlineStr">
        <is>
          <t>Pharmaceuticals &amp; Biotechnology</t>
        </is>
      </c>
      <c r="E70" t="n">
        <v>379844</v>
      </c>
      <c r="F70" t="n">
        <v>3450.5</v>
      </c>
      <c r="G70" t="n">
        <v>0.55</v>
      </c>
    </row>
    <row r="71">
      <c r="B71" t="inlineStr">
        <is>
          <t>GE Vernova T&amp;D India Limited</t>
        </is>
      </c>
      <c r="C71" t="inlineStr">
        <is>
          <t>INE200A01026</t>
        </is>
      </c>
      <c r="D71" t="inlineStr">
        <is>
          <t>Electrical Equipment</t>
        </is>
      </c>
      <c r="E71" t="n">
        <v>106660</v>
      </c>
      <c r="F71" t="n">
        <v>3341.12</v>
      </c>
      <c r="G71" t="n">
        <v>0.53</v>
      </c>
    </row>
    <row r="72">
      <c r="B72" t="inlineStr">
        <is>
          <t>Astral Ltd.</t>
        </is>
      </c>
      <c r="C72" t="inlineStr">
        <is>
          <t>INE006I01046</t>
        </is>
      </c>
      <c r="D72" t="inlineStr">
        <is>
          <t>Industrial Products</t>
        </is>
      </c>
      <c r="E72" t="n">
        <v>233985</v>
      </c>
      <c r="F72" t="n">
        <v>3248.88</v>
      </c>
      <c r="G72" t="n">
        <v>0.52</v>
      </c>
    </row>
    <row r="73">
      <c r="B73" t="inlineStr">
        <is>
          <t>Schaeffler India Ltd.</t>
        </is>
      </c>
      <c r="C73" t="inlineStr">
        <is>
          <t>INE513A01022</t>
        </is>
      </c>
      <c r="D73" t="inlineStr">
        <is>
          <t>Auto Components</t>
        </is>
      </c>
      <c r="E73" t="n">
        <v>76125</v>
      </c>
      <c r="F73" t="n">
        <v>2952.89</v>
      </c>
      <c r="G73" t="n">
        <v>0.47</v>
      </c>
    </row>
    <row r="74">
      <c r="B74" t="inlineStr">
        <is>
          <t>Tata Capital Ltd.</t>
        </is>
      </c>
      <c r="C74" t="inlineStr">
        <is>
          <t>INE976I01016</t>
        </is>
      </c>
      <c r="D74" t="inlineStr">
        <is>
          <t>Finance</t>
        </is>
      </c>
      <c r="E74" t="n">
        <v>828016</v>
      </c>
      <c r="F74" t="n">
        <v>2830.57</v>
      </c>
      <c r="G74" t="n">
        <v>0.45</v>
      </c>
    </row>
    <row r="75">
      <c r="B75" t="inlineStr">
        <is>
          <t>Gillette India Ltd.</t>
        </is>
      </c>
      <c r="C75" t="inlineStr">
        <is>
          <t>INE322A01010</t>
        </is>
      </c>
      <c r="D75" t="inlineStr">
        <is>
          <t>Personal Products</t>
        </is>
      </c>
      <c r="E75" t="n">
        <v>33129</v>
      </c>
      <c r="F75" t="n">
        <v>2770.41</v>
      </c>
      <c r="G75" t="n">
        <v>0.44</v>
      </c>
    </row>
    <row r="76">
      <c r="B76" t="inlineStr">
        <is>
          <t>Blue Jet Healthcare Ltd.</t>
        </is>
      </c>
      <c r="C76" t="inlineStr">
        <is>
          <t>INE0KBH01020</t>
        </is>
      </c>
      <c r="D76" t="inlineStr">
        <is>
          <t>Pharmaceuticals &amp; Biotechnology</t>
        </is>
      </c>
      <c r="E76" t="n">
        <v>421553</v>
      </c>
      <c r="F76" t="n">
        <v>2235.07</v>
      </c>
      <c r="G76" t="n">
        <v>0.36</v>
      </c>
    </row>
    <row r="77">
      <c r="B77" t="inlineStr">
        <is>
          <t>Gabriel India Ltd.</t>
        </is>
      </c>
      <c r="C77" t="inlineStr">
        <is>
          <t>INE524A01029</t>
        </is>
      </c>
      <c r="D77" t="inlineStr">
        <is>
          <t>Auto Components</t>
        </is>
      </c>
      <c r="E77" t="n">
        <v>216060</v>
      </c>
      <c r="F77" t="n">
        <v>2181.77</v>
      </c>
      <c r="G77" t="n">
        <v>0.35</v>
      </c>
    </row>
    <row r="78">
      <c r="B78" t="inlineStr">
        <is>
          <t>Bikaji Foods International Ltd.</t>
        </is>
      </c>
      <c r="C78" t="inlineStr">
        <is>
          <t>INE00E101023</t>
        </is>
      </c>
      <c r="D78" t="inlineStr">
        <is>
          <t>Food Products</t>
        </is>
      </c>
      <c r="E78" t="n">
        <v>280516</v>
      </c>
      <c r="F78" t="n">
        <v>2103.31</v>
      </c>
      <c r="G78" t="n">
        <v>0.34</v>
      </c>
    </row>
    <row r="79">
      <c r="B79" t="inlineStr">
        <is>
          <t>Pine Labs Ltd.</t>
        </is>
      </c>
      <c r="C79" t="inlineStr">
        <is>
          <t>INE15B701018</t>
        </is>
      </c>
      <c r="D79" t="inlineStr">
        <is>
          <t>Financial Technology (Fintech)</t>
        </is>
      </c>
      <c r="E79" t="n">
        <v>866530</v>
      </c>
      <c r="F79" t="n">
        <v>2073.87</v>
      </c>
      <c r="G79" t="n">
        <v>0.33</v>
      </c>
    </row>
    <row r="80">
      <c r="B80" t="inlineStr">
        <is>
          <t>TBO Tek Ltd.</t>
        </is>
      </c>
      <c r="C80" t="inlineStr">
        <is>
          <t>INE673O01025</t>
        </is>
      </c>
      <c r="D80" t="inlineStr">
        <is>
          <t>Leisure Services</t>
        </is>
      </c>
      <c r="E80" t="n">
        <v>122753</v>
      </c>
      <c r="F80" t="n">
        <v>2041.01</v>
      </c>
      <c r="G80" t="n">
        <v>0.33</v>
      </c>
    </row>
    <row r="81">
      <c r="B81" t="inlineStr">
        <is>
          <t>Rubicon Research Ltd.</t>
        </is>
      </c>
      <c r="C81" t="inlineStr">
        <is>
          <t>INE506V01022</t>
        </is>
      </c>
      <c r="D81" t="inlineStr">
        <is>
          <t>Pharmaceuticals &amp; Biotechnology</t>
        </is>
      </c>
      <c r="E81" t="n">
        <v>285000</v>
      </c>
      <c r="F81" t="n">
        <v>1940.14</v>
      </c>
      <c r="G81" t="n">
        <v>0.31</v>
      </c>
    </row>
    <row r="82">
      <c r="B82" t="inlineStr">
        <is>
          <t>BlackBuck Ltd.</t>
        </is>
      </c>
      <c r="C82" t="inlineStr">
        <is>
          <t>INE0UIZ01018</t>
        </is>
      </c>
      <c r="D82" t="inlineStr">
        <is>
          <t>Transport Services</t>
        </is>
      </c>
      <c r="E82" t="n">
        <v>275792</v>
      </c>
      <c r="F82" t="n">
        <v>1874.7</v>
      </c>
      <c r="G82" t="n">
        <v>0.3</v>
      </c>
    </row>
    <row r="83">
      <c r="B83" t="inlineStr">
        <is>
          <t>MTAR Technologies Ltd.</t>
        </is>
      </c>
      <c r="C83" t="inlineStr">
        <is>
          <t>INE864I01014</t>
        </is>
      </c>
      <c r="D83" t="inlineStr">
        <is>
          <t>Aerospace &amp; Defense</t>
        </is>
      </c>
      <c r="E83" t="n">
        <v>73880</v>
      </c>
      <c r="F83" t="n">
        <v>1785.46</v>
      </c>
      <c r="G83" t="n">
        <v>0.28</v>
      </c>
    </row>
    <row r="84">
      <c r="B84" t="inlineStr">
        <is>
          <t>MRS Bectors Food Specialities Ltd.</t>
        </is>
      </c>
      <c r="C84" t="inlineStr">
        <is>
          <t>INE495P01020</t>
        </is>
      </c>
      <c r="D84" t="inlineStr">
        <is>
          <t>Food Products</t>
        </is>
      </c>
      <c r="E84" t="n">
        <v>769975</v>
      </c>
      <c r="F84" t="n">
        <v>1774.02</v>
      </c>
      <c r="G84" t="n">
        <v>0.28</v>
      </c>
    </row>
    <row r="85">
      <c r="B85" t="inlineStr">
        <is>
          <t>Safari Industries India Ltd.</t>
        </is>
      </c>
      <c r="C85" t="inlineStr">
        <is>
          <t>INE429E01023</t>
        </is>
      </c>
      <c r="D85" t="inlineStr">
        <is>
          <t>Consumer Durables</t>
        </is>
      </c>
      <c r="E85" t="n">
        <v>66677</v>
      </c>
      <c r="F85" t="n">
        <v>1449.82</v>
      </c>
      <c r="G85" t="n">
        <v>0.23</v>
      </c>
    </row>
    <row r="86">
      <c r="B86" t="inlineStr">
        <is>
          <t>Sub Total</t>
        </is>
      </c>
      <c r="F86" t="n">
        <v>602308.8100000001</v>
      </c>
      <c r="G86" t="n">
        <v>96.09999999999999</v>
      </c>
    </row>
    <row r="88">
      <c r="B88" t="inlineStr">
        <is>
          <t>(b) Unlisted</t>
        </is>
      </c>
    </row>
    <row r="89">
      <c r="F89" t="n">
        <v>0</v>
      </c>
      <c r="G89" t="n">
        <v>0</v>
      </c>
    </row>
    <row r="90">
      <c r="B90" t="inlineStr">
        <is>
          <t>Sub Total</t>
        </is>
      </c>
      <c r="F90" t="inlineStr">
        <is>
          <t>NIL</t>
        </is>
      </c>
      <c r="G90" t="inlineStr">
        <is>
          <t>NIL</t>
        </is>
      </c>
    </row>
    <row r="92">
      <c r="B92" t="inlineStr">
        <is>
          <t>TOTAL</t>
        </is>
      </c>
      <c r="F92" t="n">
        <v>602308.8100000001</v>
      </c>
      <c r="G92" t="n">
        <v>96.09999999999999</v>
      </c>
    </row>
    <row r="93">
      <c r="B93" t="inlineStr">
        <is>
          <t>Debt Instruments</t>
        </is>
      </c>
    </row>
    <row r="95">
      <c r="B95" t="inlineStr">
        <is>
          <t>(a) Listed / Awaiting listing on Stock Exchanges</t>
        </is>
      </c>
    </row>
    <row r="97">
      <c r="B97" t="inlineStr">
        <is>
          <t>Sub Total</t>
        </is>
      </c>
      <c r="F97" t="inlineStr">
        <is>
          <t>NIL</t>
        </is>
      </c>
      <c r="G97" t="inlineStr">
        <is>
          <t>NIL</t>
        </is>
      </c>
    </row>
    <row r="99">
      <c r="B99" t="inlineStr">
        <is>
          <t>(b)Privately Placed/Unlisted</t>
        </is>
      </c>
    </row>
    <row r="100">
      <c r="F100" t="n">
        <v>0</v>
      </c>
      <c r="G100" t="n">
        <v>0</v>
      </c>
    </row>
    <row r="101">
      <c r="B101" t="inlineStr">
        <is>
          <t>Sub Total</t>
        </is>
      </c>
      <c r="F101" t="inlineStr">
        <is>
          <t>NIL</t>
        </is>
      </c>
      <c r="G101" t="inlineStr">
        <is>
          <t>NIL</t>
        </is>
      </c>
    </row>
    <row r="103">
      <c r="B103" t="inlineStr">
        <is>
          <t>(c)Securitised Debt Instruments</t>
        </is>
      </c>
    </row>
    <row r="104">
      <c r="F104" t="n">
        <v>0</v>
      </c>
      <c r="G104" t="n">
        <v>0</v>
      </c>
    </row>
    <row r="105">
      <c r="B105" t="inlineStr">
        <is>
          <t>Sub Total</t>
        </is>
      </c>
      <c r="F105" t="inlineStr">
        <is>
          <t>NIL</t>
        </is>
      </c>
      <c r="G105" t="inlineStr">
        <is>
          <t>NIL</t>
        </is>
      </c>
    </row>
    <row r="107">
      <c r="B107" t="inlineStr">
        <is>
          <t>TOTAL</t>
        </is>
      </c>
      <c r="F107" t="inlineStr">
        <is>
          <t>NIL</t>
        </is>
      </c>
      <c r="G107" t="inlineStr">
        <is>
          <t>NIL</t>
        </is>
      </c>
    </row>
    <row r="109">
      <c r="B109" t="inlineStr">
        <is>
          <t>Preference Shares - (Awaiting listing on Stock Exchanges)</t>
        </is>
      </c>
    </row>
    <row r="110">
      <c r="B110" t="inlineStr">
        <is>
          <t>TVS Motor Company Ltd. ** #</t>
        </is>
      </c>
      <c r="C110" t="inlineStr">
        <is>
          <t>INE494B04019</t>
        </is>
      </c>
      <c r="D110" t="inlineStr">
        <is>
          <t>CARE A1+</t>
        </is>
      </c>
      <c r="E110" t="n">
        <v>2196804</v>
      </c>
      <c r="F110" t="n">
        <v>223.77</v>
      </c>
      <c r="G110" t="n">
        <v>0.04</v>
      </c>
      <c r="H110" t="n">
        <v>6.105</v>
      </c>
    </row>
    <row r="111">
      <c r="B111" t="inlineStr">
        <is>
          <t>Sub Total</t>
        </is>
      </c>
      <c r="F111">
        <f>SUM(F110)</f>
        <v/>
      </c>
      <c r="G111">
        <f>SUM(G110)</f>
        <v/>
      </c>
    </row>
    <row r="113">
      <c r="B113" t="inlineStr">
        <is>
          <t>TOTAL</t>
        </is>
      </c>
      <c r="F113">
        <f>F111</f>
        <v/>
      </c>
      <c r="G113">
        <f>G111</f>
        <v/>
      </c>
    </row>
    <row r="115">
      <c r="B115" t="inlineStr">
        <is>
          <t>Money Market Instruments</t>
        </is>
      </c>
    </row>
    <row r="117">
      <c r="B117" t="inlineStr">
        <is>
          <t>Treasury Bill</t>
        </is>
      </c>
    </row>
    <row r="118">
      <c r="B118" t="inlineStr">
        <is>
          <t>364 DAYS TBILL RED 29-10-2026</t>
        </is>
      </c>
      <c r="C118" t="inlineStr">
        <is>
          <t>IN002025Z310</t>
        </is>
      </c>
      <c r="D118" t="inlineStr">
        <is>
          <t>SOVEREIGN</t>
        </is>
      </c>
      <c r="E118" t="n">
        <v>665000</v>
      </c>
      <c r="F118" t="n">
        <v>636.4</v>
      </c>
      <c r="G118" t="n">
        <v>0.1</v>
      </c>
      <c r="H118" t="n">
        <v>5.45</v>
      </c>
    </row>
    <row r="119">
      <c r="B119" t="inlineStr">
        <is>
          <t>Sub Total</t>
        </is>
      </c>
      <c r="F119" t="n">
        <v>636.4</v>
      </c>
      <c r="G119" t="n">
        <v>0.1</v>
      </c>
    </row>
    <row r="121">
      <c r="B121" t="inlineStr">
        <is>
          <t>TOTAL</t>
        </is>
      </c>
      <c r="F121" t="n">
        <v>636.4</v>
      </c>
      <c r="G121" t="n">
        <v>0.1</v>
      </c>
    </row>
    <row r="123">
      <c r="B123" t="inlineStr">
        <is>
          <t>Margin Mutual Fund Units</t>
        </is>
      </c>
    </row>
    <row r="124">
      <c r="B124" t="inlineStr">
        <is>
          <t>PGIM India Liquid Fund</t>
        </is>
      </c>
      <c r="C124" t="inlineStr">
        <is>
          <t>INF223J01NS5</t>
        </is>
      </c>
      <c r="E124" t="n">
        <v>1182258.669</v>
      </c>
      <c r="F124" t="n">
        <v>4187.58</v>
      </c>
      <c r="G124" t="n">
        <v>0.67</v>
      </c>
    </row>
    <row r="125">
      <c r="B125" t="inlineStr">
        <is>
          <t>Sub Total</t>
        </is>
      </c>
      <c r="F125" t="n">
        <v>4187.58</v>
      </c>
      <c r="G125" t="n">
        <v>0.67</v>
      </c>
    </row>
    <row r="127">
      <c r="B127" t="inlineStr">
        <is>
          <t>TOTAL</t>
        </is>
      </c>
      <c r="F127" t="n">
        <v>4187.58</v>
      </c>
      <c r="G127" t="n">
        <v>0.67</v>
      </c>
    </row>
    <row r="129">
      <c r="B129" t="inlineStr">
        <is>
          <t>Treps / Reverse Repo</t>
        </is>
      </c>
    </row>
    <row r="130">
      <c r="B130" t="inlineStr">
        <is>
          <t>Clearing Corporation of India Ltd.</t>
        </is>
      </c>
      <c r="F130" t="n">
        <v>22845.16</v>
      </c>
      <c r="G130" t="n">
        <v>3.64</v>
      </c>
    </row>
    <row r="131">
      <c r="B131" t="inlineStr">
        <is>
          <t>Sub Total</t>
        </is>
      </c>
      <c r="F131" t="n">
        <v>22845.16</v>
      </c>
      <c r="G131" t="n">
        <v>3.64</v>
      </c>
    </row>
    <row r="133">
      <c r="B133" t="inlineStr">
        <is>
          <t>TOTAL</t>
        </is>
      </c>
      <c r="F133" t="n">
        <v>22845.16</v>
      </c>
      <c r="G133" t="n">
        <v>3.64</v>
      </c>
    </row>
    <row r="135">
      <c r="B135" t="inlineStr">
        <is>
          <t>Net Receivables / (Payables)</t>
        </is>
      </c>
      <c r="F135" t="n">
        <v>-3393.8</v>
      </c>
      <c r="G135" t="n">
        <v>-0.5499999999999972</v>
      </c>
    </row>
    <row r="137">
      <c r="B137" t="inlineStr">
        <is>
          <t>GRAND TOTAL</t>
        </is>
      </c>
      <c r="F137" t="n">
        <v>626807.92</v>
      </c>
      <c r="G137" t="n">
        <v>100</v>
      </c>
    </row>
    <row r="139">
      <c r="B139" t="inlineStr">
        <is>
          <t>#  Unlisted Security</t>
        </is>
      </c>
    </row>
    <row r="140">
      <c r="B140" t="inlineStr">
        <is>
          <t>** Non Traded Security</t>
        </is>
      </c>
    </row>
    <row r="146">
      <c r="B146" t="inlineStr">
        <is>
          <t>Notes:</t>
        </is>
      </c>
    </row>
    <row r="147">
      <c r="B147" t="inlineStr">
        <is>
          <t>1. Plan / Option-wise Net Asset Value per unit are as below :   (Face Value per unit = Rs. 10)</t>
        </is>
      </c>
    </row>
    <row r="148">
      <c r="B148" t="inlineStr">
        <is>
          <t xml:space="preserve">Plan / Option </t>
        </is>
      </c>
      <c r="C148" s="1" t="n">
        <v>45989</v>
      </c>
      <c r="D148" s="1" t="n">
        <v>46022</v>
      </c>
    </row>
    <row r="149">
      <c r="B149" t="inlineStr">
        <is>
          <t>Direct Plan</t>
        </is>
      </c>
      <c r="C149" t="inlineStr">
        <is>
          <t>(INR)</t>
        </is>
      </c>
      <c r="D149" t="inlineStr">
        <is>
          <t>(INR)</t>
        </is>
      </c>
    </row>
    <row r="150">
      <c r="B150" t="inlineStr">
        <is>
          <t>Growth</t>
        </is>
      </c>
      <c r="C150" t="n">
        <v>43.88</v>
      </c>
      <c r="D150" t="n">
        <v>43.28</v>
      </c>
    </row>
    <row r="151">
      <c r="B151" t="inlineStr">
        <is>
          <t>IDCW (earlier called Dividend)</t>
        </is>
      </c>
      <c r="C151" t="n">
        <v>22.69</v>
      </c>
      <c r="D151" t="n">
        <v>22.38</v>
      </c>
    </row>
    <row r="152">
      <c r="B152" t="inlineStr">
        <is>
          <t>Regular Plan</t>
        </is>
      </c>
    </row>
    <row r="153">
      <c r="B153" t="inlineStr">
        <is>
          <t>Growth</t>
        </is>
      </c>
      <c r="C153" t="n">
        <v>37.36</v>
      </c>
      <c r="D153" t="n">
        <v>36.81</v>
      </c>
    </row>
    <row r="154">
      <c r="B154" t="inlineStr">
        <is>
          <t>IDCW (earlier called Dividend)</t>
        </is>
      </c>
      <c r="C154" t="n">
        <v>19.99</v>
      </c>
      <c r="D154" t="n">
        <v>19.69</v>
      </c>
    </row>
    <row r="156">
      <c r="B156" t="inlineStr">
        <is>
          <t>2.   Exposure to derivative instruments in the scheme at the end of the month</t>
        </is>
      </c>
    </row>
    <row r="157">
      <c r="C157" t="inlineStr">
        <is>
          <t>Futures</t>
        </is>
      </c>
      <c r="D157" t="inlineStr">
        <is>
          <t>Put Options</t>
        </is>
      </c>
      <c r="E157" t="inlineStr">
        <is>
          <t>Swaps</t>
        </is>
      </c>
    </row>
    <row r="158">
      <c r="B158" t="inlineStr">
        <is>
          <t>a) Hedging Positions</t>
        </is>
      </c>
      <c r="C158" t="inlineStr">
        <is>
          <t>NIL</t>
        </is>
      </c>
      <c r="D158" t="inlineStr">
        <is>
          <t>NIL</t>
        </is>
      </c>
      <c r="E158" t="inlineStr">
        <is>
          <t>N.A.</t>
        </is>
      </c>
    </row>
    <row r="159">
      <c r="B159" t="inlineStr">
        <is>
          <t>b) Positions other than (a) above</t>
        </is>
      </c>
      <c r="C159" t="inlineStr">
        <is>
          <t>Refer 3 below</t>
        </is>
      </c>
      <c r="D159" t="inlineStr">
        <is>
          <t>NIL</t>
        </is>
      </c>
      <c r="E159" t="inlineStr">
        <is>
          <t>N.A.</t>
        </is>
      </c>
    </row>
    <row r="161">
      <c r="B161" t="inlineStr">
        <is>
          <t>3.  Derivatives Transactions in the scheme for the month</t>
        </is>
      </c>
    </row>
    <row r="162">
      <c r="B162" t="inlineStr">
        <is>
          <t>Futures</t>
        </is>
      </c>
      <c r="C162" t="inlineStr">
        <is>
          <t>Buy</t>
        </is>
      </c>
      <c r="E162" t="inlineStr">
        <is>
          <t>Sell</t>
        </is>
      </c>
    </row>
    <row r="163">
      <c r="C163" t="inlineStr">
        <is>
          <t>Count</t>
        </is>
      </c>
      <c r="D163" t="inlineStr">
        <is>
          <t>Value (INR Lacs)</t>
        </is>
      </c>
      <c r="E163" t="inlineStr">
        <is>
          <t>Count</t>
        </is>
      </c>
      <c r="F163" t="inlineStr">
        <is>
          <t>Value (INR Lacs)</t>
        </is>
      </c>
    </row>
    <row r="164">
      <c r="B164" t="inlineStr">
        <is>
          <t>a) Hedging Positions squared off  / expired</t>
        </is>
      </c>
      <c r="C164" t="n">
        <v>1890</v>
      </c>
      <c r="D164" t="n">
        <v>14226.03</v>
      </c>
      <c r="E164" t="n">
        <v>1890</v>
      </c>
      <c r="F164" t="n">
        <v>14144.5926405</v>
      </c>
    </row>
    <row r="165">
      <c r="B165" t="inlineStr">
        <is>
          <t>b) Trades other than (a) above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B166" t="inlineStr">
        <is>
          <t>Net Profit / Loss on above    :</t>
        </is>
      </c>
      <c r="F166" t="n">
        <v>-81.4373595</v>
      </c>
    </row>
    <row r="167">
      <c r="B167" t="inlineStr">
        <is>
          <t>Options</t>
        </is>
      </c>
      <c r="C167" t="inlineStr">
        <is>
          <t>Buy</t>
        </is>
      </c>
      <c r="E167" t="inlineStr">
        <is>
          <t>Sell</t>
        </is>
      </c>
    </row>
    <row r="168">
      <c r="C168" t="inlineStr">
        <is>
          <t>Count</t>
        </is>
      </c>
      <c r="D168" t="inlineStr">
        <is>
          <t>Value (INR Lacs)</t>
        </is>
      </c>
      <c r="E168" t="inlineStr">
        <is>
          <t>Count</t>
        </is>
      </c>
      <c r="F168" t="inlineStr">
        <is>
          <t>Value (INR Lacs)</t>
        </is>
      </c>
    </row>
    <row r="169">
      <c r="B169" t="inlineStr">
        <is>
          <t>a) Hedging Positions squared off  / expired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B170" t="inlineStr">
        <is>
          <t>b) Trades other than (a) above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B171" t="inlineStr">
        <is>
          <t>Net Profit / Loss on above    :</t>
        </is>
      </c>
      <c r="F171" t="n">
        <v>0</v>
      </c>
    </row>
    <row r="172">
      <c r="B172" t="inlineStr">
        <is>
          <t>Swaps</t>
        </is>
      </c>
      <c r="C172" t="inlineStr">
        <is>
          <t>Buy</t>
        </is>
      </c>
      <c r="E172" t="inlineStr">
        <is>
          <t>Sell</t>
        </is>
      </c>
    </row>
    <row r="173">
      <c r="C173" t="inlineStr">
        <is>
          <t>Count</t>
        </is>
      </c>
      <c r="D173" t="inlineStr">
        <is>
          <t>Value (INR Lacs)</t>
        </is>
      </c>
      <c r="E173" t="inlineStr">
        <is>
          <t>Count</t>
        </is>
      </c>
      <c r="F173" t="inlineStr">
        <is>
          <t>Value (INR Lacs)</t>
        </is>
      </c>
    </row>
    <row r="174">
      <c r="B174" t="inlineStr">
        <is>
          <t>a) Hedging Positions squared off  / expired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B175" t="inlineStr">
        <is>
          <t>b) Trades other than (a) above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B176" t="inlineStr">
        <is>
          <t>Net Profit / Loss on above    :</t>
        </is>
      </c>
      <c r="F176" t="n">
        <v>0</v>
      </c>
    </row>
    <row r="178">
      <c r="B178" t="inlineStr">
        <is>
          <t>4.   Investment in foreign securities/ADRs/GDRs at the end of the month (INR Lacs)</t>
        </is>
      </c>
      <c r="D178" t="inlineStr">
        <is>
          <t>NIL</t>
        </is>
      </c>
    </row>
    <row r="180">
      <c r="B180" t="inlineStr">
        <is>
          <t>5.   Investment in short term deposits at the end of the month (INR Lacs)</t>
        </is>
      </c>
      <c r="D180" t="inlineStr">
        <is>
          <t>NIL</t>
        </is>
      </c>
    </row>
    <row r="182">
      <c r="B182" t="inlineStr">
        <is>
          <t>6. Portfolio Turnover Ratio</t>
        </is>
      </c>
      <c r="D182" t="n">
        <v>0.29</v>
      </c>
    </row>
    <row r="184">
      <c r="B184" t="inlineStr">
        <is>
          <t>7.   Aggregate IDCW (earlier called Dividend) declared during the month</t>
        </is>
      </c>
      <c r="D184" t="inlineStr">
        <is>
          <t>NIL</t>
        </is>
      </c>
    </row>
    <row r="186">
      <c r="B186" t="inlineStr">
        <is>
          <t>8.   (a) Total Exposure to illiquid securities in the portfolio (INR Lacs)</t>
        </is>
      </c>
      <c r="D186" t="inlineStr">
        <is>
          <t>NIL</t>
        </is>
      </c>
    </row>
    <row r="187">
      <c r="B187" t="inlineStr">
        <is>
          <t xml:space="preserve">     (b) Total Exposure to illiquid securities in the portfolio (% of AUM)</t>
        </is>
      </c>
      <c r="D187" t="inlineStr">
        <is>
          <t>NIL</t>
        </is>
      </c>
    </row>
    <row r="189">
      <c r="B189" t="inlineStr">
        <is>
          <t>9.   Instances of Fair valuation of securities or Deviation in valuation from what is  provided by valuation agencies</t>
        </is>
      </c>
      <c r="D189" t="inlineStr">
        <is>
          <t>NIL</t>
        </is>
      </c>
    </row>
    <row r="191">
      <c r="B191" t="inlineStr">
        <is>
          <t>10. Securities in default beyond its maturity date in the portfolio of the scheme</t>
        </is>
      </c>
      <c r="D191" t="inlineStr">
        <is>
          <t>NIL</t>
        </is>
      </c>
    </row>
    <row r="192">
      <c r="B192" t="inlineStr">
        <is>
          <t xml:space="preserve">11. For Performance of the scheme refer - </t>
        </is>
      </c>
      <c r="C192" t="inlineStr">
        <is>
          <t>PGIM India Flexi Cap Fund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HEALTHCARE FUND</t>
        </is>
      </c>
    </row>
    <row r="2">
      <c r="B2" t="inlineStr">
        <is>
          <t>(An Open Ended Equity Scheme Investing In Healthcare And Pharmaceutical Sector)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(BSE Healthcare TRI)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Sun Pharmaceutical Industries Ltd.</t>
        </is>
      </c>
      <c r="C16" t="inlineStr">
        <is>
          <t>INE044A01036</t>
        </is>
      </c>
      <c r="D16" t="inlineStr">
        <is>
          <t>Pharmaceuticals &amp; Biotechnology</t>
        </is>
      </c>
      <c r="E16" t="n">
        <v>63178</v>
      </c>
      <c r="F16" t="n">
        <v>1086.47</v>
      </c>
      <c r="G16" t="n">
        <v>11.39</v>
      </c>
    </row>
    <row r="17">
      <c r="B17" t="inlineStr">
        <is>
          <t>Divi's Laboratories Ltd.</t>
        </is>
      </c>
      <c r="C17" t="inlineStr">
        <is>
          <t>INE361B01024</t>
        </is>
      </c>
      <c r="D17" t="inlineStr">
        <is>
          <t>Pharmaceuticals &amp; Biotechnology</t>
        </is>
      </c>
      <c r="E17" t="n">
        <v>15189</v>
      </c>
      <c r="F17" t="n">
        <v>970.96</v>
      </c>
      <c r="G17" t="n">
        <v>10.18</v>
      </c>
    </row>
    <row r="18">
      <c r="B18" t="inlineStr">
        <is>
          <t>Max Healthcare Institute Ltd.</t>
        </is>
      </c>
      <c r="C18" t="inlineStr">
        <is>
          <t>INE027H01010</t>
        </is>
      </c>
      <c r="D18" t="inlineStr">
        <is>
          <t>Healthcare Services</t>
        </is>
      </c>
      <c r="E18" t="n">
        <v>61291</v>
      </c>
      <c r="F18" t="n">
        <v>640.55</v>
      </c>
      <c r="G18" t="n">
        <v>6.72</v>
      </c>
    </row>
    <row r="19">
      <c r="B19" t="inlineStr">
        <is>
          <t>Dr. Reddy's Laboratories Ltd.</t>
        </is>
      </c>
      <c r="C19" t="inlineStr">
        <is>
          <t>INE089A01031</t>
        </is>
      </c>
      <c r="D19" t="inlineStr">
        <is>
          <t>Pharmaceuticals &amp; Biotechnology</t>
        </is>
      </c>
      <c r="E19" t="n">
        <v>47131</v>
      </c>
      <c r="F19" t="n">
        <v>599.22</v>
      </c>
      <c r="G19" t="n">
        <v>6.28</v>
      </c>
    </row>
    <row r="20">
      <c r="B20" t="inlineStr">
        <is>
          <t>Aster DM Healthcare Ltd.</t>
        </is>
      </c>
      <c r="C20" t="inlineStr">
        <is>
          <t>INE914M01019</t>
        </is>
      </c>
      <c r="D20" t="inlineStr">
        <is>
          <t>Healthcare Services</t>
        </is>
      </c>
      <c r="E20" t="n">
        <v>93349</v>
      </c>
      <c r="F20" t="n">
        <v>575.8200000000001</v>
      </c>
      <c r="G20" t="n">
        <v>6.04</v>
      </c>
    </row>
    <row r="21">
      <c r="B21" t="inlineStr">
        <is>
          <t>JB Chemicals &amp; Pharmaceuticals Ltd.</t>
        </is>
      </c>
      <c r="C21" t="inlineStr">
        <is>
          <t>INE572A01036</t>
        </is>
      </c>
      <c r="D21" t="inlineStr">
        <is>
          <t>Pharmaceuticals &amp; Biotechnology</t>
        </is>
      </c>
      <c r="E21" t="n">
        <v>28785</v>
      </c>
      <c r="F21" t="n">
        <v>523.8</v>
      </c>
      <c r="G21" t="n">
        <v>5.49</v>
      </c>
    </row>
    <row r="22">
      <c r="B22" t="inlineStr">
        <is>
          <t>Mankind Pharma Ltd.</t>
        </is>
      </c>
      <c r="C22" t="inlineStr">
        <is>
          <t>INE634S01028</t>
        </is>
      </c>
      <c r="D22" t="inlineStr">
        <is>
          <t>Pharmaceuticals &amp; Biotechnology</t>
        </is>
      </c>
      <c r="E22" t="n">
        <v>20595</v>
      </c>
      <c r="F22" t="n">
        <v>452.37</v>
      </c>
      <c r="G22" t="n">
        <v>4.74</v>
      </c>
    </row>
    <row r="23">
      <c r="B23" t="inlineStr">
        <is>
          <t>Rubicon Research Ltd.</t>
        </is>
      </c>
      <c r="C23" t="inlineStr">
        <is>
          <t>INE506V01022</t>
        </is>
      </c>
      <c r="D23" t="inlineStr">
        <is>
          <t>Pharmaceuticals &amp; Biotechnology</t>
        </is>
      </c>
      <c r="E23" t="n">
        <v>64550</v>
      </c>
      <c r="F23" t="n">
        <v>439.42</v>
      </c>
      <c r="G23" t="n">
        <v>4.61</v>
      </c>
    </row>
    <row r="24">
      <c r="B24" t="inlineStr">
        <is>
          <t>Ajanta Pharma Ltd.</t>
        </is>
      </c>
      <c r="C24" t="inlineStr">
        <is>
          <t>INE031B01049</t>
        </is>
      </c>
      <c r="D24" t="inlineStr">
        <is>
          <t>Pharmaceuticals &amp; Biotechnology</t>
        </is>
      </c>
      <c r="E24" t="n">
        <v>15260</v>
      </c>
      <c r="F24" t="n">
        <v>422.53</v>
      </c>
      <c r="G24" t="n">
        <v>4.43</v>
      </c>
    </row>
    <row r="25">
      <c r="B25" t="inlineStr">
        <is>
          <t>Abbott India Ltd.</t>
        </is>
      </c>
      <c r="C25" t="inlineStr">
        <is>
          <t>INE358A01014</t>
        </is>
      </c>
      <c r="D25" t="inlineStr">
        <is>
          <t>Pharmaceuticals &amp; Biotechnology</t>
        </is>
      </c>
      <c r="E25" t="n">
        <v>1198</v>
      </c>
      <c r="F25" t="n">
        <v>347.72</v>
      </c>
      <c r="G25" t="n">
        <v>3.65</v>
      </c>
    </row>
    <row r="26">
      <c r="B26" t="inlineStr">
        <is>
          <t>Krishna Inst of Medical Sciences Ltd.</t>
        </is>
      </c>
      <c r="C26" t="inlineStr">
        <is>
          <t>INE967H01025</t>
        </is>
      </c>
      <c r="D26" t="inlineStr">
        <is>
          <t>Healthcare Services</t>
        </is>
      </c>
      <c r="E26" t="n">
        <v>50377</v>
      </c>
      <c r="F26" t="n">
        <v>306.59</v>
      </c>
      <c r="G26" t="n">
        <v>3.22</v>
      </c>
    </row>
    <row r="27">
      <c r="B27" t="inlineStr">
        <is>
          <t>Dr. Lal Path Labs Ltd.</t>
        </is>
      </c>
      <c r="C27" t="inlineStr">
        <is>
          <t>INE600L01024</t>
        </is>
      </c>
      <c r="D27" t="inlineStr">
        <is>
          <t>Healthcare Services</t>
        </is>
      </c>
      <c r="E27" t="n">
        <v>18690</v>
      </c>
      <c r="F27" t="n">
        <v>277.1</v>
      </c>
      <c r="G27" t="n">
        <v>2.91</v>
      </c>
    </row>
    <row r="28">
      <c r="B28" t="inlineStr">
        <is>
          <t>PB Fintech Ltd.</t>
        </is>
      </c>
      <c r="C28" t="inlineStr">
        <is>
          <t>INE417T01026</t>
        </is>
      </c>
      <c r="D28" t="inlineStr">
        <is>
          <t>Financial Technology (Fintech)</t>
        </is>
      </c>
      <c r="E28" t="n">
        <v>14279</v>
      </c>
      <c r="F28" t="n">
        <v>260.68</v>
      </c>
      <c r="G28" t="n">
        <v>2.73</v>
      </c>
    </row>
    <row r="29">
      <c r="B29" t="inlineStr">
        <is>
          <t>Navin Fluorine International Ltd.</t>
        </is>
      </c>
      <c r="C29" t="inlineStr">
        <is>
          <t>INE048G01026</t>
        </is>
      </c>
      <c r="D29" t="inlineStr">
        <is>
          <t>Chemicals &amp; Petrochemicals</t>
        </is>
      </c>
      <c r="E29" t="n">
        <v>4399</v>
      </c>
      <c r="F29" t="n">
        <v>260.42</v>
      </c>
      <c r="G29" t="n">
        <v>2.73</v>
      </c>
    </row>
    <row r="30">
      <c r="B30" t="inlineStr">
        <is>
          <t>Torrent Pharmaceuticals Ltd.</t>
        </is>
      </c>
      <c r="C30" t="inlineStr">
        <is>
          <t>INE685A01028</t>
        </is>
      </c>
      <c r="D30" t="inlineStr">
        <is>
          <t>Pharmaceuticals &amp; Biotechnology</t>
        </is>
      </c>
      <c r="E30" t="n">
        <v>6760</v>
      </c>
      <c r="F30" t="n">
        <v>260.26</v>
      </c>
      <c r="G30" t="n">
        <v>2.73</v>
      </c>
    </row>
    <row r="31">
      <c r="B31" t="inlineStr">
        <is>
          <t>Sai Life Sciences Ltd</t>
        </is>
      </c>
      <c r="C31" t="inlineStr">
        <is>
          <t>INE570L01029</t>
        </is>
      </c>
      <c r="D31" t="inlineStr">
        <is>
          <t>Pharmaceuticals &amp; Biotechnology</t>
        </is>
      </c>
      <c r="E31" t="n">
        <v>26736</v>
      </c>
      <c r="F31" t="n">
        <v>242.87</v>
      </c>
      <c r="G31" t="n">
        <v>2.55</v>
      </c>
    </row>
    <row r="32">
      <c r="B32" t="inlineStr">
        <is>
          <t>Neuland Laboratories Ltd.</t>
        </is>
      </c>
      <c r="C32" t="inlineStr">
        <is>
          <t>INE794A01010</t>
        </is>
      </c>
      <c r="D32" t="inlineStr">
        <is>
          <t>Pharmaceuticals &amp; Biotechnology</t>
        </is>
      </c>
      <c r="E32" t="n">
        <v>1574</v>
      </c>
      <c r="F32" t="n">
        <v>238.85</v>
      </c>
      <c r="G32" t="n">
        <v>2.5</v>
      </c>
    </row>
    <row r="33">
      <c r="B33" t="inlineStr">
        <is>
          <t>Global Health Ltd.</t>
        </is>
      </c>
      <c r="C33" t="inlineStr">
        <is>
          <t>INE474Q01031</t>
        </is>
      </c>
      <c r="D33" t="inlineStr">
        <is>
          <t>Healthcare Services</t>
        </is>
      </c>
      <c r="E33" t="n">
        <v>18731</v>
      </c>
      <c r="F33" t="n">
        <v>222.22</v>
      </c>
      <c r="G33" t="n">
        <v>2.33</v>
      </c>
    </row>
    <row r="34">
      <c r="B34" t="inlineStr">
        <is>
          <t>Jupiter Life Line Hospitals Ltd.</t>
        </is>
      </c>
      <c r="C34" t="inlineStr">
        <is>
          <t>INE682M01012</t>
        </is>
      </c>
      <c r="D34" t="inlineStr">
        <is>
          <t>Healthcare Services</t>
        </is>
      </c>
      <c r="E34" t="n">
        <v>15520</v>
      </c>
      <c r="F34" t="n">
        <v>216.26</v>
      </c>
      <c r="G34" t="n">
        <v>2.27</v>
      </c>
    </row>
    <row r="35">
      <c r="B35" t="inlineStr">
        <is>
          <t>Anthem Biosciences Ltd.</t>
        </is>
      </c>
      <c r="C35" t="inlineStr">
        <is>
          <t>INE0CZ201020</t>
        </is>
      </c>
      <c r="D35" t="inlineStr">
        <is>
          <t>Pharmaceuticals &amp; Biotechnology</t>
        </is>
      </c>
      <c r="E35" t="n">
        <v>27457</v>
      </c>
      <c r="F35" t="n">
        <v>178.88</v>
      </c>
      <c r="G35" t="n">
        <v>1.88</v>
      </c>
    </row>
    <row r="36">
      <c r="B36" t="inlineStr">
        <is>
          <t>ICICI Lombard General Insurance Co. Ltd.</t>
        </is>
      </c>
      <c r="C36" t="inlineStr">
        <is>
          <t>INE765G01017</t>
        </is>
      </c>
      <c r="D36" t="inlineStr">
        <is>
          <t>Insurance</t>
        </is>
      </c>
      <c r="E36" t="n">
        <v>8588</v>
      </c>
      <c r="F36" t="n">
        <v>168.51</v>
      </c>
      <c r="G36" t="n">
        <v>1.77</v>
      </c>
    </row>
    <row r="37">
      <c r="B37" t="inlineStr">
        <is>
          <t>Cipla Ltd.</t>
        </is>
      </c>
      <c r="C37" t="inlineStr">
        <is>
          <t>INE059A01026</t>
        </is>
      </c>
      <c r="D37" t="inlineStr">
        <is>
          <t>Pharmaceuticals &amp; Biotechnology</t>
        </is>
      </c>
      <c r="E37" t="n">
        <v>11122</v>
      </c>
      <c r="F37" t="n">
        <v>168.09</v>
      </c>
      <c r="G37" t="n">
        <v>1.76</v>
      </c>
    </row>
    <row r="38">
      <c r="B38" t="inlineStr">
        <is>
          <t>Sagility Ltd.</t>
        </is>
      </c>
      <c r="C38" t="inlineStr">
        <is>
          <t>INE0W2G01015</t>
        </is>
      </c>
      <c r="D38" t="inlineStr">
        <is>
          <t>IT - Services</t>
        </is>
      </c>
      <c r="E38" t="n">
        <v>239414</v>
      </c>
      <c r="F38" t="n">
        <v>124.54</v>
      </c>
      <c r="G38" t="n">
        <v>1.31</v>
      </c>
    </row>
    <row r="39">
      <c r="B39" t="inlineStr">
        <is>
          <t>Lenskart Solutions Private Ltd.</t>
        </is>
      </c>
      <c r="C39" t="inlineStr">
        <is>
          <t>INE956O01016</t>
        </is>
      </c>
      <c r="D39" t="inlineStr">
        <is>
          <t>Retailing</t>
        </is>
      </c>
      <c r="E39" t="n">
        <v>18721</v>
      </c>
      <c r="F39" t="n">
        <v>84.38</v>
      </c>
      <c r="G39" t="n">
        <v>0.88</v>
      </c>
    </row>
    <row r="40">
      <c r="B40" t="inlineStr">
        <is>
          <t>Rainbow Children's Medicare Ltd.</t>
        </is>
      </c>
      <c r="C40" t="inlineStr">
        <is>
          <t>INE961O01016</t>
        </is>
      </c>
      <c r="D40" t="inlineStr">
        <is>
          <t>Healthcare Services</t>
        </is>
      </c>
      <c r="E40" t="n">
        <v>6055</v>
      </c>
      <c r="F40" t="n">
        <v>79.93000000000001</v>
      </c>
      <c r="G40" t="n">
        <v>0.84</v>
      </c>
    </row>
    <row r="41">
      <c r="B41" t="inlineStr">
        <is>
          <t>Orchid Pharma Ltd.</t>
        </is>
      </c>
      <c r="C41" t="inlineStr">
        <is>
          <t>INE191A01027</t>
        </is>
      </c>
      <c r="D41" t="inlineStr">
        <is>
          <t>Pharmaceuticals &amp; Biotechnology</t>
        </is>
      </c>
      <c r="E41" t="n">
        <v>10285</v>
      </c>
      <c r="F41" t="n">
        <v>78.06</v>
      </c>
      <c r="G41" t="n">
        <v>0.82</v>
      </c>
    </row>
    <row r="42">
      <c r="B42" t="inlineStr">
        <is>
          <t>Dr Agarwal's Eye Hospital Ltd.</t>
        </is>
      </c>
      <c r="C42" t="inlineStr">
        <is>
          <t>INE934C01018</t>
        </is>
      </c>
      <c r="D42" t="inlineStr">
        <is>
          <t>Healthcare Services</t>
        </is>
      </c>
      <c r="E42" t="n">
        <v>933</v>
      </c>
      <c r="F42" t="n">
        <v>49.77</v>
      </c>
      <c r="G42" t="n">
        <v>0.52</v>
      </c>
    </row>
    <row r="43">
      <c r="B43" t="inlineStr">
        <is>
          <t>Dr Agarwal's Health Care Ltd.</t>
        </is>
      </c>
      <c r="C43" t="inlineStr">
        <is>
          <t>INE943P01029</t>
        </is>
      </c>
      <c r="D43" t="inlineStr">
        <is>
          <t>Healthcare Services</t>
        </is>
      </c>
      <c r="E43" t="n">
        <v>9500</v>
      </c>
      <c r="F43" t="n">
        <v>48.29</v>
      </c>
      <c r="G43" t="n">
        <v>0.51</v>
      </c>
    </row>
    <row r="44">
      <c r="B44" t="inlineStr">
        <is>
          <t>Sub Total</t>
        </is>
      </c>
      <c r="F44" t="n">
        <v>9324.559999999999</v>
      </c>
      <c r="G44" t="n">
        <v>97.79000000000001</v>
      </c>
    </row>
    <row r="46">
      <c r="B46" t="inlineStr">
        <is>
          <t>(b) Unlisted</t>
        </is>
      </c>
    </row>
    <row r="47">
      <c r="F47" t="n">
        <v>0</v>
      </c>
      <c r="G47" t="n">
        <v>0</v>
      </c>
    </row>
    <row r="48">
      <c r="B48" t="inlineStr">
        <is>
          <t>Sub Total</t>
        </is>
      </c>
      <c r="F48" t="inlineStr">
        <is>
          <t>NIL</t>
        </is>
      </c>
      <c r="G48" t="inlineStr">
        <is>
          <t>NIL</t>
        </is>
      </c>
    </row>
    <row r="50">
      <c r="B50" t="inlineStr">
        <is>
          <t>TOTAL</t>
        </is>
      </c>
      <c r="F50" t="n">
        <v>9324.559999999999</v>
      </c>
      <c r="G50" t="n">
        <v>97.79000000000001</v>
      </c>
    </row>
    <row r="53">
      <c r="B53" t="inlineStr">
        <is>
          <t>Treps / Reverse Repo</t>
        </is>
      </c>
    </row>
    <row r="54">
      <c r="B54" t="inlineStr">
        <is>
          <t>Clearing Corporation of India Ltd.</t>
        </is>
      </c>
      <c r="F54" t="n">
        <v>199.34</v>
      </c>
      <c r="G54" t="n">
        <v>2.09</v>
      </c>
    </row>
    <row r="55">
      <c r="B55" t="inlineStr">
        <is>
          <t>Sub Total</t>
        </is>
      </c>
      <c r="F55" t="n">
        <v>199.34</v>
      </c>
      <c r="G55" t="n">
        <v>2.09</v>
      </c>
    </row>
    <row r="57">
      <c r="B57" t="inlineStr">
        <is>
          <t>TOTAL</t>
        </is>
      </c>
      <c r="F57" t="n">
        <v>199.34</v>
      </c>
      <c r="G57" t="n">
        <v>2.09</v>
      </c>
    </row>
    <row r="59">
      <c r="B59" t="inlineStr">
        <is>
          <t>Net Receivables / (Payables)</t>
        </is>
      </c>
      <c r="F59" t="n">
        <v>11.83</v>
      </c>
      <c r="G59" t="n">
        <v>0.1199999999999903</v>
      </c>
    </row>
    <row r="61">
      <c r="B61" t="inlineStr">
        <is>
          <t>GRAND TOTAL</t>
        </is>
      </c>
      <c r="F61" t="n">
        <v>9535.73</v>
      </c>
      <c r="G61" t="n">
        <v>100</v>
      </c>
    </row>
    <row r="70">
      <c r="B70" t="inlineStr">
        <is>
          <t>Notes:</t>
        </is>
      </c>
    </row>
    <row r="71">
      <c r="B71" t="inlineStr">
        <is>
          <t>1. Plan / Option-wise Net Asset Value per unit are as below :   (Face Value per unit = Rs. 10)</t>
        </is>
      </c>
    </row>
    <row r="72">
      <c r="B72" t="inlineStr">
        <is>
          <t xml:space="preserve">Plan / Option </t>
        </is>
      </c>
      <c r="C72" s="1" t="n">
        <v>45989</v>
      </c>
      <c r="D72" s="1" t="n">
        <v>46022</v>
      </c>
    </row>
    <row r="73">
      <c r="B73" t="inlineStr">
        <is>
          <t>Direct Plan</t>
        </is>
      </c>
      <c r="C73" t="inlineStr">
        <is>
          <t>(INR)</t>
        </is>
      </c>
      <c r="D73" t="inlineStr">
        <is>
          <t>(INR)</t>
        </is>
      </c>
    </row>
    <row r="74">
      <c r="B74" t="inlineStr">
        <is>
          <t>Growth</t>
        </is>
      </c>
      <c r="C74" t="n">
        <v>10.27</v>
      </c>
      <c r="D74" t="n">
        <v>10.02</v>
      </c>
    </row>
    <row r="75">
      <c r="B75" t="inlineStr">
        <is>
          <t>IDCW (earlier called Dividend)</t>
        </is>
      </c>
      <c r="C75" t="n">
        <v>10.27</v>
      </c>
      <c r="D75" t="n">
        <v>10.02</v>
      </c>
    </row>
    <row r="76">
      <c r="B76" t="inlineStr">
        <is>
          <t>Regular Plan</t>
        </is>
      </c>
    </row>
    <row r="77">
      <c r="B77" t="inlineStr">
        <is>
          <t>Growth</t>
        </is>
      </c>
      <c r="C77" t="n">
        <v>10.1</v>
      </c>
      <c r="D77" t="n">
        <v>9.84</v>
      </c>
    </row>
    <row r="78">
      <c r="B78" t="inlineStr">
        <is>
          <t>IDCW (earlier called Dividend)</t>
        </is>
      </c>
      <c r="C78" t="n">
        <v>10.1</v>
      </c>
      <c r="D78" t="n">
        <v>9.84</v>
      </c>
    </row>
    <row r="80">
      <c r="B80" t="inlineStr">
        <is>
          <t>2.   Exposure to derivative instruments in the scheme at the end of the month</t>
        </is>
      </c>
      <c r="D80" t="inlineStr">
        <is>
          <t>NIL</t>
        </is>
      </c>
    </row>
    <row r="82">
      <c r="B82" t="inlineStr">
        <is>
          <t>3.  Derivatives Transactions in the scheme for the month</t>
        </is>
      </c>
      <c r="D82" t="inlineStr">
        <is>
          <t>NIL</t>
        </is>
      </c>
    </row>
    <row r="84">
      <c r="B84" t="inlineStr">
        <is>
          <t>4.   Investment in foreign securities/ADRs/GDRs at the end of the month (INR Lacs)</t>
        </is>
      </c>
      <c r="D84" t="inlineStr">
        <is>
          <t>NIL</t>
        </is>
      </c>
    </row>
    <row r="86">
      <c r="B86" t="inlineStr">
        <is>
          <t>5.   Investment in short term deposits at the end of the month (INR Lacs)</t>
        </is>
      </c>
      <c r="D86" t="inlineStr">
        <is>
          <t>NIL</t>
        </is>
      </c>
    </row>
    <row r="88">
      <c r="B88" t="inlineStr">
        <is>
          <t>6. Portfolio Turnover Ratio</t>
        </is>
      </c>
      <c r="D88" t="n">
        <v>0.25</v>
      </c>
    </row>
    <row r="90">
      <c r="B90" t="inlineStr">
        <is>
          <t>7.   Aggregate IDCW (earlier called Dividend) declared during the month</t>
        </is>
      </c>
      <c r="D90" t="inlineStr">
        <is>
          <t>NIL</t>
        </is>
      </c>
    </row>
    <row r="92">
      <c r="B92" t="inlineStr">
        <is>
          <t>8.   (a) Total Exposure to illiquid securities in the portfolio (INR Lacs)</t>
        </is>
      </c>
      <c r="D92" t="inlineStr">
        <is>
          <t>NIL</t>
        </is>
      </c>
    </row>
    <row r="93">
      <c r="B93" t="inlineStr">
        <is>
          <t xml:space="preserve">     (b) Total Exposure to illiquid securities in the portfolio (% of AUM)</t>
        </is>
      </c>
      <c r="D93" t="inlineStr">
        <is>
          <t>NIL</t>
        </is>
      </c>
    </row>
    <row r="95">
      <c r="B95" t="inlineStr">
        <is>
          <t>9.   Instances of Fair valuation of securities or Deviation in valuation from what is  provided by valuation agencies</t>
        </is>
      </c>
      <c r="D95" t="inlineStr">
        <is>
          <t>NIL</t>
        </is>
      </c>
    </row>
    <row r="97">
      <c r="B97" t="inlineStr">
        <is>
          <t>10. Securities in default beyond its maturity date in the portfolio of the scheme</t>
        </is>
      </c>
      <c r="D97" t="inlineStr">
        <is>
          <t>NIL</t>
        </is>
      </c>
    </row>
    <row r="98">
      <c r="B98" t="inlineStr">
        <is>
          <t xml:space="preserve">11. For Performance of the scheme refer - </t>
        </is>
      </c>
      <c r="C98" t="inlineStr">
        <is>
          <t xml:space="preserve"> PGIM India Healthcare Fund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LARGE AND MIDCAP FUND</t>
        </is>
      </c>
    </row>
    <row r="2">
      <c r="B2" t="inlineStr">
        <is>
          <t>(An Open Ended Equity Scheme Investing In Both Large Cap &amp; Mid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LargeMidcap 250 Index TRI)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ICICI Bank Ltd.</t>
        </is>
      </c>
      <c r="C16" t="inlineStr">
        <is>
          <t>INE090A01021</t>
        </is>
      </c>
      <c r="D16" t="inlineStr">
        <is>
          <t>Banks</t>
        </is>
      </c>
      <c r="E16" t="n">
        <v>368980</v>
      </c>
      <c r="F16" t="n">
        <v>4955.03</v>
      </c>
      <c r="G16" t="n">
        <v>6.11</v>
      </c>
    </row>
    <row r="17">
      <c r="B17" t="inlineStr">
        <is>
          <t>HDFC Bank Ltd.</t>
        </is>
      </c>
      <c r="C17" t="inlineStr">
        <is>
          <t>INE040A01034</t>
        </is>
      </c>
      <c r="D17" t="inlineStr">
        <is>
          <t>Banks</t>
        </is>
      </c>
      <c r="E17" t="n">
        <v>481596</v>
      </c>
      <c r="F17" t="n">
        <v>4773.58</v>
      </c>
      <c r="G17" t="n">
        <v>5.88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276458</v>
      </c>
      <c r="F18" t="n">
        <v>4341.5</v>
      </c>
      <c r="G18" t="n">
        <v>5.35</v>
      </c>
    </row>
    <row r="19">
      <c r="B19" t="inlineStr">
        <is>
          <t>Eternal Ltd.</t>
        </is>
      </c>
      <c r="C19" t="inlineStr">
        <is>
          <t>INE758T01015</t>
        </is>
      </c>
      <c r="D19" t="inlineStr">
        <is>
          <t>Retailing</t>
        </is>
      </c>
      <c r="E19" t="n">
        <v>917264</v>
      </c>
      <c r="F19" t="n">
        <v>2550.45</v>
      </c>
      <c r="G19" t="n">
        <v>3.14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60158</v>
      </c>
      <c r="F20" t="n">
        <v>2456.55</v>
      </c>
      <c r="G20" t="n">
        <v>3.03</v>
      </c>
    </row>
    <row r="21">
      <c r="B21" t="inlineStr">
        <is>
          <t>Tata Consultancy Services Ltd.</t>
        </is>
      </c>
      <c r="C21" t="inlineStr">
        <is>
          <t>INE467B01029</t>
        </is>
      </c>
      <c r="D21" t="inlineStr">
        <is>
          <t>IT - Software</t>
        </is>
      </c>
      <c r="E21" t="n">
        <v>76610</v>
      </c>
      <c r="F21" t="n">
        <v>2456.27</v>
      </c>
      <c r="G21" t="n">
        <v>3.03</v>
      </c>
    </row>
    <row r="22">
      <c r="B22" t="inlineStr">
        <is>
          <t>Bharti Airtel Ltd.</t>
        </is>
      </c>
      <c r="C22" t="inlineStr">
        <is>
          <t>INE397D01024</t>
        </is>
      </c>
      <c r="D22" t="inlineStr">
        <is>
          <t>Telecom - Services</t>
        </is>
      </c>
      <c r="E22" t="n">
        <v>113763</v>
      </c>
      <c r="F22" t="n">
        <v>2395.39</v>
      </c>
      <c r="G22" t="n">
        <v>2.95</v>
      </c>
    </row>
    <row r="23">
      <c r="B23" t="inlineStr">
        <is>
          <t>Muthoot Finance Ltd.</t>
        </is>
      </c>
      <c r="C23" t="inlineStr">
        <is>
          <t>INE414G01012</t>
        </is>
      </c>
      <c r="D23" t="inlineStr">
        <is>
          <t>Finance</t>
        </is>
      </c>
      <c r="E23" t="n">
        <v>57730</v>
      </c>
      <c r="F23" t="n">
        <v>2200.49</v>
      </c>
      <c r="G23" t="n">
        <v>2.71</v>
      </c>
    </row>
    <row r="24">
      <c r="B24" t="inlineStr">
        <is>
          <t>Solar Industries India Ltd.</t>
        </is>
      </c>
      <c r="C24" t="inlineStr">
        <is>
          <t>INE343H01029</t>
        </is>
      </c>
      <c r="D24" t="inlineStr">
        <is>
          <t>Chemicals &amp; Petrochemicals</t>
        </is>
      </c>
      <c r="E24" t="n">
        <v>17786</v>
      </c>
      <c r="F24" t="n">
        <v>2179.14</v>
      </c>
      <c r="G24" t="n">
        <v>2.69</v>
      </c>
    </row>
    <row r="25">
      <c r="B25" t="inlineStr">
        <is>
          <t>Bajaj Finance Ltd.</t>
        </is>
      </c>
      <c r="C25" t="inlineStr">
        <is>
          <t>INE296A01032</t>
        </is>
      </c>
      <c r="D25" t="inlineStr">
        <is>
          <t>Finance</t>
        </is>
      </c>
      <c r="E25" t="n">
        <v>174680</v>
      </c>
      <c r="F25" t="n">
        <v>1723.74</v>
      </c>
      <c r="G25" t="n">
        <v>2.12</v>
      </c>
    </row>
    <row r="26">
      <c r="B26" t="inlineStr">
        <is>
          <t>VARUN BEVERAGES LIMITED</t>
        </is>
      </c>
      <c r="C26" t="inlineStr">
        <is>
          <t>INE200M01039</t>
        </is>
      </c>
      <c r="D26" t="inlineStr">
        <is>
          <t>Beverages</t>
        </is>
      </c>
      <c r="E26" t="n">
        <v>302895</v>
      </c>
      <c r="F26" t="n">
        <v>1483.73</v>
      </c>
      <c r="G26" t="n">
        <v>1.83</v>
      </c>
    </row>
    <row r="27">
      <c r="B27" t="inlineStr">
        <is>
          <t>Bharti Hexacom Ltd.</t>
        </is>
      </c>
      <c r="C27" t="inlineStr">
        <is>
          <t>INE343G01021</t>
        </is>
      </c>
      <c r="D27" t="inlineStr">
        <is>
          <t>Telecom - Services</t>
        </is>
      </c>
      <c r="E27" t="n">
        <v>81310</v>
      </c>
      <c r="F27" t="n">
        <v>1481.22</v>
      </c>
      <c r="G27" t="n">
        <v>1.83</v>
      </c>
    </row>
    <row r="28">
      <c r="B28" t="inlineStr">
        <is>
          <t>SRF Ltd.</t>
        </is>
      </c>
      <c r="C28" t="inlineStr">
        <is>
          <t>INE647A01010</t>
        </is>
      </c>
      <c r="D28" t="inlineStr">
        <is>
          <t>Chemicals &amp; Petrochemicals</t>
        </is>
      </c>
      <c r="E28" t="n">
        <v>47106</v>
      </c>
      <c r="F28" t="n">
        <v>1448.51</v>
      </c>
      <c r="G28" t="n">
        <v>1.78</v>
      </c>
    </row>
    <row r="29">
      <c r="B29" t="inlineStr">
        <is>
          <t>Mankind Pharma Ltd.</t>
        </is>
      </c>
      <c r="C29" t="inlineStr">
        <is>
          <t>INE634S01028</t>
        </is>
      </c>
      <c r="D29" t="inlineStr">
        <is>
          <t>Pharmaceuticals &amp; Biotechnology</t>
        </is>
      </c>
      <c r="E29" t="n">
        <v>65470</v>
      </c>
      <c r="F29" t="n">
        <v>1438.05</v>
      </c>
      <c r="G29" t="n">
        <v>1.77</v>
      </c>
    </row>
    <row r="30">
      <c r="B30" t="inlineStr">
        <is>
          <t>FSN E-Commerce Ventures Ltd.</t>
        </is>
      </c>
      <c r="C30" t="inlineStr">
        <is>
          <t>INE388Y01029</t>
        </is>
      </c>
      <c r="D30" t="inlineStr">
        <is>
          <t>Retailing</t>
        </is>
      </c>
      <c r="E30" t="n">
        <v>539952</v>
      </c>
      <c r="F30" t="n">
        <v>1431.68</v>
      </c>
      <c r="G30" t="n">
        <v>1.76</v>
      </c>
    </row>
    <row r="31">
      <c r="B31" t="inlineStr">
        <is>
          <t>ICICI Lombard General Insurance Co. Ltd.</t>
        </is>
      </c>
      <c r="C31" t="inlineStr">
        <is>
          <t>INE765G01017</t>
        </is>
      </c>
      <c r="D31" t="inlineStr">
        <is>
          <t>Insurance</t>
        </is>
      </c>
      <c r="E31" t="n">
        <v>71795</v>
      </c>
      <c r="F31" t="n">
        <v>1408.69</v>
      </c>
      <c r="G31" t="n">
        <v>1.74</v>
      </c>
    </row>
    <row r="32">
      <c r="B32" t="inlineStr">
        <is>
          <t>JK Cement Ltd.</t>
        </is>
      </c>
      <c r="C32" t="inlineStr">
        <is>
          <t>INE823G01014</t>
        </is>
      </c>
      <c r="D32" t="inlineStr">
        <is>
          <t>Cement &amp; Cement Products</t>
        </is>
      </c>
      <c r="E32" t="n">
        <v>25413</v>
      </c>
      <c r="F32" t="n">
        <v>1405.59</v>
      </c>
      <c r="G32" t="n">
        <v>1.73</v>
      </c>
    </row>
    <row r="33">
      <c r="B33" t="inlineStr">
        <is>
          <t>Maruti Suzuki India Ltd.</t>
        </is>
      </c>
      <c r="C33" t="inlineStr">
        <is>
          <t>INE585B01010</t>
        </is>
      </c>
      <c r="D33" t="inlineStr">
        <is>
          <t>Automobiles</t>
        </is>
      </c>
      <c r="E33" t="n">
        <v>7725</v>
      </c>
      <c r="F33" t="n">
        <v>1289.84</v>
      </c>
      <c r="G33" t="n">
        <v>1.59</v>
      </c>
    </row>
    <row r="34">
      <c r="B34" t="inlineStr">
        <is>
          <t>UNO Minda Ltd.</t>
        </is>
      </c>
      <c r="C34" t="inlineStr">
        <is>
          <t>INE405E01023</t>
        </is>
      </c>
      <c r="D34" t="inlineStr">
        <is>
          <t>Auto Components</t>
        </is>
      </c>
      <c r="E34" t="n">
        <v>99713</v>
      </c>
      <c r="F34" t="n">
        <v>1282.11</v>
      </c>
      <c r="G34" t="n">
        <v>1.58</v>
      </c>
    </row>
    <row r="35">
      <c r="B35" t="inlineStr">
        <is>
          <t>PB Fintech Ltd.</t>
        </is>
      </c>
      <c r="C35" t="inlineStr">
        <is>
          <t>INE417T01026</t>
        </is>
      </c>
      <c r="D35" t="inlineStr">
        <is>
          <t>Financial Technology (Fintech)</t>
        </is>
      </c>
      <c r="E35" t="n">
        <v>69326</v>
      </c>
      <c r="F35" t="n">
        <v>1265.62</v>
      </c>
      <c r="G35" t="n">
        <v>1.56</v>
      </c>
    </row>
    <row r="36">
      <c r="B36" t="inlineStr">
        <is>
          <t>Coromandel International Ltd.</t>
        </is>
      </c>
      <c r="C36" t="inlineStr">
        <is>
          <t>INE169A01031</t>
        </is>
      </c>
      <c r="D36" t="inlineStr">
        <is>
          <t>Fertilizers &amp; Agrochemicals</t>
        </is>
      </c>
      <c r="E36" t="n">
        <v>54577</v>
      </c>
      <c r="F36" t="n">
        <v>1236.93</v>
      </c>
      <c r="G36" t="n">
        <v>1.52</v>
      </c>
    </row>
    <row r="37">
      <c r="B37" t="inlineStr">
        <is>
          <t>Nestle India Ltd.</t>
        </is>
      </c>
      <c r="C37" t="inlineStr">
        <is>
          <t>INE239A01024</t>
        </is>
      </c>
      <c r="D37" t="inlineStr">
        <is>
          <t>Food Products</t>
        </is>
      </c>
      <c r="E37" t="n">
        <v>93402</v>
      </c>
      <c r="F37" t="n">
        <v>1203.02</v>
      </c>
      <c r="G37" t="n">
        <v>1.48</v>
      </c>
    </row>
    <row r="38">
      <c r="B38" t="inlineStr">
        <is>
          <t>Max Healthcare Institute Ltd.</t>
        </is>
      </c>
      <c r="C38" t="inlineStr">
        <is>
          <t>INE027H01010</t>
        </is>
      </c>
      <c r="D38" t="inlineStr">
        <is>
          <t>Healthcare Services</t>
        </is>
      </c>
      <c r="E38" t="n">
        <v>112398</v>
      </c>
      <c r="F38" t="n">
        <v>1174.67</v>
      </c>
      <c r="G38" t="n">
        <v>1.45</v>
      </c>
    </row>
    <row r="39">
      <c r="B39" t="inlineStr">
        <is>
          <t>Divi's Laboratories Ltd.</t>
        </is>
      </c>
      <c r="C39" t="inlineStr">
        <is>
          <t>INE361B01024</t>
        </is>
      </c>
      <c r="D39" t="inlineStr">
        <is>
          <t>Pharmaceuticals &amp; Biotechnology</t>
        </is>
      </c>
      <c r="E39" t="n">
        <v>17640</v>
      </c>
      <c r="F39" t="n">
        <v>1127.64</v>
      </c>
      <c r="G39" t="n">
        <v>1.39</v>
      </c>
    </row>
    <row r="40">
      <c r="B40" t="inlineStr">
        <is>
          <t>ICICI Prudential Asset Mgmt Co Ltd.</t>
        </is>
      </c>
      <c r="C40" t="inlineStr">
        <is>
          <t>INE346A01027</t>
        </is>
      </c>
      <c r="D40" t="inlineStr">
        <is>
          <t>Capital Markets</t>
        </is>
      </c>
      <c r="E40" t="n">
        <v>42048</v>
      </c>
      <c r="F40" t="n">
        <v>1118.94</v>
      </c>
      <c r="G40" t="n">
        <v>1.38</v>
      </c>
    </row>
    <row r="41">
      <c r="B41" t="inlineStr">
        <is>
          <t>Info Edge (India) Ltd.</t>
        </is>
      </c>
      <c r="C41" t="inlineStr">
        <is>
          <t>INE663F01032</t>
        </is>
      </c>
      <c r="D41" t="inlineStr">
        <is>
          <t>Retailing</t>
        </is>
      </c>
      <c r="E41" t="n">
        <v>82774</v>
      </c>
      <c r="F41" t="n">
        <v>1103.87</v>
      </c>
      <c r="G41" t="n">
        <v>1.36</v>
      </c>
    </row>
    <row r="42">
      <c r="B42" t="inlineStr">
        <is>
          <t>Dixon Technologies (India) Ltd.</t>
        </is>
      </c>
      <c r="C42" t="inlineStr">
        <is>
          <t>INE935N01020</t>
        </is>
      </c>
      <c r="D42" t="inlineStr">
        <is>
          <t>Consumer Durables</t>
        </is>
      </c>
      <c r="E42" t="n">
        <v>8925</v>
      </c>
      <c r="F42" t="n">
        <v>1080.1</v>
      </c>
      <c r="G42" t="n">
        <v>1.33</v>
      </c>
    </row>
    <row r="43">
      <c r="B43" t="inlineStr">
        <is>
          <t>SBI Life Insurance Company Ltd.</t>
        </is>
      </c>
      <c r="C43" t="inlineStr">
        <is>
          <t>INE123W01016</t>
        </is>
      </c>
      <c r="D43" t="inlineStr">
        <is>
          <t>Insurance</t>
        </is>
      </c>
      <c r="E43" t="n">
        <v>52695</v>
      </c>
      <c r="F43" t="n">
        <v>1072.29</v>
      </c>
      <c r="G43" t="n">
        <v>1.32</v>
      </c>
    </row>
    <row r="44">
      <c r="B44" t="inlineStr">
        <is>
          <t>Rubicon Research Ltd.</t>
        </is>
      </c>
      <c r="C44" t="inlineStr">
        <is>
          <t>INE506V01022</t>
        </is>
      </c>
      <c r="D44" t="inlineStr">
        <is>
          <t>Pharmaceuticals &amp; Biotechnology</t>
        </is>
      </c>
      <c r="E44" t="n">
        <v>156660</v>
      </c>
      <c r="F44" t="n">
        <v>1066.46</v>
      </c>
      <c r="G44" t="n">
        <v>1.31</v>
      </c>
    </row>
    <row r="45">
      <c r="B45" t="inlineStr">
        <is>
          <t>Bharat Electronics Ltd.</t>
        </is>
      </c>
      <c r="C45" t="inlineStr">
        <is>
          <t>INE263A01024</t>
        </is>
      </c>
      <c r="D45" t="inlineStr">
        <is>
          <t>Aerospace &amp; Defense</t>
        </is>
      </c>
      <c r="E45" t="n">
        <v>257207</v>
      </c>
      <c r="F45" t="n">
        <v>1027.8</v>
      </c>
      <c r="G45" t="n">
        <v>1.27</v>
      </c>
    </row>
    <row r="46">
      <c r="B46" t="inlineStr">
        <is>
          <t>AU Small Finance Bank Ltd.</t>
        </is>
      </c>
      <c r="C46" t="inlineStr">
        <is>
          <t>INE949L01017</t>
        </is>
      </c>
      <c r="D46" t="inlineStr">
        <is>
          <t>Banks</t>
        </is>
      </c>
      <c r="E46" t="n">
        <v>103147</v>
      </c>
      <c r="F46" t="n">
        <v>1025.8</v>
      </c>
      <c r="G46" t="n">
        <v>1.26</v>
      </c>
    </row>
    <row r="47">
      <c r="B47" t="inlineStr">
        <is>
          <t>Vishal Mega Mart Ltd</t>
        </is>
      </c>
      <c r="C47" t="inlineStr">
        <is>
          <t>INE01EA01019</t>
        </is>
      </c>
      <c r="D47" t="inlineStr">
        <is>
          <t>Retailing</t>
        </is>
      </c>
      <c r="E47" t="n">
        <v>730577</v>
      </c>
      <c r="F47" t="n">
        <v>996.29</v>
      </c>
      <c r="G47" t="n">
        <v>1.23</v>
      </c>
    </row>
    <row r="48">
      <c r="B48" t="inlineStr">
        <is>
          <t>JSW Infrastructure Ltd.</t>
        </is>
      </c>
      <c r="C48" t="inlineStr">
        <is>
          <t>INE880J01026</t>
        </is>
      </c>
      <c r="D48" t="inlineStr">
        <is>
          <t>Transport Infrastructure</t>
        </is>
      </c>
      <c r="E48" t="n">
        <v>341254</v>
      </c>
      <c r="F48" t="n">
        <v>971.89</v>
      </c>
      <c r="G48" t="n">
        <v>1.2</v>
      </c>
    </row>
    <row r="49">
      <c r="B49" t="inlineStr">
        <is>
          <t>Supreme Industries Ltd.</t>
        </is>
      </c>
      <c r="C49" t="inlineStr">
        <is>
          <t>INE195A01028</t>
        </is>
      </c>
      <c r="D49" t="inlineStr">
        <is>
          <t>Industrial Products</t>
        </is>
      </c>
      <c r="E49" t="n">
        <v>27778</v>
      </c>
      <c r="F49" t="n">
        <v>931.62</v>
      </c>
      <c r="G49" t="n">
        <v>1.15</v>
      </c>
    </row>
    <row r="50">
      <c r="B50" t="inlineStr">
        <is>
          <t>Prestige Estates Projects Ltd.</t>
        </is>
      </c>
      <c r="C50" t="inlineStr">
        <is>
          <t>INE811K01011</t>
        </is>
      </c>
      <c r="D50" t="inlineStr">
        <is>
          <t>Realty</t>
        </is>
      </c>
      <c r="E50" t="n">
        <v>58032</v>
      </c>
      <c r="F50" t="n">
        <v>925.49</v>
      </c>
      <c r="G50" t="n">
        <v>1.14</v>
      </c>
    </row>
    <row r="51">
      <c r="B51" t="inlineStr">
        <is>
          <t>Ajanta Pharma Ltd.</t>
        </is>
      </c>
      <c r="C51" t="inlineStr">
        <is>
          <t>INE031B01049</t>
        </is>
      </c>
      <c r="D51" t="inlineStr">
        <is>
          <t>Pharmaceuticals &amp; Biotechnology</t>
        </is>
      </c>
      <c r="E51" t="n">
        <v>33012</v>
      </c>
      <c r="F51" t="n">
        <v>914.0700000000001</v>
      </c>
      <c r="G51" t="n">
        <v>1.13</v>
      </c>
    </row>
    <row r="52">
      <c r="B52" t="inlineStr">
        <is>
          <t>Global Health Ltd.</t>
        </is>
      </c>
      <c r="C52" t="inlineStr">
        <is>
          <t>INE474Q01031</t>
        </is>
      </c>
      <c r="D52" t="inlineStr">
        <is>
          <t>Healthcare Services</t>
        </is>
      </c>
      <c r="E52" t="n">
        <v>75956</v>
      </c>
      <c r="F52" t="n">
        <v>901.14</v>
      </c>
      <c r="G52" t="n">
        <v>1.11</v>
      </c>
    </row>
    <row r="53">
      <c r="B53" t="inlineStr">
        <is>
          <t>Multi Commodity Exchange Of India Ltd.</t>
        </is>
      </c>
      <c r="C53" t="inlineStr">
        <is>
          <t>INE745G01035</t>
        </is>
      </c>
      <c r="D53" t="inlineStr">
        <is>
          <t>Capital Markets</t>
        </is>
      </c>
      <c r="E53" t="n">
        <v>7881</v>
      </c>
      <c r="F53" t="n">
        <v>877.63</v>
      </c>
      <c r="G53" t="n">
        <v>1.08</v>
      </c>
    </row>
    <row r="54">
      <c r="B54" t="inlineStr">
        <is>
          <t>Blue Star Ltd.</t>
        </is>
      </c>
      <c r="C54" t="inlineStr">
        <is>
          <t>INE472A01039</t>
        </is>
      </c>
      <c r="D54" t="inlineStr">
        <is>
          <t>Consumer Durables</t>
        </is>
      </c>
      <c r="E54" t="n">
        <v>48550</v>
      </c>
      <c r="F54" t="n">
        <v>840.25</v>
      </c>
      <c r="G54" t="n">
        <v>1.04</v>
      </c>
    </row>
    <row r="55">
      <c r="B55" t="inlineStr">
        <is>
          <t>CG Power and Industrial Solutions Ltd.</t>
        </is>
      </c>
      <c r="C55" t="inlineStr">
        <is>
          <t>INE067A01029</t>
        </is>
      </c>
      <c r="D55" t="inlineStr">
        <is>
          <t>Electrical Equipment</t>
        </is>
      </c>
      <c r="E55" t="n">
        <v>123974</v>
      </c>
      <c r="F55" t="n">
        <v>803.23</v>
      </c>
      <c r="G55" t="n">
        <v>0.99</v>
      </c>
    </row>
    <row r="56">
      <c r="B56" t="inlineStr">
        <is>
          <t>TVS Motor Company Ltd.</t>
        </is>
      </c>
      <c r="C56" t="inlineStr">
        <is>
          <t>INE494B01023</t>
        </is>
      </c>
      <c r="D56" t="inlineStr">
        <is>
          <t>Automobiles</t>
        </is>
      </c>
      <c r="E56" t="n">
        <v>20606</v>
      </c>
      <c r="F56" t="n">
        <v>766.5</v>
      </c>
      <c r="G56" t="n">
        <v>0.9399999999999999</v>
      </c>
    </row>
    <row r="57">
      <c r="B57" t="inlineStr">
        <is>
          <t>LG Electronics India Ltd.</t>
        </is>
      </c>
      <c r="C57" t="inlineStr">
        <is>
          <t>INE324D01010</t>
        </is>
      </c>
      <c r="D57" t="inlineStr">
        <is>
          <t>Consumer Durables</t>
        </is>
      </c>
      <c r="E57" t="n">
        <v>50029</v>
      </c>
      <c r="F57" t="n">
        <v>761.14</v>
      </c>
      <c r="G57" t="n">
        <v>0.9399999999999999</v>
      </c>
    </row>
    <row r="58">
      <c r="B58" t="inlineStr">
        <is>
          <t>Anthem Biosciences Ltd.</t>
        </is>
      </c>
      <c r="C58" t="inlineStr">
        <is>
          <t>INE0CZ201020</t>
        </is>
      </c>
      <c r="D58" t="inlineStr">
        <is>
          <t>Pharmaceuticals &amp; Biotechnology</t>
        </is>
      </c>
      <c r="E58" t="n">
        <v>114823</v>
      </c>
      <c r="F58" t="n">
        <v>748.0700000000001</v>
      </c>
      <c r="G58" t="n">
        <v>0.92</v>
      </c>
    </row>
    <row r="59">
      <c r="B59" t="inlineStr">
        <is>
          <t>Physicswallah Ltd.</t>
        </is>
      </c>
      <c r="C59" t="inlineStr">
        <is>
          <t>INE0LP301011</t>
        </is>
      </c>
      <c r="D59" t="inlineStr">
        <is>
          <t>Other Consumer Services</t>
        </is>
      </c>
      <c r="E59" t="n">
        <v>522655</v>
      </c>
      <c r="F59" t="n">
        <v>694.14</v>
      </c>
      <c r="G59" t="n">
        <v>0.86</v>
      </c>
    </row>
    <row r="60">
      <c r="B60" t="inlineStr">
        <is>
          <t>Tube Investments Of India Ltd.</t>
        </is>
      </c>
      <c r="C60" t="inlineStr">
        <is>
          <t>INE974X01010</t>
        </is>
      </c>
      <c r="D60" t="inlineStr">
        <is>
          <t>Auto Components</t>
        </is>
      </c>
      <c r="E60" t="n">
        <v>25969</v>
      </c>
      <c r="F60" t="n">
        <v>678.86</v>
      </c>
      <c r="G60" t="n">
        <v>0.84</v>
      </c>
    </row>
    <row r="61">
      <c r="B61" t="inlineStr">
        <is>
          <t>Pidilite Industries Ltd.</t>
        </is>
      </c>
      <c r="C61" t="inlineStr">
        <is>
          <t>INE318A01026</t>
        </is>
      </c>
      <c r="D61" t="inlineStr">
        <is>
          <t>Chemicals &amp; Petrochemicals</t>
        </is>
      </c>
      <c r="E61" t="n">
        <v>45548</v>
      </c>
      <c r="F61" t="n">
        <v>675.2</v>
      </c>
      <c r="G61" t="n">
        <v>0.83</v>
      </c>
    </row>
    <row r="62">
      <c r="B62" t="inlineStr">
        <is>
          <t>NTPC Ltd.</t>
        </is>
      </c>
      <c r="C62" t="inlineStr">
        <is>
          <t>INE733E01010</t>
        </is>
      </c>
      <c r="D62" t="inlineStr">
        <is>
          <t>Power</t>
        </is>
      </c>
      <c r="E62" t="n">
        <v>201799</v>
      </c>
      <c r="F62" t="n">
        <v>665.03</v>
      </c>
      <c r="G62" t="n">
        <v>0.82</v>
      </c>
    </row>
    <row r="63">
      <c r="B63" t="inlineStr">
        <is>
          <t>Hexaware Technologies Ltd.</t>
        </is>
      </c>
      <c r="C63" t="inlineStr">
        <is>
          <t>INE093A01041</t>
        </is>
      </c>
      <c r="D63" t="inlineStr">
        <is>
          <t>IT - Software</t>
        </is>
      </c>
      <c r="E63" t="n">
        <v>85713</v>
      </c>
      <c r="F63" t="n">
        <v>656.1799999999999</v>
      </c>
      <c r="G63" t="n">
        <v>0.8100000000000001</v>
      </c>
    </row>
    <row r="64">
      <c r="B64" t="inlineStr">
        <is>
          <t>360 One Wam Ltd.</t>
        </is>
      </c>
      <c r="C64" t="inlineStr">
        <is>
          <t>INE466L01038</t>
        </is>
      </c>
      <c r="D64" t="inlineStr">
        <is>
          <t>Capital Markets</t>
        </is>
      </c>
      <c r="E64" t="n">
        <v>50338</v>
      </c>
      <c r="F64" t="n">
        <v>599.02</v>
      </c>
      <c r="G64" t="n">
        <v>0.74</v>
      </c>
    </row>
    <row r="65">
      <c r="B65" t="inlineStr">
        <is>
          <t>Cholamandalam Investment &amp; Finance Company Ltd.</t>
        </is>
      </c>
      <c r="C65" t="inlineStr">
        <is>
          <t>INE121A01024</t>
        </is>
      </c>
      <c r="D65" t="inlineStr">
        <is>
          <t>Finance</t>
        </is>
      </c>
      <c r="E65" t="n">
        <v>35022</v>
      </c>
      <c r="F65" t="n">
        <v>596.14</v>
      </c>
      <c r="G65" t="n">
        <v>0.73</v>
      </c>
    </row>
    <row r="66">
      <c r="B66" t="inlineStr">
        <is>
          <t>Container Corporation Of India Ltd.</t>
        </is>
      </c>
      <c r="C66" t="inlineStr">
        <is>
          <t>INE111A01025</t>
        </is>
      </c>
      <c r="D66" t="inlineStr">
        <is>
          <t>Transport Services</t>
        </is>
      </c>
      <c r="E66" t="n">
        <v>107796</v>
      </c>
      <c r="F66" t="n">
        <v>565.88</v>
      </c>
      <c r="G66" t="n">
        <v>0.7</v>
      </c>
    </row>
    <row r="67">
      <c r="B67" t="inlineStr">
        <is>
          <t>Persistent Systems Ltd.</t>
        </is>
      </c>
      <c r="C67" t="inlineStr">
        <is>
          <t>INE262H01021</t>
        </is>
      </c>
      <c r="D67" t="inlineStr">
        <is>
          <t>IT - Software</t>
        </is>
      </c>
      <c r="E67" t="n">
        <v>8388</v>
      </c>
      <c r="F67" t="n">
        <v>526.1</v>
      </c>
      <c r="G67" t="n">
        <v>0.65</v>
      </c>
    </row>
    <row r="68">
      <c r="B68" t="inlineStr">
        <is>
          <t>Nippon Life India Asset Management Ltd.</t>
        </is>
      </c>
      <c r="C68" t="inlineStr">
        <is>
          <t>INE298J01013</t>
        </is>
      </c>
      <c r="D68" t="inlineStr">
        <is>
          <t>Capital Markets</t>
        </is>
      </c>
      <c r="E68" t="n">
        <v>59020</v>
      </c>
      <c r="F68" t="n">
        <v>519.17</v>
      </c>
      <c r="G68" t="n">
        <v>0.64</v>
      </c>
    </row>
    <row r="69">
      <c r="B69" t="inlineStr">
        <is>
          <t>Titan Company Ltd.</t>
        </is>
      </c>
      <c r="C69" t="inlineStr">
        <is>
          <t>INE280A01028</t>
        </is>
      </c>
      <c r="D69" t="inlineStr">
        <is>
          <t>Consumer Durables</t>
        </is>
      </c>
      <c r="E69" t="n">
        <v>12574</v>
      </c>
      <c r="F69" t="n">
        <v>509.44</v>
      </c>
      <c r="G69" t="n">
        <v>0.63</v>
      </c>
    </row>
    <row r="70">
      <c r="B70" t="inlineStr">
        <is>
          <t>Voltas Ltd.</t>
        </is>
      </c>
      <c r="C70" t="inlineStr">
        <is>
          <t>INE226A01021</t>
        </is>
      </c>
      <c r="D70" t="inlineStr">
        <is>
          <t>Consumer Durables</t>
        </is>
      </c>
      <c r="E70" t="n">
        <v>36742</v>
      </c>
      <c r="F70" t="n">
        <v>500.13</v>
      </c>
      <c r="G70" t="n">
        <v>0.62</v>
      </c>
    </row>
    <row r="71">
      <c r="B71" t="inlineStr">
        <is>
          <t>JB Chemicals &amp; Pharmaceuticals Ltd.</t>
        </is>
      </c>
      <c r="C71" t="inlineStr">
        <is>
          <t>INE572A01036</t>
        </is>
      </c>
      <c r="D71" t="inlineStr">
        <is>
          <t>Pharmaceuticals &amp; Biotechnology</t>
        </is>
      </c>
      <c r="E71" t="n">
        <v>26991</v>
      </c>
      <c r="F71" t="n">
        <v>491.16</v>
      </c>
      <c r="G71" t="n">
        <v>0.61</v>
      </c>
    </row>
    <row r="72">
      <c r="B72" t="inlineStr">
        <is>
          <t>Urban Company Ltd.</t>
        </is>
      </c>
      <c r="C72" t="inlineStr">
        <is>
          <t>INE0CAZ01013</t>
        </is>
      </c>
      <c r="D72" t="inlineStr">
        <is>
          <t>Retailing</t>
        </is>
      </c>
      <c r="E72" t="n">
        <v>363950</v>
      </c>
      <c r="F72" t="n">
        <v>486.06</v>
      </c>
      <c r="G72" t="n">
        <v>0.6</v>
      </c>
    </row>
    <row r="73">
      <c r="B73" t="inlineStr">
        <is>
          <t>Sun Pharmaceutical Industries Ltd.</t>
        </is>
      </c>
      <c r="C73" t="inlineStr">
        <is>
          <t>INE044A01036</t>
        </is>
      </c>
      <c r="D73" t="inlineStr">
        <is>
          <t>Pharmaceuticals &amp; Biotechnology</t>
        </is>
      </c>
      <c r="E73" t="n">
        <v>27303</v>
      </c>
      <c r="F73" t="n">
        <v>469.53</v>
      </c>
      <c r="G73" t="n">
        <v>0.58</v>
      </c>
    </row>
    <row r="74">
      <c r="B74" t="inlineStr">
        <is>
          <t>The Phoenix Mills Ltd.</t>
        </is>
      </c>
      <c r="C74" t="inlineStr">
        <is>
          <t>INE211B01039</t>
        </is>
      </c>
      <c r="D74" t="inlineStr">
        <is>
          <t>Realty</t>
        </is>
      </c>
      <c r="E74" t="n">
        <v>25306</v>
      </c>
      <c r="F74" t="n">
        <v>469.05</v>
      </c>
      <c r="G74" t="n">
        <v>0.58</v>
      </c>
    </row>
    <row r="75">
      <c r="B75" t="inlineStr">
        <is>
          <t>KEI Industries Ltd.</t>
        </is>
      </c>
      <c r="C75" t="inlineStr">
        <is>
          <t>INE878B01027</t>
        </is>
      </c>
      <c r="D75" t="inlineStr">
        <is>
          <t>Industrial Products</t>
        </is>
      </c>
      <c r="E75" t="n">
        <v>10229</v>
      </c>
      <c r="F75" t="n">
        <v>456.23</v>
      </c>
      <c r="G75" t="n">
        <v>0.5600000000000001</v>
      </c>
    </row>
    <row r="76">
      <c r="B76" t="inlineStr">
        <is>
          <t>United Spirits Ltd.</t>
        </is>
      </c>
      <c r="C76" t="inlineStr">
        <is>
          <t>INE854D01024</t>
        </is>
      </c>
      <c r="D76" t="inlineStr">
        <is>
          <t>Beverages</t>
        </is>
      </c>
      <c r="E76" t="n">
        <v>30897</v>
      </c>
      <c r="F76" t="n">
        <v>446.06</v>
      </c>
      <c r="G76" t="n">
        <v>0.55</v>
      </c>
    </row>
    <row r="77">
      <c r="B77" t="inlineStr">
        <is>
          <t>Endurance Technologies Ltd.</t>
        </is>
      </c>
      <c r="C77" t="inlineStr">
        <is>
          <t>INE913H01037</t>
        </is>
      </c>
      <c r="D77" t="inlineStr">
        <is>
          <t>Auto Components</t>
        </is>
      </c>
      <c r="E77" t="n">
        <v>15540</v>
      </c>
      <c r="F77" t="n">
        <v>402.47</v>
      </c>
      <c r="G77" t="n">
        <v>0.5</v>
      </c>
    </row>
    <row r="78">
      <c r="B78" t="inlineStr">
        <is>
          <t>Astral Ltd.</t>
        </is>
      </c>
      <c r="C78" t="inlineStr">
        <is>
          <t>INE006I01046</t>
        </is>
      </c>
      <c r="D78" t="inlineStr">
        <is>
          <t>Industrial Products</t>
        </is>
      </c>
      <c r="E78" t="n">
        <v>28531</v>
      </c>
      <c r="F78" t="n">
        <v>396.15</v>
      </c>
      <c r="G78" t="n">
        <v>0.49</v>
      </c>
    </row>
    <row r="79">
      <c r="B79" t="inlineStr">
        <is>
          <t>Jubilant Foodworks Ltd.</t>
        </is>
      </c>
      <c r="C79" t="inlineStr">
        <is>
          <t>INE797F01020</t>
        </is>
      </c>
      <c r="D79" t="inlineStr">
        <is>
          <t>Leisure Services</t>
        </is>
      </c>
      <c r="E79" t="n">
        <v>63303</v>
      </c>
      <c r="F79" t="n">
        <v>353.61</v>
      </c>
      <c r="G79" t="n">
        <v>0.44</v>
      </c>
    </row>
    <row r="80">
      <c r="B80" t="inlineStr">
        <is>
          <t>Akzo Nobel India Ltd.</t>
        </is>
      </c>
      <c r="C80" t="inlineStr">
        <is>
          <t>INE133A01011</t>
        </is>
      </c>
      <c r="D80" t="inlineStr">
        <is>
          <t>Consumer Durables</t>
        </is>
      </c>
      <c r="E80" t="n">
        <v>10344</v>
      </c>
      <c r="F80" t="n">
        <v>328.66</v>
      </c>
      <c r="G80" t="n">
        <v>0.4</v>
      </c>
    </row>
    <row r="81">
      <c r="B81" t="inlineStr">
        <is>
          <t>Schaeffler India Ltd.</t>
        </is>
      </c>
      <c r="C81" t="inlineStr">
        <is>
          <t>INE513A01022</t>
        </is>
      </c>
      <c r="D81" t="inlineStr">
        <is>
          <t>Auto Components</t>
        </is>
      </c>
      <c r="E81" t="n">
        <v>7853</v>
      </c>
      <c r="F81" t="n">
        <v>304.62</v>
      </c>
      <c r="G81" t="n">
        <v>0.38</v>
      </c>
    </row>
    <row r="82">
      <c r="B82" t="inlineStr">
        <is>
          <t>Sub Total</t>
        </is>
      </c>
      <c r="F82" t="n">
        <v>78430.91</v>
      </c>
      <c r="G82" t="n">
        <v>96.68000000000001</v>
      </c>
    </row>
    <row r="84">
      <c r="B84" t="inlineStr">
        <is>
          <t>(b) Unlisted</t>
        </is>
      </c>
    </row>
    <row r="85">
      <c r="F85" t="n">
        <v>0</v>
      </c>
      <c r="G85" t="n">
        <v>0</v>
      </c>
    </row>
    <row r="86">
      <c r="B86" t="inlineStr">
        <is>
          <t>Sub Total</t>
        </is>
      </c>
      <c r="F86" t="inlineStr">
        <is>
          <t>NIL</t>
        </is>
      </c>
      <c r="G86" t="inlineStr">
        <is>
          <t>NIL</t>
        </is>
      </c>
    </row>
    <row r="88">
      <c r="B88" t="inlineStr">
        <is>
          <t>TOTAL</t>
        </is>
      </c>
      <c r="F88" t="n">
        <v>78430.91</v>
      </c>
      <c r="G88" t="n">
        <v>96.68000000000001</v>
      </c>
    </row>
    <row r="89">
      <c r="B89" t="inlineStr">
        <is>
          <t>Debt Instruments</t>
        </is>
      </c>
    </row>
    <row r="91">
      <c r="B91" t="inlineStr">
        <is>
          <t>(a) Listed / Awaiting listing on Stock Exchanges</t>
        </is>
      </c>
    </row>
    <row r="93">
      <c r="B93" t="inlineStr">
        <is>
          <t>Sub Total</t>
        </is>
      </c>
      <c r="F93" t="inlineStr">
        <is>
          <t>NIL</t>
        </is>
      </c>
      <c r="G93" t="inlineStr">
        <is>
          <t>NIL</t>
        </is>
      </c>
    </row>
    <row r="95">
      <c r="B95" t="inlineStr">
        <is>
          <t>(b)Privately Placed/Unlisted</t>
        </is>
      </c>
    </row>
    <row r="96">
      <c r="F96" t="n">
        <v>0</v>
      </c>
      <c r="G96" t="n">
        <v>0</v>
      </c>
    </row>
    <row r="97">
      <c r="B97" t="inlineStr">
        <is>
          <t>Sub Total</t>
        </is>
      </c>
      <c r="F97" t="inlineStr">
        <is>
          <t>NIL</t>
        </is>
      </c>
      <c r="G97" t="inlineStr">
        <is>
          <t>NIL</t>
        </is>
      </c>
    </row>
    <row r="99">
      <c r="B99" t="inlineStr">
        <is>
          <t>(c)Securitised Debt Instruments</t>
        </is>
      </c>
    </row>
    <row r="100">
      <c r="F100" t="n">
        <v>0</v>
      </c>
      <c r="G100" t="n">
        <v>0</v>
      </c>
    </row>
    <row r="101">
      <c r="B101" t="inlineStr">
        <is>
          <t>Sub Total</t>
        </is>
      </c>
      <c r="F101" t="inlineStr">
        <is>
          <t>NIL</t>
        </is>
      </c>
      <c r="G101" t="inlineStr">
        <is>
          <t>NIL</t>
        </is>
      </c>
    </row>
    <row r="103">
      <c r="B103" t="inlineStr">
        <is>
          <t>TOTAL</t>
        </is>
      </c>
      <c r="F103" t="inlineStr">
        <is>
          <t>NIL</t>
        </is>
      </c>
      <c r="G103" t="inlineStr">
        <is>
          <t>NIL</t>
        </is>
      </c>
    </row>
    <row r="105">
      <c r="B105" t="inlineStr">
        <is>
          <t>Preference Shares - (Awaiting listing on Stock Exchanges)</t>
        </is>
      </c>
    </row>
    <row r="106">
      <c r="B106" t="inlineStr">
        <is>
          <t>TVS Motor Company Ltd. ** #</t>
        </is>
      </c>
      <c r="C106" t="inlineStr">
        <is>
          <t>INE494B04019</t>
        </is>
      </c>
      <c r="D106" t="inlineStr">
        <is>
          <t>CARE A1+</t>
        </is>
      </c>
      <c r="E106" t="n">
        <v>82424</v>
      </c>
      <c r="F106" t="n">
        <v>8.4</v>
      </c>
      <c r="G106" t="n">
        <v>0.01</v>
      </c>
      <c r="H106" t="n">
        <v>6.105</v>
      </c>
    </row>
    <row r="107">
      <c r="B107" t="inlineStr">
        <is>
          <t>Sub Total</t>
        </is>
      </c>
      <c r="F107">
        <f>SUM(F106)</f>
        <v/>
      </c>
      <c r="G107">
        <f>SUM(G106)</f>
        <v/>
      </c>
    </row>
    <row r="109">
      <c r="B109" t="inlineStr">
        <is>
          <t>TOTAL</t>
        </is>
      </c>
      <c r="F109">
        <f>F107</f>
        <v/>
      </c>
      <c r="G109">
        <f>G107</f>
        <v/>
      </c>
    </row>
    <row r="111">
      <c r="B111" t="inlineStr">
        <is>
          <t>Money Market Instruments</t>
        </is>
      </c>
    </row>
    <row r="113">
      <c r="B113" t="inlineStr">
        <is>
          <t>Treasury Bill</t>
        </is>
      </c>
    </row>
    <row r="114">
      <c r="B114" t="inlineStr">
        <is>
          <t>364 DAYS TBILL RED 29-10-2026</t>
        </is>
      </c>
      <c r="C114" t="inlineStr">
        <is>
          <t>IN002025Z310</t>
        </is>
      </c>
      <c r="D114" t="inlineStr">
        <is>
          <t>SOVEREIGN</t>
        </is>
      </c>
      <c r="E114" t="n">
        <v>150000</v>
      </c>
      <c r="F114" t="n">
        <v>143.55</v>
      </c>
      <c r="G114" t="n">
        <v>0.18</v>
      </c>
      <c r="H114" t="n">
        <v>5.45</v>
      </c>
    </row>
    <row r="115">
      <c r="B115" t="inlineStr">
        <is>
          <t>Sub Total</t>
        </is>
      </c>
      <c r="F115" t="n">
        <v>143.55</v>
      </c>
      <c r="G115" t="n">
        <v>0.18</v>
      </c>
    </row>
    <row r="117">
      <c r="B117" t="inlineStr">
        <is>
          <t>TOTAL</t>
        </is>
      </c>
      <c r="F117" t="n">
        <v>143.55</v>
      </c>
      <c r="G117" t="n">
        <v>0.18</v>
      </c>
    </row>
    <row r="120">
      <c r="B120" t="inlineStr">
        <is>
          <t>Treps / Reverse Repo</t>
        </is>
      </c>
    </row>
    <row r="121">
      <c r="B121" t="inlineStr">
        <is>
          <t>Clearing Corporation of India Ltd.</t>
        </is>
      </c>
      <c r="F121" t="n">
        <v>2730.21</v>
      </c>
      <c r="G121" t="n">
        <v>3.36</v>
      </c>
    </row>
    <row r="122">
      <c r="B122" t="inlineStr">
        <is>
          <t>Sub Total</t>
        </is>
      </c>
      <c r="F122" t="n">
        <v>2730.21</v>
      </c>
      <c r="G122" t="n">
        <v>3.36</v>
      </c>
    </row>
    <row r="124">
      <c r="B124" t="inlineStr">
        <is>
          <t>TOTAL</t>
        </is>
      </c>
      <c r="F124" t="n">
        <v>2730.21</v>
      </c>
      <c r="G124" t="n">
        <v>3.36</v>
      </c>
    </row>
    <row r="126">
      <c r="B126" t="inlineStr">
        <is>
          <t>Net Receivables / (Payables)</t>
        </is>
      </c>
      <c r="F126" t="n">
        <v>-153.99</v>
      </c>
      <c r="G126" t="n">
        <v>-0.2300000000000182</v>
      </c>
    </row>
    <row r="128">
      <c r="B128" t="inlineStr">
        <is>
          <t>GRAND TOTAL</t>
        </is>
      </c>
      <c r="F128" t="n">
        <v>81159.08</v>
      </c>
      <c r="G128" t="n">
        <v>100</v>
      </c>
    </row>
    <row r="130">
      <c r="B130" t="inlineStr">
        <is>
          <t>#  Unlisted Security</t>
        </is>
      </c>
    </row>
    <row r="131">
      <c r="B131" t="inlineStr">
        <is>
          <t>** Non Traded Security</t>
        </is>
      </c>
    </row>
    <row r="137">
      <c r="B137" t="inlineStr">
        <is>
          <t>Notes:</t>
        </is>
      </c>
    </row>
    <row r="138">
      <c r="B138" t="inlineStr">
        <is>
          <t>1. Plan / Option-wise Net Asset Value per unit are as below :   (Face Value per unit = Rs. 10)</t>
        </is>
      </c>
    </row>
    <row r="139">
      <c r="B139" t="inlineStr">
        <is>
          <t xml:space="preserve">Plan / Option </t>
        </is>
      </c>
      <c r="C139" s="1" t="n">
        <v>45989</v>
      </c>
      <c r="D139" s="1" t="n">
        <v>46022</v>
      </c>
    </row>
    <row r="140">
      <c r="B140" t="inlineStr">
        <is>
          <t>Direct Plan</t>
        </is>
      </c>
      <c r="C140" t="inlineStr">
        <is>
          <t>(INR)</t>
        </is>
      </c>
      <c r="D140" t="inlineStr">
        <is>
          <t>(INR)</t>
        </is>
      </c>
    </row>
    <row r="141">
      <c r="B141" t="inlineStr">
        <is>
          <t>Growth</t>
        </is>
      </c>
      <c r="C141" t="n">
        <v>13.11</v>
      </c>
      <c r="D141" t="n">
        <v>12.94</v>
      </c>
    </row>
    <row r="142">
      <c r="B142" t="inlineStr">
        <is>
          <t>IDCW (earlier called Dividend)</t>
        </is>
      </c>
      <c r="C142" t="n">
        <v>12.51</v>
      </c>
      <c r="D142" t="n">
        <v>12.35</v>
      </c>
    </row>
    <row r="143">
      <c r="B143" t="inlineStr">
        <is>
          <t>Regular Plan</t>
        </is>
      </c>
    </row>
    <row r="144">
      <c r="B144" t="inlineStr">
        <is>
          <t>IDCW (earlier called Dividend)</t>
        </is>
      </c>
      <c r="C144" t="n">
        <v>12.41</v>
      </c>
      <c r="D144" t="n">
        <v>12.24</v>
      </c>
    </row>
    <row r="145">
      <c r="B145" t="inlineStr">
        <is>
          <t>Growth</t>
        </is>
      </c>
      <c r="C145" t="n">
        <v>12.71</v>
      </c>
      <c r="D145" t="n">
        <v>12.53</v>
      </c>
    </row>
    <row r="147">
      <c r="B147" t="inlineStr">
        <is>
          <t>2.   Exposure to derivative instruments in the scheme at the end of the month</t>
        </is>
      </c>
      <c r="D147" t="inlineStr">
        <is>
          <t>NIL</t>
        </is>
      </c>
    </row>
    <row r="149">
      <c r="B149" t="inlineStr">
        <is>
          <t>3.  Derivatives Transactions in the scheme for the month</t>
        </is>
      </c>
      <c r="D149" t="inlineStr">
        <is>
          <t>NIL</t>
        </is>
      </c>
    </row>
    <row r="151">
      <c r="B151" t="inlineStr">
        <is>
          <t>4.   Investment in foreign securities/ADRs/GDRs at the end of the month (INR Lacs)</t>
        </is>
      </c>
      <c r="D151" t="inlineStr">
        <is>
          <t>NIL</t>
        </is>
      </c>
    </row>
    <row r="153">
      <c r="B153" t="inlineStr">
        <is>
          <t>5.   Investment in short term deposits at the end of the month (INR Lacs)</t>
        </is>
      </c>
      <c r="D153" t="inlineStr">
        <is>
          <t>NIL</t>
        </is>
      </c>
    </row>
    <row r="155">
      <c r="B155" t="inlineStr">
        <is>
          <t>6. Portfolio Turnover Ratio</t>
        </is>
      </c>
      <c r="D155" t="n">
        <v>0.23</v>
      </c>
    </row>
    <row r="157">
      <c r="B157" t="inlineStr">
        <is>
          <t>7.   Aggregate IDCW (earlier called Dividend) declared during the month</t>
        </is>
      </c>
      <c r="D157" t="inlineStr">
        <is>
          <t>NIL</t>
        </is>
      </c>
    </row>
    <row r="159">
      <c r="B159" t="inlineStr">
        <is>
          <t>8.   (a) Total Exposure to illiquid securities in the portfolio (INR Lacs)</t>
        </is>
      </c>
      <c r="D159" t="inlineStr">
        <is>
          <t>NIL</t>
        </is>
      </c>
    </row>
    <row r="160">
      <c r="B160" t="inlineStr">
        <is>
          <t xml:space="preserve">     (b) Total Exposure to illiquid securities in the portfolio (% of AUM)</t>
        </is>
      </c>
      <c r="D160" t="inlineStr">
        <is>
          <t>NIL</t>
        </is>
      </c>
    </row>
    <row r="162">
      <c r="B162" t="inlineStr">
        <is>
          <t>9.   Instances of Fair valuation of securities or Deviation in valuation from what is  provided by valuation agencies</t>
        </is>
      </c>
      <c r="D162" t="inlineStr">
        <is>
          <t>NIL</t>
        </is>
      </c>
    </row>
    <row r="164">
      <c r="B164" t="inlineStr">
        <is>
          <t>10. Securities in default beyond its maturity date in the portfolio of the scheme</t>
        </is>
      </c>
      <c r="D164" t="inlineStr">
        <is>
          <t>NIL</t>
        </is>
      </c>
    </row>
    <row r="165">
      <c r="B165" t="inlineStr">
        <is>
          <t xml:space="preserve">11. For Performance of the scheme refer - </t>
        </is>
      </c>
      <c r="C165" t="inlineStr">
        <is>
          <t xml:space="preserve">PGIM India Large and Mid Cap Fund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1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LARGE CAP FUND</t>
        </is>
      </c>
    </row>
    <row r="2">
      <c r="B2" t="inlineStr">
        <is>
          <t>(An Open Ended Equity Scheme Predominantly Investing In Large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100 TRI)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571054</v>
      </c>
      <c r="F16" t="n">
        <v>5660.29</v>
      </c>
      <c r="G16" t="n">
        <v>9.470000000000001</v>
      </c>
    </row>
    <row r="17">
      <c r="B17" t="inlineStr">
        <is>
          <t>Reliance Industries Ltd.</t>
        </is>
      </c>
      <c r="C17" t="inlineStr">
        <is>
          <t>INE002A01018</t>
        </is>
      </c>
      <c r="D17" t="inlineStr">
        <is>
          <t>Petroleum Products</t>
        </is>
      </c>
      <c r="E17" t="n">
        <v>344534</v>
      </c>
      <c r="F17" t="n">
        <v>5410.56</v>
      </c>
      <c r="G17" t="n">
        <v>9.050000000000001</v>
      </c>
    </row>
    <row r="18">
      <c r="B18" t="inlineStr">
        <is>
          <t>ICICI Bank Ltd.</t>
        </is>
      </c>
      <c r="C18" t="inlineStr">
        <is>
          <t>INE090A01021</t>
        </is>
      </c>
      <c r="D18" t="inlineStr">
        <is>
          <t>Banks</t>
        </is>
      </c>
      <c r="E18" t="n">
        <v>395964</v>
      </c>
      <c r="F18" t="n">
        <v>5317.4</v>
      </c>
      <c r="G18" t="n">
        <v>8.9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142657</v>
      </c>
      <c r="F19" t="n">
        <v>3003.79</v>
      </c>
      <c r="G19" t="n">
        <v>5.03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58972</v>
      </c>
      <c r="F20" t="n">
        <v>2408.12</v>
      </c>
      <c r="G20" t="n">
        <v>4.03</v>
      </c>
    </row>
    <row r="21">
      <c r="B21" t="inlineStr">
        <is>
          <t>Tata Consultancy Services Ltd.</t>
        </is>
      </c>
      <c r="C21" t="inlineStr">
        <is>
          <t>INE467B01029</t>
        </is>
      </c>
      <c r="D21" t="inlineStr">
        <is>
          <t>IT - Software</t>
        </is>
      </c>
      <c r="E21" t="n">
        <v>67863</v>
      </c>
      <c r="F21" t="n">
        <v>2175.82</v>
      </c>
      <c r="G21" t="n">
        <v>3.64</v>
      </c>
    </row>
    <row r="22">
      <c r="B22" t="inlineStr">
        <is>
          <t>Eternal Ltd.</t>
        </is>
      </c>
      <c r="C22" t="inlineStr">
        <is>
          <t>INE758T01015</t>
        </is>
      </c>
      <c r="D22" t="inlineStr">
        <is>
          <t>Retailing</t>
        </is>
      </c>
      <c r="E22" t="n">
        <v>653198</v>
      </c>
      <c r="F22" t="n">
        <v>1816.22</v>
      </c>
      <c r="G22" t="n">
        <v>3.04</v>
      </c>
    </row>
    <row r="23">
      <c r="B23" t="inlineStr">
        <is>
          <t>Bajaj Finance Ltd.</t>
        </is>
      </c>
      <c r="C23" t="inlineStr">
        <is>
          <t>INE296A01032</t>
        </is>
      </c>
      <c r="D23" t="inlineStr">
        <is>
          <t>Finance</t>
        </is>
      </c>
      <c r="E23" t="n">
        <v>180279</v>
      </c>
      <c r="F23" t="n">
        <v>1778.99</v>
      </c>
      <c r="G23" t="n">
        <v>2.98</v>
      </c>
    </row>
    <row r="24">
      <c r="B24" t="inlineStr">
        <is>
          <t>Maruti Suzuki India Ltd.</t>
        </is>
      </c>
      <c r="C24" t="inlineStr">
        <is>
          <t>INE585B01010</t>
        </is>
      </c>
      <c r="D24" t="inlineStr">
        <is>
          <t>Automobiles</t>
        </is>
      </c>
      <c r="E24" t="n">
        <v>10254</v>
      </c>
      <c r="F24" t="n">
        <v>1712.11</v>
      </c>
      <c r="G24" t="n">
        <v>2.87</v>
      </c>
    </row>
    <row r="25">
      <c r="B25" t="inlineStr">
        <is>
          <t>TVS Motor Company Ltd.</t>
        </is>
      </c>
      <c r="C25" t="inlineStr">
        <is>
          <t>INE494B01023</t>
        </is>
      </c>
      <c r="D25" t="inlineStr">
        <is>
          <t>Automobiles</t>
        </is>
      </c>
      <c r="E25" t="n">
        <v>45330</v>
      </c>
      <c r="F25" t="n">
        <v>1686.19</v>
      </c>
      <c r="G25" t="n">
        <v>2.82</v>
      </c>
    </row>
    <row r="26">
      <c r="B26" t="inlineStr">
        <is>
          <t>VARUN BEVERAGES LIMITED</t>
        </is>
      </c>
      <c r="C26" t="inlineStr">
        <is>
          <t>INE200M01039</t>
        </is>
      </c>
      <c r="D26" t="inlineStr">
        <is>
          <t>Beverages</t>
        </is>
      </c>
      <c r="E26" t="n">
        <v>308939</v>
      </c>
      <c r="F26" t="n">
        <v>1513.34</v>
      </c>
      <c r="G26" t="n">
        <v>2.53</v>
      </c>
    </row>
    <row r="27">
      <c r="B27" t="inlineStr">
        <is>
          <t>Ultratech Cement Ltd.</t>
        </is>
      </c>
      <c r="C27" t="inlineStr">
        <is>
          <t>INE481G01011</t>
        </is>
      </c>
      <c r="D27" t="inlineStr">
        <is>
          <t>Cement &amp; Cement Products</t>
        </is>
      </c>
      <c r="E27" t="n">
        <v>11792</v>
      </c>
      <c r="F27" t="n">
        <v>1389.57</v>
      </c>
      <c r="G27" t="n">
        <v>2.33</v>
      </c>
    </row>
    <row r="28">
      <c r="B28" t="inlineStr">
        <is>
          <t>Muthoot Finance Ltd.</t>
        </is>
      </c>
      <c r="C28" t="inlineStr">
        <is>
          <t>INE414G01012</t>
        </is>
      </c>
      <c r="D28" t="inlineStr">
        <is>
          <t>Finance</t>
        </is>
      </c>
      <c r="E28" t="n">
        <v>35702</v>
      </c>
      <c r="F28" t="n">
        <v>1360.85</v>
      </c>
      <c r="G28" t="n">
        <v>2.28</v>
      </c>
    </row>
    <row r="29">
      <c r="B29" t="inlineStr">
        <is>
          <t>Kotak Mahindra Bank Ltd.</t>
        </is>
      </c>
      <c r="C29" t="inlineStr">
        <is>
          <t>INE237A01028</t>
        </is>
      </c>
      <c r="D29" t="inlineStr">
        <is>
          <t>Banks</t>
        </is>
      </c>
      <c r="E29" t="n">
        <v>56895</v>
      </c>
      <c r="F29" t="n">
        <v>1252.32</v>
      </c>
      <c r="G29" t="n">
        <v>2.1</v>
      </c>
    </row>
    <row r="30">
      <c r="B30" t="inlineStr">
        <is>
          <t>Mahindra &amp; Mahindra Ltd.</t>
        </is>
      </c>
      <c r="C30" t="inlineStr">
        <is>
          <t>INE101A01026</t>
        </is>
      </c>
      <c r="D30" t="inlineStr">
        <is>
          <t>Automobiles</t>
        </is>
      </c>
      <c r="E30" t="n">
        <v>33250</v>
      </c>
      <c r="F30" t="n">
        <v>1233.31</v>
      </c>
      <c r="G30" t="n">
        <v>2.06</v>
      </c>
    </row>
    <row r="31">
      <c r="B31" t="inlineStr">
        <is>
          <t>Titan Company Ltd.</t>
        </is>
      </c>
      <c r="C31" t="inlineStr">
        <is>
          <t>INE280A01028</t>
        </is>
      </c>
      <c r="D31" t="inlineStr">
        <is>
          <t>Consumer Durables</t>
        </is>
      </c>
      <c r="E31" t="n">
        <v>30190</v>
      </c>
      <c r="F31" t="n">
        <v>1223.15</v>
      </c>
      <c r="G31" t="n">
        <v>2.05</v>
      </c>
    </row>
    <row r="32">
      <c r="B32" t="inlineStr">
        <is>
          <t>Infosys Ltd.</t>
        </is>
      </c>
      <c r="C32" t="inlineStr">
        <is>
          <t>INE009A01021</t>
        </is>
      </c>
      <c r="D32" t="inlineStr">
        <is>
          <t>IT - Software</t>
        </is>
      </c>
      <c r="E32" t="n">
        <v>73358</v>
      </c>
      <c r="F32" t="n">
        <v>1185.03</v>
      </c>
      <c r="G32" t="n">
        <v>1.98</v>
      </c>
    </row>
    <row r="33">
      <c r="B33" t="inlineStr">
        <is>
          <t>Tata Capital Ltd.</t>
        </is>
      </c>
      <c r="C33" t="inlineStr">
        <is>
          <t>INE976I01016</t>
        </is>
      </c>
      <c r="D33" t="inlineStr">
        <is>
          <t>Finance</t>
        </is>
      </c>
      <c r="E33" t="n">
        <v>322460</v>
      </c>
      <c r="F33" t="n">
        <v>1102.33</v>
      </c>
      <c r="G33" t="n">
        <v>1.84</v>
      </c>
    </row>
    <row r="34">
      <c r="B34" t="inlineStr">
        <is>
          <t>Divi's Laboratories Ltd.</t>
        </is>
      </c>
      <c r="C34" t="inlineStr">
        <is>
          <t>INE361B01024</t>
        </is>
      </c>
      <c r="D34" t="inlineStr">
        <is>
          <t>Pharmaceuticals &amp; Biotechnology</t>
        </is>
      </c>
      <c r="E34" t="n">
        <v>16380</v>
      </c>
      <c r="F34" t="n">
        <v>1047.09</v>
      </c>
      <c r="G34" t="n">
        <v>1.75</v>
      </c>
    </row>
    <row r="35">
      <c r="B35" t="inlineStr">
        <is>
          <t>NTPC Ltd.</t>
        </is>
      </c>
      <c r="C35" t="inlineStr">
        <is>
          <t>INE733E01010</t>
        </is>
      </c>
      <c r="D35" t="inlineStr">
        <is>
          <t>Power</t>
        </is>
      </c>
      <c r="E35" t="n">
        <v>317000</v>
      </c>
      <c r="F35" t="n">
        <v>1044.67</v>
      </c>
      <c r="G35" t="n">
        <v>1.75</v>
      </c>
    </row>
    <row r="36">
      <c r="B36" t="inlineStr">
        <is>
          <t>CG Power and Industrial Solutions Ltd.</t>
        </is>
      </c>
      <c r="C36" t="inlineStr">
        <is>
          <t>INE067A01029</t>
        </is>
      </c>
      <c r="D36" t="inlineStr">
        <is>
          <t>Electrical Equipment</t>
        </is>
      </c>
      <c r="E36" t="n">
        <v>136373</v>
      </c>
      <c r="F36" t="n">
        <v>883.5599999999999</v>
      </c>
      <c r="G36" t="n">
        <v>1.48</v>
      </c>
    </row>
    <row r="37">
      <c r="B37" t="inlineStr">
        <is>
          <t>ICICI Lombard General Insurance Co. Ltd.</t>
        </is>
      </c>
      <c r="C37" t="inlineStr">
        <is>
          <t>INE765G01017</t>
        </is>
      </c>
      <c r="D37" t="inlineStr">
        <is>
          <t>Insurance</t>
        </is>
      </c>
      <c r="E37" t="n">
        <v>44368</v>
      </c>
      <c r="F37" t="n">
        <v>870.54</v>
      </c>
      <c r="G37" t="n">
        <v>1.46</v>
      </c>
    </row>
    <row r="38">
      <c r="B38" t="inlineStr">
        <is>
          <t>Persistent Systems Ltd.</t>
        </is>
      </c>
      <c r="C38" t="inlineStr">
        <is>
          <t>INE262H01021</t>
        </is>
      </c>
      <c r="D38" t="inlineStr">
        <is>
          <t>IT - Software</t>
        </is>
      </c>
      <c r="E38" t="n">
        <v>12360</v>
      </c>
      <c r="F38" t="n">
        <v>775.22</v>
      </c>
      <c r="G38" t="n">
        <v>1.3</v>
      </c>
    </row>
    <row r="39">
      <c r="B39" t="inlineStr">
        <is>
          <t>Mankind Pharma Ltd.</t>
        </is>
      </c>
      <c r="C39" t="inlineStr">
        <is>
          <t>INE634S01028</t>
        </is>
      </c>
      <c r="D39" t="inlineStr">
        <is>
          <t>Pharmaceuticals &amp; Biotechnology</t>
        </is>
      </c>
      <c r="E39" t="n">
        <v>34023</v>
      </c>
      <c r="F39" t="n">
        <v>747.3200000000001</v>
      </c>
      <c r="G39" t="n">
        <v>1.25</v>
      </c>
    </row>
    <row r="40">
      <c r="B40" t="inlineStr">
        <is>
          <t>PB Fintech Ltd.</t>
        </is>
      </c>
      <c r="C40" t="inlineStr">
        <is>
          <t>INE417T01026</t>
        </is>
      </c>
      <c r="D40" t="inlineStr">
        <is>
          <t>Financial Technology (Fintech)</t>
        </is>
      </c>
      <c r="E40" t="n">
        <v>40726</v>
      </c>
      <c r="F40" t="n">
        <v>743.49</v>
      </c>
      <c r="G40" t="n">
        <v>1.24</v>
      </c>
    </row>
    <row r="41">
      <c r="B41" t="inlineStr">
        <is>
          <t>Cummins India Ltd.</t>
        </is>
      </c>
      <c r="C41" t="inlineStr">
        <is>
          <t>INE298A01020</t>
        </is>
      </c>
      <c r="D41" t="inlineStr">
        <is>
          <t>Industrial Products</t>
        </is>
      </c>
      <c r="E41" t="n">
        <v>16745</v>
      </c>
      <c r="F41" t="n">
        <v>742.54</v>
      </c>
      <c r="G41" t="n">
        <v>1.24</v>
      </c>
    </row>
    <row r="42">
      <c r="B42" t="inlineStr">
        <is>
          <t>Britannia Industries Ltd.</t>
        </is>
      </c>
      <c r="C42" t="inlineStr">
        <is>
          <t>INE216A01030</t>
        </is>
      </c>
      <c r="D42" t="inlineStr">
        <is>
          <t>Food Products</t>
        </is>
      </c>
      <c r="E42" t="n">
        <v>12093</v>
      </c>
      <c r="F42" t="n">
        <v>729.33</v>
      </c>
      <c r="G42" t="n">
        <v>1.22</v>
      </c>
    </row>
    <row r="43">
      <c r="B43" t="inlineStr">
        <is>
          <t>Tech Mahindra Ltd.</t>
        </is>
      </c>
      <c r="C43" t="inlineStr">
        <is>
          <t>INE669C01036</t>
        </is>
      </c>
      <c r="D43" t="inlineStr">
        <is>
          <t>IT - Software</t>
        </is>
      </c>
      <c r="E43" t="n">
        <v>41751</v>
      </c>
      <c r="F43" t="n">
        <v>664.22</v>
      </c>
      <c r="G43" t="n">
        <v>1.11</v>
      </c>
    </row>
    <row r="44">
      <c r="B44" t="inlineStr">
        <is>
          <t>United Spirits Ltd.</t>
        </is>
      </c>
      <c r="C44" t="inlineStr">
        <is>
          <t>INE854D01024</t>
        </is>
      </c>
      <c r="D44" t="inlineStr">
        <is>
          <t>Beverages</t>
        </is>
      </c>
      <c r="E44" t="n">
        <v>45902</v>
      </c>
      <c r="F44" t="n">
        <v>662.6900000000001</v>
      </c>
      <c r="G44" t="n">
        <v>1.11</v>
      </c>
    </row>
    <row r="45">
      <c r="B45" t="inlineStr">
        <is>
          <t>Prestige Estates Projects Ltd.</t>
        </is>
      </c>
      <c r="C45" t="inlineStr">
        <is>
          <t>INE811K01011</t>
        </is>
      </c>
      <c r="D45" t="inlineStr">
        <is>
          <t>Realty</t>
        </is>
      </c>
      <c r="E45" t="n">
        <v>39836</v>
      </c>
      <c r="F45" t="n">
        <v>635.3</v>
      </c>
      <c r="G45" t="n">
        <v>1.06</v>
      </c>
    </row>
    <row r="46">
      <c r="B46" t="inlineStr">
        <is>
          <t>Dr. Reddy's Laboratories Ltd.</t>
        </is>
      </c>
      <c r="C46" t="inlineStr">
        <is>
          <t>INE089A01031</t>
        </is>
      </c>
      <c r="D46" t="inlineStr">
        <is>
          <t>Pharmaceuticals &amp; Biotechnology</t>
        </is>
      </c>
      <c r="E46" t="n">
        <v>49310</v>
      </c>
      <c r="F46" t="n">
        <v>626.9299999999999</v>
      </c>
      <c r="G46" t="n">
        <v>1.05</v>
      </c>
    </row>
    <row r="47">
      <c r="B47" t="inlineStr">
        <is>
          <t>Eicher Motors Ltd.</t>
        </is>
      </c>
      <c r="C47" t="inlineStr">
        <is>
          <t>INE066A01021</t>
        </is>
      </c>
      <c r="D47" t="inlineStr">
        <is>
          <t>Automobiles</t>
        </is>
      </c>
      <c r="E47" t="n">
        <v>8420</v>
      </c>
      <c r="F47" t="n">
        <v>615.71</v>
      </c>
      <c r="G47" t="n">
        <v>1.03</v>
      </c>
    </row>
    <row r="48">
      <c r="B48" t="inlineStr">
        <is>
          <t>JSW Steel Ltd.</t>
        </is>
      </c>
      <c r="C48" t="inlineStr">
        <is>
          <t>INE019A01038</t>
        </is>
      </c>
      <c r="D48" t="inlineStr">
        <is>
          <t>Ferrous Metals</t>
        </is>
      </c>
      <c r="E48" t="n">
        <v>50038</v>
      </c>
      <c r="F48" t="n">
        <v>582.84</v>
      </c>
      <c r="G48" t="n">
        <v>0.98</v>
      </c>
    </row>
    <row r="49">
      <c r="B49" t="inlineStr">
        <is>
          <t>Max Healthcare Institute Ltd.</t>
        </is>
      </c>
      <c r="C49" t="inlineStr">
        <is>
          <t>INE027H01010</t>
        </is>
      </c>
      <c r="D49" t="inlineStr">
        <is>
          <t>Healthcare Services</t>
        </is>
      </c>
      <c r="E49" t="n">
        <v>55307</v>
      </c>
      <c r="F49" t="n">
        <v>578.01</v>
      </c>
      <c r="G49" t="n">
        <v>0.97</v>
      </c>
    </row>
    <row r="50">
      <c r="B50" t="inlineStr">
        <is>
          <t>Solar Industries India Ltd.</t>
        </is>
      </c>
      <c r="C50" t="inlineStr">
        <is>
          <t>INE343H01029</t>
        </is>
      </c>
      <c r="D50" t="inlineStr">
        <is>
          <t>Chemicals &amp; Petrochemicals</t>
        </is>
      </c>
      <c r="E50" t="n">
        <v>4677</v>
      </c>
      <c r="F50" t="n">
        <v>573.03</v>
      </c>
      <c r="G50" t="n">
        <v>0.96</v>
      </c>
    </row>
    <row r="51">
      <c r="B51" t="inlineStr">
        <is>
          <t>Samvardhana Motherson International Ltd.</t>
        </is>
      </c>
      <c r="C51" t="inlineStr">
        <is>
          <t>INE775A01035</t>
        </is>
      </c>
      <c r="D51" t="inlineStr">
        <is>
          <t>Auto Components</t>
        </is>
      </c>
      <c r="E51" t="n">
        <v>459600</v>
      </c>
      <c r="F51" t="n">
        <v>551.24</v>
      </c>
      <c r="G51" t="n">
        <v>0.92</v>
      </c>
    </row>
    <row r="52">
      <c r="B52" t="inlineStr">
        <is>
          <t>ITC Ltd.</t>
        </is>
      </c>
      <c r="C52" t="inlineStr">
        <is>
          <t>INE154A01025</t>
        </is>
      </c>
      <c r="D52" t="inlineStr">
        <is>
          <t>Diversified FMCG</t>
        </is>
      </c>
      <c r="E52" t="n">
        <v>135588</v>
      </c>
      <c r="F52" t="n">
        <v>546.42</v>
      </c>
      <c r="G52" t="n">
        <v>0.91</v>
      </c>
    </row>
    <row r="53">
      <c r="B53" t="inlineStr">
        <is>
          <t>ICICI Prudential Asset Mgmt Co Ltd.</t>
        </is>
      </c>
      <c r="C53" t="inlineStr">
        <is>
          <t>INE346A01027</t>
        </is>
      </c>
      <c r="D53" t="inlineStr">
        <is>
          <t>Capital Markets</t>
        </is>
      </c>
      <c r="E53" t="n">
        <v>19570</v>
      </c>
      <c r="F53" t="n">
        <v>520.78</v>
      </c>
      <c r="G53" t="n">
        <v>0.87</v>
      </c>
    </row>
    <row r="54">
      <c r="B54" t="inlineStr">
        <is>
          <t>Sun Pharmaceutical Industries Ltd.</t>
        </is>
      </c>
      <c r="C54" t="inlineStr">
        <is>
          <t>INE044A01036</t>
        </is>
      </c>
      <c r="D54" t="inlineStr">
        <is>
          <t>Pharmaceuticals &amp; Biotechnology</t>
        </is>
      </c>
      <c r="E54" t="n">
        <v>29660</v>
      </c>
      <c r="F54" t="n">
        <v>510.06</v>
      </c>
      <c r="G54" t="n">
        <v>0.85</v>
      </c>
    </row>
    <row r="55">
      <c r="B55" t="inlineStr">
        <is>
          <t>LG Electronics India Ltd.</t>
        </is>
      </c>
      <c r="C55" t="inlineStr">
        <is>
          <t>INE324D01010</t>
        </is>
      </c>
      <c r="D55" t="inlineStr">
        <is>
          <t>Consumer Durables</t>
        </is>
      </c>
      <c r="E55" t="n">
        <v>30404</v>
      </c>
      <c r="F55" t="n">
        <v>462.57</v>
      </c>
      <c r="G55" t="n">
        <v>0.77</v>
      </c>
    </row>
    <row r="56">
      <c r="B56" t="inlineStr">
        <is>
          <t>Dixon Technologies (India) Ltd.</t>
        </is>
      </c>
      <c r="C56" t="inlineStr">
        <is>
          <t>INE935N01020</t>
        </is>
      </c>
      <c r="D56" t="inlineStr">
        <is>
          <t>Consumer Durables</t>
        </is>
      </c>
      <c r="E56" t="n">
        <v>3660</v>
      </c>
      <c r="F56" t="n">
        <v>442.93</v>
      </c>
      <c r="G56" t="n">
        <v>0.74</v>
      </c>
    </row>
    <row r="57">
      <c r="B57" t="inlineStr">
        <is>
          <t>HDFC Life Insurance Company Ltd.</t>
        </is>
      </c>
      <c r="C57" t="inlineStr">
        <is>
          <t>INE795G01014</t>
        </is>
      </c>
      <c r="D57" t="inlineStr">
        <is>
          <t>Insurance</t>
        </is>
      </c>
      <c r="E57" t="n">
        <v>59008</v>
      </c>
      <c r="F57" t="n">
        <v>442.47</v>
      </c>
      <c r="G57" t="n">
        <v>0.74</v>
      </c>
    </row>
    <row r="58">
      <c r="B58" t="inlineStr">
        <is>
          <t>Vishal Mega Mart Ltd</t>
        </is>
      </c>
      <c r="C58" t="inlineStr">
        <is>
          <t>INE01EA01019</t>
        </is>
      </c>
      <c r="D58" t="inlineStr">
        <is>
          <t>Retailing</t>
        </is>
      </c>
      <c r="E58" t="n">
        <v>298376</v>
      </c>
      <c r="F58" t="n">
        <v>406.9</v>
      </c>
      <c r="G58" t="n">
        <v>0.68</v>
      </c>
    </row>
    <row r="59">
      <c r="B59" t="inlineStr">
        <is>
          <t>Hindalco Industries Ltd.</t>
        </is>
      </c>
      <c r="C59" t="inlineStr">
        <is>
          <t>INE038A01020</t>
        </is>
      </c>
      <c r="D59" t="inlineStr">
        <is>
          <t>Non - Ferrous Metals</t>
        </is>
      </c>
      <c r="E59" t="n">
        <v>40000</v>
      </c>
      <c r="F59" t="n">
        <v>354.68</v>
      </c>
      <c r="G59" t="n">
        <v>0.59</v>
      </c>
    </row>
    <row r="60">
      <c r="B60" t="inlineStr">
        <is>
          <t>The Indian Hotels Company Ltd.</t>
        </is>
      </c>
      <c r="C60" t="inlineStr">
        <is>
          <t>INE053A01029</t>
        </is>
      </c>
      <c r="D60" t="inlineStr">
        <is>
          <t>Leisure Services</t>
        </is>
      </c>
      <c r="E60" t="n">
        <v>39580</v>
      </c>
      <c r="F60" t="n">
        <v>292.44</v>
      </c>
      <c r="G60" t="n">
        <v>0.49</v>
      </c>
    </row>
    <row r="61">
      <c r="B61" t="inlineStr">
        <is>
          <t>Sub Total</t>
        </is>
      </c>
      <c r="F61" t="n">
        <v>58282.37</v>
      </c>
      <c r="G61" t="n">
        <v>97.52</v>
      </c>
    </row>
    <row r="63">
      <c r="B63" t="inlineStr">
        <is>
          <t>(b) Unlisted</t>
        </is>
      </c>
    </row>
    <row r="64">
      <c r="F64" t="n">
        <v>0</v>
      </c>
      <c r="G64" t="n">
        <v>0</v>
      </c>
    </row>
    <row r="65">
      <c r="B65" t="inlineStr">
        <is>
          <t>Sub Total</t>
        </is>
      </c>
      <c r="F65" t="inlineStr">
        <is>
          <t>NIL</t>
        </is>
      </c>
      <c r="G65" t="inlineStr">
        <is>
          <t>NIL</t>
        </is>
      </c>
    </row>
    <row r="67">
      <c r="B67" t="inlineStr">
        <is>
          <t>TOTAL</t>
        </is>
      </c>
      <c r="F67" t="n">
        <v>58282.37</v>
      </c>
      <c r="G67" t="n">
        <v>97.52</v>
      </c>
    </row>
    <row r="68">
      <c r="B68" t="inlineStr">
        <is>
          <t>Debt Instruments</t>
        </is>
      </c>
    </row>
    <row r="70">
      <c r="B70" t="inlineStr">
        <is>
          <t>(a) Listed / Awaiting listing on Stock Exchanges</t>
        </is>
      </c>
    </row>
    <row r="72">
      <c r="B72" t="inlineStr">
        <is>
          <t>Sub Total</t>
        </is>
      </c>
      <c r="F72" t="inlineStr">
        <is>
          <t>NIL</t>
        </is>
      </c>
      <c r="G72" t="inlineStr">
        <is>
          <t>NIL</t>
        </is>
      </c>
    </row>
    <row r="74">
      <c r="B74" t="inlineStr">
        <is>
          <t>(b)Privately Placed/Unlisted</t>
        </is>
      </c>
    </row>
    <row r="75">
      <c r="F75" t="n">
        <v>0</v>
      </c>
      <c r="G75" t="n">
        <v>0</v>
      </c>
    </row>
    <row r="76">
      <c r="B76" t="inlineStr">
        <is>
          <t>Sub Total</t>
        </is>
      </c>
      <c r="F76" t="inlineStr">
        <is>
          <t>NIL</t>
        </is>
      </c>
      <c r="G76" t="inlineStr">
        <is>
          <t>NIL</t>
        </is>
      </c>
    </row>
    <row r="78">
      <c r="B78" t="inlineStr">
        <is>
          <t>(c)Securitised Debt Instruments</t>
        </is>
      </c>
    </row>
    <row r="79">
      <c r="F79" t="n">
        <v>0</v>
      </c>
      <c r="G79" t="n">
        <v>0</v>
      </c>
    </row>
    <row r="80">
      <c r="B80" t="inlineStr">
        <is>
          <t>Sub Total</t>
        </is>
      </c>
      <c r="F80" t="inlineStr">
        <is>
          <t>NIL</t>
        </is>
      </c>
      <c r="G80" t="inlineStr">
        <is>
          <t>NIL</t>
        </is>
      </c>
    </row>
    <row r="82">
      <c r="B82" t="inlineStr">
        <is>
          <t>TOTAL</t>
        </is>
      </c>
      <c r="F82" t="inlineStr">
        <is>
          <t>NIL</t>
        </is>
      </c>
      <c r="G82" t="inlineStr">
        <is>
          <t>NIL</t>
        </is>
      </c>
    </row>
    <row r="84">
      <c r="B84" t="inlineStr">
        <is>
          <t>Preference Shares - (Awaiting listing on Stock Exchanges)</t>
        </is>
      </c>
    </row>
    <row r="85">
      <c r="B85" t="inlineStr">
        <is>
          <t>TVS Motor Company Ltd. ** #</t>
        </is>
      </c>
      <c r="C85" t="inlineStr">
        <is>
          <t>INE494B04019</t>
        </is>
      </c>
      <c r="D85" t="inlineStr">
        <is>
          <t>CARE A1+</t>
        </is>
      </c>
      <c r="E85" t="n">
        <v>239480</v>
      </c>
      <c r="F85" t="n">
        <v>24.39</v>
      </c>
      <c r="G85" t="n">
        <v>0.04</v>
      </c>
      <c r="H85" t="n">
        <v>6.105</v>
      </c>
    </row>
    <row r="86">
      <c r="B86" t="inlineStr">
        <is>
          <t>Sub Total</t>
        </is>
      </c>
      <c r="F86">
        <f>SUM(F85)</f>
        <v/>
      </c>
      <c r="G86">
        <f>SUM(G85)</f>
        <v/>
      </c>
    </row>
    <row r="88">
      <c r="B88" t="inlineStr">
        <is>
          <t>TOTAL</t>
        </is>
      </c>
      <c r="F88">
        <f>F86</f>
        <v/>
      </c>
      <c r="G88">
        <f>G86</f>
        <v/>
      </c>
    </row>
    <row r="90">
      <c r="B90" t="inlineStr">
        <is>
          <t>Money Market Instruments</t>
        </is>
      </c>
    </row>
    <row r="92">
      <c r="B92" t="inlineStr">
        <is>
          <t>Treasury Bill</t>
        </is>
      </c>
    </row>
    <row r="93">
      <c r="B93" t="inlineStr">
        <is>
          <t>364 DAYS TBILL RED 29-10-2026</t>
        </is>
      </c>
      <c r="C93" t="inlineStr">
        <is>
          <t>IN002025Z310</t>
        </is>
      </c>
      <c r="D93" t="inlineStr">
        <is>
          <t>SOVEREIGN</t>
        </is>
      </c>
      <c r="E93" t="n">
        <v>50000</v>
      </c>
      <c r="F93" t="n">
        <v>47.85</v>
      </c>
      <c r="G93" t="n">
        <v>0.08</v>
      </c>
      <c r="H93" t="n">
        <v>5.45</v>
      </c>
    </row>
    <row r="94">
      <c r="B94" t="inlineStr">
        <is>
          <t>Sub Total</t>
        </is>
      </c>
      <c r="F94" t="n">
        <v>47.85</v>
      </c>
      <c r="G94" t="n">
        <v>0.08</v>
      </c>
    </row>
    <row r="96">
      <c r="B96" t="inlineStr">
        <is>
          <t>TOTAL</t>
        </is>
      </c>
      <c r="F96" t="n">
        <v>47.85</v>
      </c>
      <c r="G96" t="n">
        <v>0.08</v>
      </c>
    </row>
    <row r="99">
      <c r="B99" t="inlineStr">
        <is>
          <t>Treps / Reverse Repo</t>
        </is>
      </c>
    </row>
    <row r="100">
      <c r="B100" t="inlineStr">
        <is>
          <t>Clearing Corporation of India Ltd.</t>
        </is>
      </c>
      <c r="F100" t="n">
        <v>1441.54</v>
      </c>
      <c r="G100" t="n">
        <v>2.41</v>
      </c>
    </row>
    <row r="101">
      <c r="B101" t="inlineStr">
        <is>
          <t>Sub Total</t>
        </is>
      </c>
      <c r="F101" t="n">
        <v>1441.54</v>
      </c>
      <c r="G101" t="n">
        <v>2.41</v>
      </c>
    </row>
    <row r="103">
      <c r="B103" t="inlineStr">
        <is>
          <t>TOTAL</t>
        </is>
      </c>
      <c r="F103" t="n">
        <v>1441.54</v>
      </c>
      <c r="G103" t="n">
        <v>2.41</v>
      </c>
    </row>
    <row r="105">
      <c r="B105" t="inlineStr">
        <is>
          <t>Net Receivables / (Payables)</t>
        </is>
      </c>
      <c r="F105" t="n">
        <v>-40.33</v>
      </c>
      <c r="G105" t="n">
        <v>-0.04999999999999716</v>
      </c>
    </row>
    <row r="107">
      <c r="B107" t="inlineStr">
        <is>
          <t>GRAND TOTAL</t>
        </is>
      </c>
      <c r="F107" t="n">
        <v>59755.82</v>
      </c>
      <c r="G107" t="n">
        <v>100</v>
      </c>
    </row>
    <row r="109">
      <c r="B109" t="inlineStr">
        <is>
          <t>#  Unlisted Security</t>
        </is>
      </c>
    </row>
    <row r="110">
      <c r="B110" t="inlineStr">
        <is>
          <t>** Non Traded Security</t>
        </is>
      </c>
    </row>
    <row r="116">
      <c r="B116" t="inlineStr">
        <is>
          <t>Notes:</t>
        </is>
      </c>
    </row>
    <row r="117">
      <c r="B117" t="inlineStr">
        <is>
          <t>1. Plan / Option-wise Net Asset Value per unit are as below :   (Face Value per unit = Rs. 10)</t>
        </is>
      </c>
    </row>
    <row r="118">
      <c r="B118" t="inlineStr">
        <is>
          <t xml:space="preserve">Plan / Option </t>
        </is>
      </c>
      <c r="C118" s="1" t="n">
        <v>45989</v>
      </c>
      <c r="D118" s="1" t="n">
        <v>46022</v>
      </c>
    </row>
    <row r="119">
      <c r="B119" t="inlineStr">
        <is>
          <t>Direct Plan</t>
        </is>
      </c>
      <c r="C119" t="inlineStr">
        <is>
          <t>(INR)</t>
        </is>
      </c>
      <c r="D119" t="inlineStr">
        <is>
          <t>(INR)</t>
        </is>
      </c>
    </row>
    <row r="120">
      <c r="B120" t="inlineStr">
        <is>
          <t>Growth</t>
        </is>
      </c>
      <c r="C120" t="n">
        <v>421.57</v>
      </c>
      <c r="D120" t="n">
        <v>417.58</v>
      </c>
    </row>
    <row r="121">
      <c r="B121" t="inlineStr">
        <is>
          <t>IDCW (earlier called Dividend)</t>
        </is>
      </c>
      <c r="C121" t="n">
        <v>29.62</v>
      </c>
      <c r="D121" t="n">
        <v>28.75</v>
      </c>
    </row>
    <row r="122">
      <c r="B122" t="inlineStr">
        <is>
          <t>Regular Plan</t>
        </is>
      </c>
    </row>
    <row r="123">
      <c r="B123" t="inlineStr">
        <is>
          <t>Growth</t>
        </is>
      </c>
      <c r="C123" t="n">
        <v>353.37</v>
      </c>
      <c r="D123" t="n">
        <v>349.53</v>
      </c>
    </row>
    <row r="124">
      <c r="B124" t="inlineStr">
        <is>
          <t>IDCW (earlier called Dividend)</t>
        </is>
      </c>
      <c r="C124" t="n">
        <v>20.62</v>
      </c>
      <c r="D124" t="n">
        <v>19.99</v>
      </c>
    </row>
    <row r="126">
      <c r="B126" t="inlineStr">
        <is>
          <t>2.   Exposure to derivative instruments in the scheme at the end of the month</t>
        </is>
      </c>
      <c r="D126" t="inlineStr">
        <is>
          <t>NIL</t>
        </is>
      </c>
    </row>
    <row r="128">
      <c r="B128" t="inlineStr">
        <is>
          <t>3.  Derivatives Transactions in the scheme for the month</t>
        </is>
      </c>
      <c r="D128" t="inlineStr">
        <is>
          <t>NIL</t>
        </is>
      </c>
    </row>
    <row r="130">
      <c r="B130" t="inlineStr">
        <is>
          <t>4.   Investment in foreign securities/ADRs/GDRs at the end of the month (INR Lacs)</t>
        </is>
      </c>
      <c r="D130" t="inlineStr">
        <is>
          <t>NIL</t>
        </is>
      </c>
    </row>
    <row r="132">
      <c r="B132" t="inlineStr">
        <is>
          <t>5.   Investment in short term deposits at the end of the month (INR Lacs)</t>
        </is>
      </c>
      <c r="D132" t="inlineStr">
        <is>
          <t>NIL</t>
        </is>
      </c>
    </row>
    <row r="134">
      <c r="B134" t="inlineStr">
        <is>
          <t>6. Portfolio Turnover Ratio</t>
        </is>
      </c>
      <c r="D134" t="n">
        <v>0.21</v>
      </c>
    </row>
    <row r="136">
      <c r="B136" t="inlineStr">
        <is>
          <t>7.   Aggregate IDCW (earlier called Dividend) declared during the month</t>
        </is>
      </c>
    </row>
    <row r="137">
      <c r="B137" t="inlineStr">
        <is>
          <t>Plan/Option</t>
        </is>
      </c>
      <c r="C137" t="inlineStr">
        <is>
          <t>Dividend Rate</t>
        </is>
      </c>
    </row>
    <row r="138">
      <c r="B138" t="inlineStr">
        <is>
          <t>Direct Plan</t>
        </is>
      </c>
    </row>
    <row r="139">
      <c r="B139" t="inlineStr">
        <is>
          <t>IDCW (earlier called Dividend)</t>
        </is>
      </c>
      <c r="C139" t="n">
        <v>0.5851</v>
      </c>
    </row>
    <row r="140">
      <c r="B140" t="inlineStr">
        <is>
          <t>Regular Plan</t>
        </is>
      </c>
    </row>
    <row r="141">
      <c r="B141" t="inlineStr">
        <is>
          <t>IDCW (earlier called Dividend)</t>
        </is>
      </c>
      <c r="C141" t="n">
        <v>0.4071</v>
      </c>
    </row>
    <row r="142">
      <c r="B142" t="inlineStr">
        <is>
          <t>IDCWs are declared on face value. After distribution of IDCW, the NAV falls to the extent of IDCW and statutory levy (if applicable).</t>
        </is>
      </c>
    </row>
    <row r="144">
      <c r="B144" t="inlineStr">
        <is>
          <t>8.   (a) Total Exposure to illiquid securities in the portfolio (INR Lacs)</t>
        </is>
      </c>
      <c r="D144" t="inlineStr">
        <is>
          <t>NIL</t>
        </is>
      </c>
    </row>
    <row r="145">
      <c r="B145" t="inlineStr">
        <is>
          <t xml:space="preserve">     (b) Total Exposure to illiquid securities in the portfolio (% of AUM)</t>
        </is>
      </c>
      <c r="D145" t="inlineStr">
        <is>
          <t>NIL</t>
        </is>
      </c>
    </row>
    <row r="147">
      <c r="B147" t="inlineStr">
        <is>
          <t>9.   Instances of Fair valuation of securities or Deviation in valuation from what is  provided by valuation agencies</t>
        </is>
      </c>
      <c r="D147" t="inlineStr">
        <is>
          <t>NIL</t>
        </is>
      </c>
    </row>
    <row r="149">
      <c r="B149" t="inlineStr">
        <is>
          <t>10. Securities in default beyond its maturity date in the portfolio of the scheme</t>
        </is>
      </c>
      <c r="D149" t="inlineStr">
        <is>
          <t>NIL</t>
        </is>
      </c>
    </row>
    <row r="150">
      <c r="B150" t="inlineStr">
        <is>
          <t xml:space="preserve">11. For Performance of the scheme refer - </t>
        </is>
      </c>
      <c r="C150" t="inlineStr">
        <is>
          <t xml:space="preserve">PGIM India Large Cap Fund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MIDCAP FUND</t>
        </is>
      </c>
    </row>
    <row r="2">
      <c r="B2" t="inlineStr">
        <is>
          <t>(An Open Ended Equity Scheme Predominantly Investing In Mid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Midcap 150 TRI) </t>
        </is>
      </c>
    </row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5">
      <c r="B15" t="inlineStr">
        <is>
          <t>(a)Listed / Awaiting listing on Stock Exchanges</t>
        </is>
      </c>
    </row>
    <row r="16">
      <c r="B16" t="inlineStr">
        <is>
          <t>Persistent Systems Ltd.</t>
        </is>
      </c>
      <c r="C16" t="inlineStr">
        <is>
          <t>INE262H01021</t>
        </is>
      </c>
      <c r="D16" t="inlineStr">
        <is>
          <t>IT - Software</t>
        </is>
      </c>
      <c r="E16" t="n">
        <v>519779</v>
      </c>
      <c r="F16" t="n">
        <v>32600.54</v>
      </c>
      <c r="G16" t="n">
        <v>2.89</v>
      </c>
    </row>
    <row r="17">
      <c r="B17" t="inlineStr">
        <is>
          <t>UNO Minda Ltd.</t>
        </is>
      </c>
      <c r="C17" t="inlineStr">
        <is>
          <t>INE405E01023</t>
        </is>
      </c>
      <c r="D17" t="inlineStr">
        <is>
          <t>Auto Components</t>
        </is>
      </c>
      <c r="E17" t="n">
        <v>2433285</v>
      </c>
      <c r="F17" t="n">
        <v>31287.18</v>
      </c>
      <c r="G17" t="n">
        <v>2.78</v>
      </c>
    </row>
    <row r="18">
      <c r="B18" t="inlineStr">
        <is>
          <t>Bharti Hexacom Ltd.</t>
        </is>
      </c>
      <c r="C18" t="inlineStr">
        <is>
          <t>INE343G01021</t>
        </is>
      </c>
      <c r="D18" t="inlineStr">
        <is>
          <t>Telecom - Services</t>
        </is>
      </c>
      <c r="E18" t="n">
        <v>1704465</v>
      </c>
      <c r="F18" t="n">
        <v>31050.24</v>
      </c>
      <c r="G18" t="n">
        <v>2.76</v>
      </c>
    </row>
    <row r="19">
      <c r="B19" t="inlineStr">
        <is>
          <t>Muthoot Finance Ltd.</t>
        </is>
      </c>
      <c r="C19" t="inlineStr">
        <is>
          <t>INE414G01012</t>
        </is>
      </c>
      <c r="D19" t="inlineStr">
        <is>
          <t>Finance</t>
        </is>
      </c>
      <c r="E19" t="n">
        <v>779711</v>
      </c>
      <c r="F19" t="n">
        <v>29720.24</v>
      </c>
      <c r="G19" t="n">
        <v>2.64</v>
      </c>
    </row>
    <row r="20">
      <c r="B20" t="inlineStr">
        <is>
          <t>Vishal Mega Mart Ltd</t>
        </is>
      </c>
      <c r="C20" t="inlineStr">
        <is>
          <t>INE01EA01019</t>
        </is>
      </c>
      <c r="D20" t="inlineStr">
        <is>
          <t>Retailing</t>
        </is>
      </c>
      <c r="E20" t="n">
        <v>20547181</v>
      </c>
      <c r="F20" t="n">
        <v>28020.19</v>
      </c>
      <c r="G20" t="n">
        <v>2.49</v>
      </c>
    </row>
    <row r="21">
      <c r="B21" t="inlineStr">
        <is>
          <t>JK Cement Ltd.</t>
        </is>
      </c>
      <c r="C21" t="inlineStr">
        <is>
          <t>INE823G01014</t>
        </is>
      </c>
      <c r="D21" t="inlineStr">
        <is>
          <t>Cement &amp; Cement Products</t>
        </is>
      </c>
      <c r="E21" t="n">
        <v>502919</v>
      </c>
      <c r="F21" t="n">
        <v>27816.45</v>
      </c>
      <c r="G21" t="n">
        <v>2.47</v>
      </c>
    </row>
    <row r="22">
      <c r="B22" t="inlineStr">
        <is>
          <t>Max Financial Services Ltd.</t>
        </is>
      </c>
      <c r="C22" t="inlineStr">
        <is>
          <t>INE180A01020</t>
        </is>
      </c>
      <c r="D22" t="inlineStr">
        <is>
          <t>Insurance</t>
        </is>
      </c>
      <c r="E22" t="n">
        <v>1663759</v>
      </c>
      <c r="F22" t="n">
        <v>27814.72</v>
      </c>
      <c r="G22" t="n">
        <v>2.47</v>
      </c>
    </row>
    <row r="23">
      <c r="B23" t="inlineStr">
        <is>
          <t>Eternal Ltd.</t>
        </is>
      </c>
      <c r="C23" t="inlineStr">
        <is>
          <t>INE758T01015</t>
        </is>
      </c>
      <c r="D23" t="inlineStr">
        <is>
          <t>Retailing</t>
        </is>
      </c>
      <c r="E23" t="n">
        <v>9112137</v>
      </c>
      <c r="F23" t="n">
        <v>25336.3</v>
      </c>
      <c r="G23" t="n">
        <v>2.25</v>
      </c>
    </row>
    <row r="24">
      <c r="B24" t="inlineStr">
        <is>
          <t>Dixon Technologies (India) Ltd.</t>
        </is>
      </c>
      <c r="C24" t="inlineStr">
        <is>
          <t>INE935N01020</t>
        </is>
      </c>
      <c r="D24" t="inlineStr">
        <is>
          <t>Consumer Durables</t>
        </is>
      </c>
      <c r="E24" t="n">
        <v>203389</v>
      </c>
      <c r="F24" t="n">
        <v>24614.14</v>
      </c>
      <c r="G24" t="n">
        <v>2.18</v>
      </c>
    </row>
    <row r="25">
      <c r="B25" t="inlineStr">
        <is>
          <t>Prestige Estates Projects Ltd.</t>
        </is>
      </c>
      <c r="C25" t="inlineStr">
        <is>
          <t>INE811K01011</t>
        </is>
      </c>
      <c r="D25" t="inlineStr">
        <is>
          <t>Realty</t>
        </is>
      </c>
      <c r="E25" t="n">
        <v>1476904</v>
      </c>
      <c r="F25" t="n">
        <v>23553.66</v>
      </c>
      <c r="G25" t="n">
        <v>2.09</v>
      </c>
    </row>
    <row r="26">
      <c r="B26" t="inlineStr">
        <is>
          <t>TVS Motor Company Ltd.</t>
        </is>
      </c>
      <c r="C26" t="inlineStr">
        <is>
          <t>INE494B01023</t>
        </is>
      </c>
      <c r="D26" t="inlineStr">
        <is>
          <t>Automobiles</t>
        </is>
      </c>
      <c r="E26" t="n">
        <v>629527</v>
      </c>
      <c r="F26" t="n">
        <v>23417.15</v>
      </c>
      <c r="G26" t="n">
        <v>2.08</v>
      </c>
    </row>
    <row r="27">
      <c r="B27" t="inlineStr">
        <is>
          <t>Aditya Birla Capital Ltd.</t>
        </is>
      </c>
      <c r="C27" t="inlineStr">
        <is>
          <t>INE674K01013</t>
        </is>
      </c>
      <c r="D27" t="inlineStr">
        <is>
          <t>Finance</t>
        </is>
      </c>
      <c r="E27" t="n">
        <v>6409775</v>
      </c>
      <c r="F27" t="n">
        <v>22927.77</v>
      </c>
      <c r="G27" t="n">
        <v>2.04</v>
      </c>
    </row>
    <row r="28">
      <c r="B28" t="inlineStr">
        <is>
          <t>Mankind Pharma Ltd.</t>
        </is>
      </c>
      <c r="C28" t="inlineStr">
        <is>
          <t>INE634S01028</t>
        </is>
      </c>
      <c r="D28" t="inlineStr">
        <is>
          <t>Pharmaceuticals &amp; Biotechnology</t>
        </is>
      </c>
      <c r="E28" t="n">
        <v>1036414</v>
      </c>
      <c r="F28" t="n">
        <v>22764.83</v>
      </c>
      <c r="G28" t="n">
        <v>2.02</v>
      </c>
    </row>
    <row r="29">
      <c r="B29" t="inlineStr">
        <is>
          <t>Multi Commodity Exchange Of India Ltd.</t>
        </is>
      </c>
      <c r="C29" t="inlineStr">
        <is>
          <t>INE745G01035</t>
        </is>
      </c>
      <c r="D29" t="inlineStr">
        <is>
          <t>Capital Markets</t>
        </is>
      </c>
      <c r="E29" t="n">
        <v>201157</v>
      </c>
      <c r="F29" t="n">
        <v>22400.84</v>
      </c>
      <c r="G29" t="n">
        <v>1.99</v>
      </c>
    </row>
    <row r="30">
      <c r="B30" t="inlineStr">
        <is>
          <t>SRF Ltd.</t>
        </is>
      </c>
      <c r="C30" t="inlineStr">
        <is>
          <t>INE647A01010</t>
        </is>
      </c>
      <c r="D30" t="inlineStr">
        <is>
          <t>Chemicals &amp; Petrochemicals</t>
        </is>
      </c>
      <c r="E30" t="n">
        <v>724500</v>
      </c>
      <c r="F30" t="n">
        <v>22278.38</v>
      </c>
      <c r="G30" t="n">
        <v>1.98</v>
      </c>
    </row>
    <row r="31">
      <c r="B31" t="inlineStr">
        <is>
          <t>Max Healthcare Institute Ltd.</t>
        </is>
      </c>
      <c r="C31" t="inlineStr">
        <is>
          <t>INE027H01010</t>
        </is>
      </c>
      <c r="D31" t="inlineStr">
        <is>
          <t>Healthcare Services</t>
        </is>
      </c>
      <c r="E31" t="n">
        <v>2091852</v>
      </c>
      <c r="F31" t="n">
        <v>21861.95</v>
      </c>
      <c r="G31" t="n">
        <v>1.94</v>
      </c>
    </row>
    <row r="32">
      <c r="B32" t="inlineStr">
        <is>
          <t>AU Small Finance Bank Ltd.</t>
        </is>
      </c>
      <c r="C32" t="inlineStr">
        <is>
          <t>INE949L01017</t>
        </is>
      </c>
      <c r="D32" t="inlineStr">
        <is>
          <t>Banks</t>
        </is>
      </c>
      <c r="E32" t="n">
        <v>2193894</v>
      </c>
      <c r="F32" t="n">
        <v>21818.28</v>
      </c>
      <c r="G32" t="n">
        <v>1.94</v>
      </c>
    </row>
    <row r="33">
      <c r="B33" t="inlineStr">
        <is>
          <t>Solar Industries India Ltd.</t>
        </is>
      </c>
      <c r="C33" t="inlineStr">
        <is>
          <t>INE343H01029</t>
        </is>
      </c>
      <c r="D33" t="inlineStr">
        <is>
          <t>Chemicals &amp; Petrochemicals</t>
        </is>
      </c>
      <c r="E33" t="n">
        <v>176582</v>
      </c>
      <c r="F33" t="n">
        <v>21634.83</v>
      </c>
      <c r="G33" t="n">
        <v>1.92</v>
      </c>
    </row>
    <row r="34">
      <c r="B34" t="inlineStr">
        <is>
          <t>Abbott India Ltd.</t>
        </is>
      </c>
      <c r="C34" t="inlineStr">
        <is>
          <t>INE358A01014</t>
        </is>
      </c>
      <c r="D34" t="inlineStr">
        <is>
          <t>Pharmaceuticals &amp; Biotechnology</t>
        </is>
      </c>
      <c r="E34" t="n">
        <v>74300</v>
      </c>
      <c r="F34" t="n">
        <v>21565.58</v>
      </c>
      <c r="G34" t="n">
        <v>1.91</v>
      </c>
    </row>
    <row r="35">
      <c r="B35" t="inlineStr">
        <is>
          <t>FSN E-Commerce Ventures Ltd.</t>
        </is>
      </c>
      <c r="C35" t="inlineStr">
        <is>
          <t>INE388Y01029</t>
        </is>
      </c>
      <c r="D35" t="inlineStr">
        <is>
          <t>Retailing</t>
        </is>
      </c>
      <c r="E35" t="n">
        <v>8044961</v>
      </c>
      <c r="F35" t="n">
        <v>21331.21</v>
      </c>
      <c r="G35" t="n">
        <v>1.89</v>
      </c>
    </row>
    <row r="36">
      <c r="B36" t="inlineStr">
        <is>
          <t>VARUN BEVERAGES LIMITED</t>
        </is>
      </c>
      <c r="C36" t="inlineStr">
        <is>
          <t>INE200M01039</t>
        </is>
      </c>
      <c r="D36" t="inlineStr">
        <is>
          <t>Beverages</t>
        </is>
      </c>
      <c r="E36" t="n">
        <v>4058845</v>
      </c>
      <c r="F36" t="n">
        <v>19882.25</v>
      </c>
      <c r="G36" t="n">
        <v>1.76</v>
      </c>
    </row>
    <row r="37">
      <c r="B37" t="inlineStr">
        <is>
          <t>Coromandel International Ltd.</t>
        </is>
      </c>
      <c r="C37" t="inlineStr">
        <is>
          <t>INE169A01031</t>
        </is>
      </c>
      <c r="D37" t="inlineStr">
        <is>
          <t>Fertilizers &amp; Agrochemicals</t>
        </is>
      </c>
      <c r="E37" t="n">
        <v>872543</v>
      </c>
      <c r="F37" t="n">
        <v>19775.31</v>
      </c>
      <c r="G37" t="n">
        <v>1.76</v>
      </c>
    </row>
    <row r="38">
      <c r="B38" t="inlineStr">
        <is>
          <t>HDFC Asset Management Company Ltd.</t>
        </is>
      </c>
      <c r="C38" t="inlineStr">
        <is>
          <t>INE127D01025</t>
        </is>
      </c>
      <c r="D38" t="inlineStr">
        <is>
          <t>Capital Markets</t>
        </is>
      </c>
      <c r="E38" t="n">
        <v>718276</v>
      </c>
      <c r="F38" t="n">
        <v>19193.77</v>
      </c>
      <c r="G38" t="n">
        <v>1.7</v>
      </c>
    </row>
    <row r="39">
      <c r="B39" t="inlineStr">
        <is>
          <t>Bajaj Finance Ltd.</t>
        </is>
      </c>
      <c r="C39" t="inlineStr">
        <is>
          <t>INE296A01032</t>
        </is>
      </c>
      <c r="D39" t="inlineStr">
        <is>
          <t>Finance</t>
        </is>
      </c>
      <c r="E39" t="n">
        <v>1825000</v>
      </c>
      <c r="F39" t="n">
        <v>18009.1</v>
      </c>
      <c r="G39" t="n">
        <v>1.6</v>
      </c>
    </row>
    <row r="40">
      <c r="B40" t="inlineStr">
        <is>
          <t>Blue Star Ltd.</t>
        </is>
      </c>
      <c r="C40" t="inlineStr">
        <is>
          <t>INE472A01039</t>
        </is>
      </c>
      <c r="D40" t="inlineStr">
        <is>
          <t>Consumer Durables</t>
        </is>
      </c>
      <c r="E40" t="n">
        <v>964677</v>
      </c>
      <c r="F40" t="n">
        <v>16695.66</v>
      </c>
      <c r="G40" t="n">
        <v>1.48</v>
      </c>
    </row>
    <row r="41">
      <c r="B41" t="inlineStr">
        <is>
          <t>ICICI Lombard General Insurance Co. Ltd.</t>
        </is>
      </c>
      <c r="C41" t="inlineStr">
        <is>
          <t>INE765G01017</t>
        </is>
      </c>
      <c r="D41" t="inlineStr">
        <is>
          <t>Insurance</t>
        </is>
      </c>
      <c r="E41" t="n">
        <v>839116</v>
      </c>
      <c r="F41" t="n">
        <v>16464.3</v>
      </c>
      <c r="G41" t="n">
        <v>1.46</v>
      </c>
    </row>
    <row r="42">
      <c r="B42" t="inlineStr">
        <is>
          <t>PB Fintech Ltd.</t>
        </is>
      </c>
      <c r="C42" t="inlineStr">
        <is>
          <t>INE417T01026</t>
        </is>
      </c>
      <c r="D42" t="inlineStr">
        <is>
          <t>Financial Technology (Fintech)</t>
        </is>
      </c>
      <c r="E42" t="n">
        <v>788158</v>
      </c>
      <c r="F42" t="n">
        <v>14388.61</v>
      </c>
      <c r="G42" t="n">
        <v>1.28</v>
      </c>
    </row>
    <row r="43">
      <c r="B43" t="inlineStr">
        <is>
          <t>Astral Ltd.</t>
        </is>
      </c>
      <c r="C43" t="inlineStr">
        <is>
          <t>INE006I01046</t>
        </is>
      </c>
      <c r="D43" t="inlineStr">
        <is>
          <t>Industrial Products</t>
        </is>
      </c>
      <c r="E43" t="n">
        <v>976625</v>
      </c>
      <c r="F43" t="n">
        <v>13560.44</v>
      </c>
      <c r="G43" t="n">
        <v>1.2</v>
      </c>
    </row>
    <row r="44">
      <c r="B44" t="inlineStr">
        <is>
          <t>LG Electronics India Ltd.</t>
        </is>
      </c>
      <c r="C44" t="inlineStr">
        <is>
          <t>INE324D01010</t>
        </is>
      </c>
      <c r="D44" t="inlineStr">
        <is>
          <t>Consumer Durables</t>
        </is>
      </c>
      <c r="E44" t="n">
        <v>887891</v>
      </c>
      <c r="F44" t="n">
        <v>13508.37</v>
      </c>
      <c r="G44" t="n">
        <v>1.2</v>
      </c>
    </row>
    <row r="45">
      <c r="B45" t="inlineStr">
        <is>
          <t>Hexaware Technologies Ltd.</t>
        </is>
      </c>
      <c r="C45" t="inlineStr">
        <is>
          <t>INE093A01041</t>
        </is>
      </c>
      <c r="D45" t="inlineStr">
        <is>
          <t>IT - Software</t>
        </is>
      </c>
      <c r="E45" t="n">
        <v>1750500</v>
      </c>
      <c r="F45" t="n">
        <v>13400.95</v>
      </c>
      <c r="G45" t="n">
        <v>1.19</v>
      </c>
    </row>
    <row r="46">
      <c r="B46" t="inlineStr">
        <is>
          <t>The Phoenix Mills Ltd.</t>
        </is>
      </c>
      <c r="C46" t="inlineStr">
        <is>
          <t>INE211B01039</t>
        </is>
      </c>
      <c r="D46" t="inlineStr">
        <is>
          <t>Realty</t>
        </is>
      </c>
      <c r="E46" t="n">
        <v>721766</v>
      </c>
      <c r="F46" t="n">
        <v>13377.93</v>
      </c>
      <c r="G46" t="n">
        <v>1.19</v>
      </c>
    </row>
    <row r="47">
      <c r="B47" t="inlineStr">
        <is>
          <t>Ajanta Pharma Ltd.</t>
        </is>
      </c>
      <c r="C47" t="inlineStr">
        <is>
          <t>INE031B01049</t>
        </is>
      </c>
      <c r="D47" t="inlineStr">
        <is>
          <t>Pharmaceuticals &amp; Biotechnology</t>
        </is>
      </c>
      <c r="E47" t="n">
        <v>457989</v>
      </c>
      <c r="F47" t="n">
        <v>12681.26</v>
      </c>
      <c r="G47" t="n">
        <v>1.13</v>
      </c>
    </row>
    <row r="48">
      <c r="B48" t="inlineStr">
        <is>
          <t>Tube Investments Of India Ltd.</t>
        </is>
      </c>
      <c r="C48" t="inlineStr">
        <is>
          <t>INE974X01010</t>
        </is>
      </c>
      <c r="D48" t="inlineStr">
        <is>
          <t>Auto Components</t>
        </is>
      </c>
      <c r="E48" t="n">
        <v>482959</v>
      </c>
      <c r="F48" t="n">
        <v>12625.03</v>
      </c>
      <c r="G48" t="n">
        <v>1.12</v>
      </c>
    </row>
    <row r="49">
      <c r="B49" t="inlineStr">
        <is>
          <t>ICICI Bank Ltd.</t>
        </is>
      </c>
      <c r="C49" t="inlineStr">
        <is>
          <t>INE090A01021</t>
        </is>
      </c>
      <c r="D49" t="inlineStr">
        <is>
          <t>Banks</t>
        </is>
      </c>
      <c r="E49" t="n">
        <v>920000</v>
      </c>
      <c r="F49" t="n">
        <v>12354.68</v>
      </c>
      <c r="G49" t="n">
        <v>1.1</v>
      </c>
    </row>
    <row r="50">
      <c r="B50" t="inlineStr">
        <is>
          <t>Global Health Ltd.</t>
        </is>
      </c>
      <c r="C50" t="inlineStr">
        <is>
          <t>INE474Q01031</t>
        </is>
      </c>
      <c r="D50" t="inlineStr">
        <is>
          <t>Healthcare Services</t>
        </is>
      </c>
      <c r="E50" t="n">
        <v>1001978</v>
      </c>
      <c r="F50" t="n">
        <v>11887.47</v>
      </c>
      <c r="G50" t="n">
        <v>1.06</v>
      </c>
    </row>
    <row r="51">
      <c r="B51" t="inlineStr">
        <is>
          <t>Cummins India Ltd.</t>
        </is>
      </c>
      <c r="C51" t="inlineStr">
        <is>
          <t>INE298A01020</t>
        </is>
      </c>
      <c r="D51" t="inlineStr">
        <is>
          <t>Industrial Products</t>
        </is>
      </c>
      <c r="E51" t="n">
        <v>267933</v>
      </c>
      <c r="F51" t="n">
        <v>11881.22</v>
      </c>
      <c r="G51" t="n">
        <v>1.05</v>
      </c>
    </row>
    <row r="52">
      <c r="B52" t="inlineStr">
        <is>
          <t>CG Power and Industrial Solutions Ltd.</t>
        </is>
      </c>
      <c r="C52" t="inlineStr">
        <is>
          <t>INE067A01029</t>
        </is>
      </c>
      <c r="D52" t="inlineStr">
        <is>
          <t>Electrical Equipment</t>
        </is>
      </c>
      <c r="E52" t="n">
        <v>1791182</v>
      </c>
      <c r="F52" t="n">
        <v>11605.07</v>
      </c>
      <c r="G52" t="n">
        <v>1.03</v>
      </c>
    </row>
    <row r="53">
      <c r="B53" t="inlineStr">
        <is>
          <t>JSW Steel Ltd.</t>
        </is>
      </c>
      <c r="C53" t="inlineStr">
        <is>
          <t>INE019A01038</t>
        </is>
      </c>
      <c r="D53" t="inlineStr">
        <is>
          <t>Ferrous Metals</t>
        </is>
      </c>
      <c r="E53" t="n">
        <v>990795</v>
      </c>
      <c r="F53" t="n">
        <v>11540.78</v>
      </c>
      <c r="G53" t="n">
        <v>1.02</v>
      </c>
    </row>
    <row r="54">
      <c r="B54" t="inlineStr">
        <is>
          <t>Dr. Lal Path Labs Ltd.</t>
        </is>
      </c>
      <c r="C54" t="inlineStr">
        <is>
          <t>INE600L01024</t>
        </is>
      </c>
      <c r="D54" t="inlineStr">
        <is>
          <t>Healthcare Services</t>
        </is>
      </c>
      <c r="E54" t="n">
        <v>777616</v>
      </c>
      <c r="F54" t="n">
        <v>11528.93</v>
      </c>
      <c r="G54" t="n">
        <v>1.02</v>
      </c>
    </row>
    <row r="55">
      <c r="B55" t="inlineStr">
        <is>
          <t>ICICI Prudential Asset Mgmt Co Ltd.</t>
        </is>
      </c>
      <c r="C55" t="inlineStr">
        <is>
          <t>INE346A01027</t>
        </is>
      </c>
      <c r="D55" t="inlineStr">
        <is>
          <t>Capital Markets</t>
        </is>
      </c>
      <c r="E55" t="n">
        <v>427530</v>
      </c>
      <c r="F55" t="n">
        <v>11377</v>
      </c>
      <c r="G55" t="n">
        <v>1.01</v>
      </c>
    </row>
    <row r="56">
      <c r="B56" t="inlineStr">
        <is>
          <t>The Federal Bank Ltd.</t>
        </is>
      </c>
      <c r="C56" t="inlineStr">
        <is>
          <t>INE171A01029</t>
        </is>
      </c>
      <c r="D56" t="inlineStr">
        <is>
          <t>Banks</t>
        </is>
      </c>
      <c r="E56" t="n">
        <v>4196591</v>
      </c>
      <c r="F56" t="n">
        <v>11209.09</v>
      </c>
      <c r="G56" t="n">
        <v>0.99</v>
      </c>
    </row>
    <row r="57">
      <c r="B57" t="inlineStr">
        <is>
          <t>Torrent Power Ltd.</t>
        </is>
      </c>
      <c r="C57" t="inlineStr">
        <is>
          <t>INE813H01021</t>
        </is>
      </c>
      <c r="D57" t="inlineStr">
        <is>
          <t>Power</t>
        </is>
      </c>
      <c r="E57" t="n">
        <v>843872</v>
      </c>
      <c r="F57" t="n">
        <v>11026.88</v>
      </c>
      <c r="G57" t="n">
        <v>0.98</v>
      </c>
    </row>
    <row r="58">
      <c r="B58" t="inlineStr">
        <is>
          <t>Escorts Kubota Ltd.</t>
        </is>
      </c>
      <c r="C58" t="inlineStr">
        <is>
          <t>INE042A01014</t>
        </is>
      </c>
      <c r="D58" t="inlineStr">
        <is>
          <t>Agricultural, Commercial &amp; Construction Vehicles</t>
        </is>
      </c>
      <c r="E58" t="n">
        <v>290746</v>
      </c>
      <c r="F58" t="n">
        <v>10815.17</v>
      </c>
      <c r="G58" t="n">
        <v>0.96</v>
      </c>
    </row>
    <row r="59">
      <c r="B59" t="inlineStr">
        <is>
          <t>JSW Infrastructure Ltd.</t>
        </is>
      </c>
      <c r="C59" t="inlineStr">
        <is>
          <t>INE880J01026</t>
        </is>
      </c>
      <c r="D59" t="inlineStr">
        <is>
          <t>Transport Infrastructure</t>
        </is>
      </c>
      <c r="E59" t="n">
        <v>3773538</v>
      </c>
      <c r="F59" t="n">
        <v>10747.04</v>
      </c>
      <c r="G59" t="n">
        <v>0.95</v>
      </c>
    </row>
    <row r="60">
      <c r="B60" t="inlineStr">
        <is>
          <t>Timken India Ltd.</t>
        </is>
      </c>
      <c r="C60" t="inlineStr">
        <is>
          <t>INE325A01013</t>
        </is>
      </c>
      <c r="D60" t="inlineStr">
        <is>
          <t>Industrial Products</t>
        </is>
      </c>
      <c r="E60" t="n">
        <v>348954</v>
      </c>
      <c r="F60" t="n">
        <v>10479.44</v>
      </c>
      <c r="G60" t="n">
        <v>0.93</v>
      </c>
    </row>
    <row r="61">
      <c r="B61" t="inlineStr">
        <is>
          <t>GE Vernova T&amp;D India Limited</t>
        </is>
      </c>
      <c r="C61" t="inlineStr">
        <is>
          <t>INE200A01026</t>
        </is>
      </c>
      <c r="D61" t="inlineStr">
        <is>
          <t>Electrical Equipment</t>
        </is>
      </c>
      <c r="E61" t="n">
        <v>334043</v>
      </c>
      <c r="F61" t="n">
        <v>10463.9</v>
      </c>
      <c r="G61" t="n">
        <v>0.93</v>
      </c>
    </row>
    <row r="62">
      <c r="B62" t="inlineStr">
        <is>
          <t>Karur Vysya Bank Ltd.</t>
        </is>
      </c>
      <c r="C62" t="inlineStr">
        <is>
          <t>INE036D01028</t>
        </is>
      </c>
      <c r="D62" t="inlineStr">
        <is>
          <t>Banks</t>
        </is>
      </c>
      <c r="E62" t="n">
        <v>3937755</v>
      </c>
      <c r="F62" t="n">
        <v>10388.98</v>
      </c>
      <c r="G62" t="n">
        <v>0.92</v>
      </c>
    </row>
    <row r="63">
      <c r="B63" t="inlineStr">
        <is>
          <t>Sai Life Sciences Ltd</t>
        </is>
      </c>
      <c r="C63" t="inlineStr">
        <is>
          <t>INE570L01029</t>
        </is>
      </c>
      <c r="D63" t="inlineStr">
        <is>
          <t>Pharmaceuticals &amp; Biotechnology</t>
        </is>
      </c>
      <c r="E63" t="n">
        <v>1117363</v>
      </c>
      <c r="F63" t="n">
        <v>10150.13</v>
      </c>
      <c r="G63" t="n">
        <v>0.9</v>
      </c>
    </row>
    <row r="64">
      <c r="B64" t="inlineStr">
        <is>
          <t>APL Apollo Tubes Ltd.</t>
        </is>
      </c>
      <c r="C64" t="inlineStr">
        <is>
          <t>INE702C01027</t>
        </is>
      </c>
      <c r="D64" t="inlineStr">
        <is>
          <t>Industrial Products</t>
        </is>
      </c>
      <c r="E64" t="n">
        <v>528422</v>
      </c>
      <c r="F64" t="n">
        <v>10114</v>
      </c>
      <c r="G64" t="n">
        <v>0.9</v>
      </c>
    </row>
    <row r="65">
      <c r="B65" t="inlineStr">
        <is>
          <t>Jubilant Foodworks Ltd.</t>
        </is>
      </c>
      <c r="C65" t="inlineStr">
        <is>
          <t>INE797F01020</t>
        </is>
      </c>
      <c r="D65" t="inlineStr">
        <is>
          <t>Leisure Services</t>
        </is>
      </c>
      <c r="E65" t="n">
        <v>1729197</v>
      </c>
      <c r="F65" t="n">
        <v>9659.290000000001</v>
      </c>
      <c r="G65" t="n">
        <v>0.86</v>
      </c>
    </row>
    <row r="66">
      <c r="B66" t="inlineStr">
        <is>
          <t>Cholamandalam Financial Holdings Ltd.</t>
        </is>
      </c>
      <c r="C66" t="inlineStr">
        <is>
          <t>INE149A01033</t>
        </is>
      </c>
      <c r="D66" t="inlineStr">
        <is>
          <t>Finance</t>
        </is>
      </c>
      <c r="E66" t="n">
        <v>525468</v>
      </c>
      <c r="F66" t="n">
        <v>9526.209999999999</v>
      </c>
      <c r="G66" t="n">
        <v>0.85</v>
      </c>
    </row>
    <row r="67">
      <c r="B67" t="inlineStr">
        <is>
          <t>ITC Hotels Ltd.</t>
        </is>
      </c>
      <c r="C67" t="inlineStr">
        <is>
          <t>INE379A01028</t>
        </is>
      </c>
      <c r="D67" t="inlineStr">
        <is>
          <t>Leisure Services</t>
        </is>
      </c>
      <c r="E67" t="n">
        <v>4717480</v>
      </c>
      <c r="F67" t="n">
        <v>9313.719999999999</v>
      </c>
      <c r="G67" t="n">
        <v>0.83</v>
      </c>
    </row>
    <row r="68">
      <c r="B68" t="inlineStr">
        <is>
          <t>Radico Khaitan Ltd.</t>
        </is>
      </c>
      <c r="C68" t="inlineStr">
        <is>
          <t>INE944F01028</t>
        </is>
      </c>
      <c r="D68" t="inlineStr">
        <is>
          <t>Beverages</t>
        </is>
      </c>
      <c r="E68" t="n">
        <v>262613</v>
      </c>
      <c r="F68" t="n">
        <v>8662.030000000001</v>
      </c>
      <c r="G68" t="n">
        <v>0.77</v>
      </c>
    </row>
    <row r="69">
      <c r="B69" t="inlineStr">
        <is>
          <t>KEI Industries Ltd.</t>
        </is>
      </c>
      <c r="C69" t="inlineStr">
        <is>
          <t>INE878B01027</t>
        </is>
      </c>
      <c r="D69" t="inlineStr">
        <is>
          <t>Industrial Products</t>
        </is>
      </c>
      <c r="E69" t="n">
        <v>186657</v>
      </c>
      <c r="F69" t="n">
        <v>8325.280000000001</v>
      </c>
      <c r="G69" t="n">
        <v>0.74</v>
      </c>
    </row>
    <row r="70">
      <c r="B70" t="inlineStr">
        <is>
          <t>Container Corporation Of India Ltd.</t>
        </is>
      </c>
      <c r="C70" t="inlineStr">
        <is>
          <t>INE111A01025</t>
        </is>
      </c>
      <c r="D70" t="inlineStr">
        <is>
          <t>Transport Services</t>
        </is>
      </c>
      <c r="E70" t="n">
        <v>1449589</v>
      </c>
      <c r="F70" t="n">
        <v>7609.62</v>
      </c>
      <c r="G70" t="n">
        <v>0.68</v>
      </c>
    </row>
    <row r="71">
      <c r="B71" t="inlineStr">
        <is>
          <t>Sumitomo Chemical India Ltd.</t>
        </is>
      </c>
      <c r="C71" t="inlineStr">
        <is>
          <t>INE258G01013</t>
        </is>
      </c>
      <c r="D71" t="inlineStr">
        <is>
          <t>Fertilizers &amp; Agrochemicals</t>
        </is>
      </c>
      <c r="E71" t="n">
        <v>1578298</v>
      </c>
      <c r="F71" t="n">
        <v>7433.78</v>
      </c>
      <c r="G71" t="n">
        <v>0.66</v>
      </c>
    </row>
    <row r="72">
      <c r="B72" t="inlineStr">
        <is>
          <t>BSE Ltd.</t>
        </is>
      </c>
      <c r="C72" t="inlineStr">
        <is>
          <t>INE118H01025</t>
        </is>
      </c>
      <c r="D72" t="inlineStr">
        <is>
          <t>Capital Markets</t>
        </is>
      </c>
      <c r="E72" t="n">
        <v>270000</v>
      </c>
      <c r="F72" t="n">
        <v>7106.94</v>
      </c>
      <c r="G72" t="n">
        <v>0.63</v>
      </c>
    </row>
    <row r="73">
      <c r="B73" t="inlineStr">
        <is>
          <t>Schaeffler India Ltd.</t>
        </is>
      </c>
      <c r="C73" t="inlineStr">
        <is>
          <t>INE513A01022</t>
        </is>
      </c>
      <c r="D73" t="inlineStr">
        <is>
          <t>Auto Components</t>
        </is>
      </c>
      <c r="E73" t="n">
        <v>180338</v>
      </c>
      <c r="F73" t="n">
        <v>6995.31</v>
      </c>
      <c r="G73" t="n">
        <v>0.62</v>
      </c>
    </row>
    <row r="74">
      <c r="B74" t="inlineStr">
        <is>
          <t>Sagility Ltd.</t>
        </is>
      </c>
      <c r="C74" t="inlineStr">
        <is>
          <t>INE0W2G01015</t>
        </is>
      </c>
      <c r="D74" t="inlineStr">
        <is>
          <t>IT - Services</t>
        </is>
      </c>
      <c r="E74" t="n">
        <v>12709036</v>
      </c>
      <c r="F74" t="n">
        <v>6611.24</v>
      </c>
      <c r="G74" t="n">
        <v>0.59</v>
      </c>
    </row>
    <row r="75">
      <c r="B75" t="inlineStr">
        <is>
          <t>360 One Wam Ltd.</t>
        </is>
      </c>
      <c r="C75" t="inlineStr">
        <is>
          <t>INE466L01038</t>
        </is>
      </c>
      <c r="D75" t="inlineStr">
        <is>
          <t>Capital Markets</t>
        </is>
      </c>
      <c r="E75" t="n">
        <v>530904</v>
      </c>
      <c r="F75" t="n">
        <v>6317.76</v>
      </c>
      <c r="G75" t="n">
        <v>0.5600000000000001</v>
      </c>
    </row>
    <row r="76">
      <c r="B76" t="inlineStr">
        <is>
          <t>Suzlon Energy Ltd.</t>
        </is>
      </c>
      <c r="C76" t="inlineStr">
        <is>
          <t>INE040H01021</t>
        </is>
      </c>
      <c r="D76" t="inlineStr">
        <is>
          <t>Electrical Equipment</t>
        </is>
      </c>
      <c r="E76" t="n">
        <v>11692153</v>
      </c>
      <c r="F76" t="n">
        <v>6158.26</v>
      </c>
      <c r="G76" t="n">
        <v>0.55</v>
      </c>
    </row>
    <row r="77">
      <c r="B77" t="inlineStr">
        <is>
          <t>Sundaram Finance Ltd.</t>
        </is>
      </c>
      <c r="C77" t="inlineStr">
        <is>
          <t>INE660A01013</t>
        </is>
      </c>
      <c r="D77" t="inlineStr">
        <is>
          <t>Finance</t>
        </is>
      </c>
      <c r="E77" t="n">
        <v>115576</v>
      </c>
      <c r="F77" t="n">
        <v>6105.65</v>
      </c>
      <c r="G77" t="n">
        <v>0.54</v>
      </c>
    </row>
    <row r="78">
      <c r="B78" t="inlineStr">
        <is>
          <t>City Union Bank Ltd.</t>
        </is>
      </c>
      <c r="C78" t="inlineStr">
        <is>
          <t>INE491A01021</t>
        </is>
      </c>
      <c r="D78" t="inlineStr">
        <is>
          <t>Banks</t>
        </is>
      </c>
      <c r="E78" t="n">
        <v>2098979</v>
      </c>
      <c r="F78" t="n">
        <v>6103.83</v>
      </c>
      <c r="G78" t="n">
        <v>0.54</v>
      </c>
    </row>
    <row r="79">
      <c r="B79" t="inlineStr">
        <is>
          <t>Triveni Turbine Ltd.</t>
        </is>
      </c>
      <c r="C79" t="inlineStr">
        <is>
          <t>INE152M01016</t>
        </is>
      </c>
      <c r="D79" t="inlineStr">
        <is>
          <t>Electrical Equipment</t>
        </is>
      </c>
      <c r="E79" t="n">
        <v>1127032</v>
      </c>
      <c r="F79" t="n">
        <v>6066.25</v>
      </c>
      <c r="G79" t="n">
        <v>0.54</v>
      </c>
    </row>
    <row r="80">
      <c r="B80" t="inlineStr">
        <is>
          <t>Bharat Electronics Ltd.</t>
        </is>
      </c>
      <c r="C80" t="inlineStr">
        <is>
          <t>INE263A01024</t>
        </is>
      </c>
      <c r="D80" t="inlineStr">
        <is>
          <t>Aerospace &amp; Defense</t>
        </is>
      </c>
      <c r="E80" t="n">
        <v>1512000</v>
      </c>
      <c r="F80" t="n">
        <v>6041.95</v>
      </c>
      <c r="G80" t="n">
        <v>0.54</v>
      </c>
    </row>
    <row r="81">
      <c r="B81" t="inlineStr">
        <is>
          <t>Anthem Biosciences Ltd.</t>
        </is>
      </c>
      <c r="C81" t="inlineStr">
        <is>
          <t>INE0CZ201020</t>
        </is>
      </c>
      <c r="D81" t="inlineStr">
        <is>
          <t>Pharmaceuticals &amp; Biotechnology</t>
        </is>
      </c>
      <c r="E81" t="n">
        <v>919299</v>
      </c>
      <c r="F81" t="n">
        <v>5989.23</v>
      </c>
      <c r="G81" t="n">
        <v>0.53</v>
      </c>
    </row>
    <row r="82">
      <c r="B82" t="inlineStr">
        <is>
          <t>Polycab India Ltd.</t>
        </is>
      </c>
      <c r="C82" t="inlineStr">
        <is>
          <t>INE455K01017</t>
        </is>
      </c>
      <c r="D82" t="inlineStr">
        <is>
          <t>Industrial Products</t>
        </is>
      </c>
      <c r="E82" t="n">
        <v>76950</v>
      </c>
      <c r="F82" t="n">
        <v>5862.82</v>
      </c>
      <c r="G82" t="n">
        <v>0.52</v>
      </c>
    </row>
    <row r="83">
      <c r="B83" t="inlineStr">
        <is>
          <t>Bharat Rasayan Ltd.</t>
        </is>
      </c>
      <c r="C83" t="inlineStr">
        <is>
          <t>INE838B01021</t>
        </is>
      </c>
      <c r="D83" t="inlineStr">
        <is>
          <t>Fertilizers &amp; Agrochemicals</t>
        </is>
      </c>
      <c r="E83" t="n">
        <v>255856</v>
      </c>
      <c r="F83" t="n">
        <v>5708.15</v>
      </c>
      <c r="G83" t="n">
        <v>0.51</v>
      </c>
    </row>
    <row r="84">
      <c r="B84" t="inlineStr">
        <is>
          <t>Affle 3i Ltd.</t>
        </is>
      </c>
      <c r="C84" t="inlineStr">
        <is>
          <t>INE00WC01027</t>
        </is>
      </c>
      <c r="D84" t="inlineStr">
        <is>
          <t>IT - Services</t>
        </is>
      </c>
      <c r="E84" t="n">
        <v>315358</v>
      </c>
      <c r="F84" t="n">
        <v>5674.55</v>
      </c>
      <c r="G84" t="n">
        <v>0.5</v>
      </c>
    </row>
    <row r="85">
      <c r="B85" t="inlineStr">
        <is>
          <t>Kaynes Technology India Ltd.</t>
        </is>
      </c>
      <c r="C85" t="inlineStr">
        <is>
          <t>INE918Z01012</t>
        </is>
      </c>
      <c r="D85" t="inlineStr">
        <is>
          <t>Industrial Manufacturing</t>
        </is>
      </c>
      <c r="E85" t="n">
        <v>141245</v>
      </c>
      <c r="F85" t="n">
        <v>5668.16</v>
      </c>
      <c r="G85" t="n">
        <v>0.5</v>
      </c>
    </row>
    <row r="86">
      <c r="B86" t="inlineStr">
        <is>
          <t>KPIT Technologies Ltd.</t>
        </is>
      </c>
      <c r="C86" t="inlineStr">
        <is>
          <t>INE04I401011</t>
        </is>
      </c>
      <c r="D86" t="inlineStr">
        <is>
          <t>IT - Software</t>
        </is>
      </c>
      <c r="E86" t="n">
        <v>465183</v>
      </c>
      <c r="F86" t="n">
        <v>5454.27</v>
      </c>
      <c r="G86" t="n">
        <v>0.48</v>
      </c>
    </row>
    <row r="87">
      <c r="B87" t="inlineStr">
        <is>
          <t>Hitachi Energy India Ltd.</t>
        </is>
      </c>
      <c r="C87" t="inlineStr">
        <is>
          <t>INE07Y701011</t>
        </is>
      </c>
      <c r="D87" t="inlineStr">
        <is>
          <t>Electrical Equipment</t>
        </is>
      </c>
      <c r="E87" t="n">
        <v>29748</v>
      </c>
      <c r="F87" t="n">
        <v>5446.86</v>
      </c>
      <c r="G87" t="n">
        <v>0.48</v>
      </c>
    </row>
    <row r="88">
      <c r="B88" t="inlineStr">
        <is>
          <t>Endurance Technologies Ltd.</t>
        </is>
      </c>
      <c r="C88" t="inlineStr">
        <is>
          <t>INE913H01037</t>
        </is>
      </c>
      <c r="D88" t="inlineStr">
        <is>
          <t>Auto Components</t>
        </is>
      </c>
      <c r="E88" t="n">
        <v>199401</v>
      </c>
      <c r="F88" t="n">
        <v>5164.29</v>
      </c>
      <c r="G88" t="n">
        <v>0.46</v>
      </c>
    </row>
    <row r="89">
      <c r="B89" t="inlineStr">
        <is>
          <t>Aster DM Healthcare Ltd.</t>
        </is>
      </c>
      <c r="C89" t="inlineStr">
        <is>
          <t>INE914M01019</t>
        </is>
      </c>
      <c r="D89" t="inlineStr">
        <is>
          <t>Healthcare Services</t>
        </is>
      </c>
      <c r="E89" t="n">
        <v>832679</v>
      </c>
      <c r="F89" t="n">
        <v>5136.38</v>
      </c>
      <c r="G89" t="n">
        <v>0.46</v>
      </c>
    </row>
    <row r="90">
      <c r="B90" t="inlineStr">
        <is>
          <t>Trent Ltd.</t>
        </is>
      </c>
      <c r="C90" t="inlineStr">
        <is>
          <t>INE849A01020</t>
        </is>
      </c>
      <c r="D90" t="inlineStr">
        <is>
          <t>Retailing</t>
        </is>
      </c>
      <c r="E90" t="n">
        <v>109335</v>
      </c>
      <c r="F90" t="n">
        <v>4678.44</v>
      </c>
      <c r="G90" t="n">
        <v>0.42</v>
      </c>
    </row>
    <row r="91">
      <c r="B91" t="inlineStr">
        <is>
          <t>PI Industries Ltd.</t>
        </is>
      </c>
      <c r="C91" t="inlineStr">
        <is>
          <t>INE603J01030</t>
        </is>
      </c>
      <c r="D91" t="inlineStr">
        <is>
          <t>Fertilizers &amp; Agrochemicals</t>
        </is>
      </c>
      <c r="E91" t="n">
        <v>137568</v>
      </c>
      <c r="F91" t="n">
        <v>4454.73</v>
      </c>
      <c r="G91" t="n">
        <v>0.4</v>
      </c>
    </row>
    <row r="92">
      <c r="B92" t="inlineStr">
        <is>
          <t>TBO Tek Ltd.</t>
        </is>
      </c>
      <c r="C92" t="inlineStr">
        <is>
          <t>INE673O01025</t>
        </is>
      </c>
      <c r="D92" t="inlineStr">
        <is>
          <t>Leisure Services</t>
        </is>
      </c>
      <c r="E92" t="n">
        <v>267383</v>
      </c>
      <c r="F92" t="n">
        <v>4445.78</v>
      </c>
      <c r="G92" t="n">
        <v>0.39</v>
      </c>
    </row>
    <row r="93">
      <c r="B93" t="inlineStr">
        <is>
          <t>Supreme Industries Ltd.</t>
        </is>
      </c>
      <c r="C93" t="inlineStr">
        <is>
          <t>INE195A01028</t>
        </is>
      </c>
      <c r="D93" t="inlineStr">
        <is>
          <t>Industrial Products</t>
        </is>
      </c>
      <c r="E93" t="n">
        <v>120000</v>
      </c>
      <c r="F93" t="n">
        <v>4024.56</v>
      </c>
      <c r="G93" t="n">
        <v>0.36</v>
      </c>
    </row>
    <row r="94">
      <c r="B94" t="inlineStr">
        <is>
          <t>Bikaji Foods International Ltd.</t>
        </is>
      </c>
      <c r="C94" t="inlineStr">
        <is>
          <t>INE00E101023</t>
        </is>
      </c>
      <c r="D94" t="inlineStr">
        <is>
          <t>Food Products</t>
        </is>
      </c>
      <c r="E94" t="n">
        <v>461384</v>
      </c>
      <c r="F94" t="n">
        <v>3459.46</v>
      </c>
      <c r="G94" t="n">
        <v>0.31</v>
      </c>
    </row>
    <row r="95">
      <c r="B95" t="inlineStr">
        <is>
          <t>MRS Bectors Food Specialities Ltd.</t>
        </is>
      </c>
      <c r="C95" t="inlineStr">
        <is>
          <t>INE495P01020</t>
        </is>
      </c>
      <c r="D95" t="inlineStr">
        <is>
          <t>Food Products</t>
        </is>
      </c>
      <c r="E95" t="n">
        <v>1412285</v>
      </c>
      <c r="F95" t="n">
        <v>3253.9</v>
      </c>
      <c r="G95" t="n">
        <v>0.29</v>
      </c>
    </row>
    <row r="96">
      <c r="B96" t="inlineStr">
        <is>
          <t>Dr Agarwal's Health Care Ltd.</t>
        </is>
      </c>
      <c r="C96" t="inlineStr">
        <is>
          <t>INE943P01029</t>
        </is>
      </c>
      <c r="D96" t="inlineStr">
        <is>
          <t>Healthcare Services</t>
        </is>
      </c>
      <c r="E96" t="n">
        <v>429407</v>
      </c>
      <c r="F96" t="n">
        <v>2182.89</v>
      </c>
      <c r="G96" t="n">
        <v>0.19</v>
      </c>
    </row>
    <row r="97">
      <c r="B97" t="inlineStr">
        <is>
          <t>Sub Total</t>
        </is>
      </c>
      <c r="F97" t="n">
        <v>1079588.83</v>
      </c>
      <c r="G97" t="n">
        <v>95.84999999999999</v>
      </c>
    </row>
    <row r="99">
      <c r="B99" t="inlineStr">
        <is>
          <t>(b) Unlisted</t>
        </is>
      </c>
    </row>
    <row r="100">
      <c r="F100" t="n">
        <v>0</v>
      </c>
      <c r="G100" t="n">
        <v>0</v>
      </c>
    </row>
    <row r="101">
      <c r="B101" t="inlineStr">
        <is>
          <t>Sub Total</t>
        </is>
      </c>
      <c r="F101" t="inlineStr">
        <is>
          <t>NIL</t>
        </is>
      </c>
      <c r="G101" t="inlineStr">
        <is>
          <t>NIL</t>
        </is>
      </c>
    </row>
    <row r="103">
      <c r="B103" t="inlineStr">
        <is>
          <t>TOTAL</t>
        </is>
      </c>
      <c r="F103" t="n">
        <v>1079588.83</v>
      </c>
      <c r="G103" t="n">
        <v>95.84999999999999</v>
      </c>
    </row>
    <row r="104">
      <c r="B104" t="inlineStr">
        <is>
          <t>Debt Instruments</t>
        </is>
      </c>
    </row>
    <row r="106">
      <c r="B106" t="inlineStr">
        <is>
          <t>(a) Listed / Awaiting listing on Stock Exchanges</t>
        </is>
      </c>
    </row>
    <row r="108">
      <c r="B108" t="inlineStr">
        <is>
          <t>Sub Total</t>
        </is>
      </c>
      <c r="F108" t="inlineStr">
        <is>
          <t>NIL</t>
        </is>
      </c>
      <c r="G108" t="inlineStr">
        <is>
          <t>NIL</t>
        </is>
      </c>
    </row>
    <row r="110">
      <c r="B110" t="inlineStr">
        <is>
          <t>(b)Privately Placed/Unlisted</t>
        </is>
      </c>
    </row>
    <row r="111">
      <c r="F111" t="n">
        <v>0</v>
      </c>
      <c r="G111" t="n">
        <v>0</v>
      </c>
    </row>
    <row r="112">
      <c r="B112" t="inlineStr">
        <is>
          <t>Sub Total</t>
        </is>
      </c>
      <c r="F112" t="inlineStr">
        <is>
          <t>NIL</t>
        </is>
      </c>
      <c r="G112" t="inlineStr">
        <is>
          <t>NIL</t>
        </is>
      </c>
    </row>
    <row r="114">
      <c r="B114" t="inlineStr">
        <is>
          <t>(c)Securitised Debt Instruments</t>
        </is>
      </c>
    </row>
    <row r="115">
      <c r="F115" t="n">
        <v>0</v>
      </c>
      <c r="G115" t="n">
        <v>0</v>
      </c>
    </row>
    <row r="116">
      <c r="B116" t="inlineStr">
        <is>
          <t>Sub Total</t>
        </is>
      </c>
      <c r="F116" t="inlineStr">
        <is>
          <t>NIL</t>
        </is>
      </c>
      <c r="G116" t="inlineStr">
        <is>
          <t>NIL</t>
        </is>
      </c>
    </row>
    <row r="118">
      <c r="B118" t="inlineStr">
        <is>
          <t>TOTAL</t>
        </is>
      </c>
      <c r="F118" t="inlineStr">
        <is>
          <t>NIL</t>
        </is>
      </c>
      <c r="G118" t="inlineStr">
        <is>
          <t>NIL</t>
        </is>
      </c>
    </row>
    <row r="120">
      <c r="B120" t="inlineStr">
        <is>
          <t>Preference Shares - (Awaiting listing on Stock Exchanges)</t>
        </is>
      </c>
    </row>
    <row r="121">
      <c r="B121" t="inlineStr">
        <is>
          <t>TVS Motor Company Ltd. ** #</t>
        </is>
      </c>
      <c r="C121" t="inlineStr">
        <is>
          <t>INE494B04019</t>
        </is>
      </c>
      <c r="D121" t="inlineStr">
        <is>
          <t>CARE A1+</t>
        </is>
      </c>
      <c r="E121" t="n">
        <v>2518108</v>
      </c>
      <c r="F121" t="n">
        <v>256.49</v>
      </c>
      <c r="G121" t="n">
        <v>0.02</v>
      </c>
      <c r="H121" t="n">
        <v>6.105</v>
      </c>
    </row>
    <row r="122">
      <c r="B122" t="inlineStr">
        <is>
          <t>Sub Total</t>
        </is>
      </c>
      <c r="F122">
        <f>SUM(F121)</f>
        <v/>
      </c>
      <c r="G122">
        <f>SUM(G121)</f>
        <v/>
      </c>
    </row>
    <row r="124">
      <c r="B124" t="inlineStr">
        <is>
          <t>TOTAL</t>
        </is>
      </c>
      <c r="F124">
        <f>F122</f>
        <v/>
      </c>
      <c r="G124">
        <f>G122</f>
        <v/>
      </c>
    </row>
    <row r="126">
      <c r="B126" t="inlineStr">
        <is>
          <t>Money Market Instruments</t>
        </is>
      </c>
    </row>
    <row r="128">
      <c r="B128" t="inlineStr">
        <is>
          <t>Treasury Bill</t>
        </is>
      </c>
    </row>
    <row r="129">
      <c r="B129" t="inlineStr">
        <is>
          <t>364 DAYS TBILL RED 29-10-2026</t>
        </is>
      </c>
      <c r="C129" t="inlineStr">
        <is>
          <t>IN002025Z310</t>
        </is>
      </c>
      <c r="D129" t="inlineStr">
        <is>
          <t>SOVEREIGN</t>
        </is>
      </c>
      <c r="E129" t="n">
        <v>1700000</v>
      </c>
      <c r="F129" t="n">
        <v>1626.88</v>
      </c>
      <c r="G129" t="n">
        <v>0.14</v>
      </c>
      <c r="H129" t="n">
        <v>5.45</v>
      </c>
    </row>
    <row r="130">
      <c r="B130" t="inlineStr">
        <is>
          <t>Sub Total</t>
        </is>
      </c>
      <c r="F130" t="n">
        <v>1626.88</v>
      </c>
      <c r="G130" t="n">
        <v>0.14</v>
      </c>
    </row>
    <row r="132">
      <c r="B132" t="inlineStr">
        <is>
          <t>TOTAL</t>
        </is>
      </c>
      <c r="F132" t="n">
        <v>1626.88</v>
      </c>
      <c r="G132" t="n">
        <v>0.14</v>
      </c>
    </row>
    <row r="134">
      <c r="B134" t="inlineStr">
        <is>
          <t>Margin Mutual Fund Units</t>
        </is>
      </c>
    </row>
    <row r="135">
      <c r="B135" t="inlineStr">
        <is>
          <t>PGIM India Liquid Fund</t>
        </is>
      </c>
      <c r="C135" t="inlineStr">
        <is>
          <t>INF223J01NS5</t>
        </is>
      </c>
      <c r="E135" t="n">
        <v>1449826.958</v>
      </c>
      <c r="F135" t="n">
        <v>5135.31</v>
      </c>
      <c r="G135" t="n">
        <v>0.46</v>
      </c>
    </row>
    <row r="136">
      <c r="B136" t="inlineStr">
        <is>
          <t>Sub Total</t>
        </is>
      </c>
      <c r="F136" t="n">
        <v>5135.31</v>
      </c>
      <c r="G136" t="n">
        <v>0.46</v>
      </c>
    </row>
    <row r="138">
      <c r="B138" t="inlineStr">
        <is>
          <t>TOTAL</t>
        </is>
      </c>
      <c r="F138" t="n">
        <v>5135.31</v>
      </c>
      <c r="G138" t="n">
        <v>0.46</v>
      </c>
    </row>
    <row r="140">
      <c r="B140" t="inlineStr">
        <is>
          <t>Treps / Reverse Repo</t>
        </is>
      </c>
    </row>
    <row r="141">
      <c r="B141" t="inlineStr">
        <is>
          <t>Clearing Corporation of India Ltd.</t>
        </is>
      </c>
      <c r="F141" t="n">
        <v>44527.26</v>
      </c>
      <c r="G141" t="n">
        <v>3.95</v>
      </c>
    </row>
    <row r="142">
      <c r="B142" t="inlineStr">
        <is>
          <t>Sub Total</t>
        </is>
      </c>
      <c r="F142" t="n">
        <v>44527.26</v>
      </c>
      <c r="G142" t="n">
        <v>3.95</v>
      </c>
    </row>
    <row r="144">
      <c r="B144" t="inlineStr">
        <is>
          <t>TOTAL</t>
        </is>
      </c>
      <c r="F144" t="n">
        <v>44527.26</v>
      </c>
      <c r="G144" t="n">
        <v>3.95</v>
      </c>
    </row>
    <row r="146">
      <c r="B146" t="inlineStr">
        <is>
          <t>Net Receivables / (Payables)</t>
        </is>
      </c>
      <c r="F146" t="n">
        <v>-4543.42</v>
      </c>
      <c r="G146" t="n">
        <v>-0.4199999999999875</v>
      </c>
    </row>
    <row r="148">
      <c r="B148" t="inlineStr">
        <is>
          <t>GRAND TOTAL</t>
        </is>
      </c>
      <c r="F148" t="n">
        <v>1126591.35</v>
      </c>
      <c r="G148" t="n">
        <v>100</v>
      </c>
    </row>
    <row r="150">
      <c r="B150" t="inlineStr">
        <is>
          <t>#  Unlisted Security</t>
        </is>
      </c>
    </row>
    <row r="151">
      <c r="B151" t="inlineStr">
        <is>
          <t>** Non Traded Security</t>
        </is>
      </c>
    </row>
    <row r="157">
      <c r="B157" t="inlineStr">
        <is>
          <t>Notes:</t>
        </is>
      </c>
    </row>
    <row r="158">
      <c r="B158" t="inlineStr">
        <is>
          <t>1. Plan / Option-wise Net Asset Value per unit are as below :   (Face Value per unit = Rs. 10)</t>
        </is>
      </c>
    </row>
    <row r="159">
      <c r="B159" t="inlineStr">
        <is>
          <t xml:space="preserve">Plan / Option </t>
        </is>
      </c>
      <c r="C159" s="1" t="n">
        <v>45989</v>
      </c>
      <c r="D159" s="1" t="n">
        <v>46022</v>
      </c>
    </row>
    <row r="160">
      <c r="B160" t="inlineStr">
        <is>
          <t>Direct Plan</t>
        </is>
      </c>
      <c r="C160" t="inlineStr">
        <is>
          <t>(INR)</t>
        </is>
      </c>
      <c r="D160" t="inlineStr">
        <is>
          <t>(INR)</t>
        </is>
      </c>
    </row>
    <row r="161">
      <c r="B161" t="inlineStr">
        <is>
          <t>Growth</t>
        </is>
      </c>
      <c r="C161" t="n">
        <v>75.84</v>
      </c>
      <c r="D161" t="n">
        <v>74.42</v>
      </c>
    </row>
    <row r="162">
      <c r="B162" t="inlineStr">
        <is>
          <t>IDCW (earlier called Dividend)</t>
        </is>
      </c>
      <c r="C162" t="n">
        <v>62.86</v>
      </c>
      <c r="D162" t="n">
        <v>61.68</v>
      </c>
    </row>
    <row r="163">
      <c r="B163" t="inlineStr">
        <is>
          <t>Regular Plan</t>
        </is>
      </c>
    </row>
    <row r="164">
      <c r="B164" t="inlineStr">
        <is>
          <t>Growth</t>
        </is>
      </c>
      <c r="C164" t="n">
        <v>65.19</v>
      </c>
      <c r="D164" t="n">
        <v>63.9</v>
      </c>
    </row>
    <row r="165">
      <c r="B165" t="inlineStr">
        <is>
          <t>IDCW (earlier called Dividend)</t>
        </is>
      </c>
      <c r="C165" t="n">
        <v>25.54</v>
      </c>
      <c r="D165" t="n">
        <v>25.03</v>
      </c>
    </row>
    <row r="167">
      <c r="B167" t="inlineStr">
        <is>
          <t>2.   Exposure to derivative instruments in the scheme at the end of the month</t>
        </is>
      </c>
    </row>
    <row r="168">
      <c r="C168" t="inlineStr">
        <is>
          <t>Futures</t>
        </is>
      </c>
      <c r="D168" t="inlineStr">
        <is>
          <t>Put Options</t>
        </is>
      </c>
      <c r="E168" t="inlineStr">
        <is>
          <t>Swaps</t>
        </is>
      </c>
    </row>
    <row r="169">
      <c r="B169" t="inlineStr">
        <is>
          <t>a) Hedging Positions</t>
        </is>
      </c>
      <c r="C169" t="inlineStr">
        <is>
          <t>NIL</t>
        </is>
      </c>
      <c r="D169" t="inlineStr">
        <is>
          <t>NIL</t>
        </is>
      </c>
      <c r="E169" t="inlineStr">
        <is>
          <t>N.A.</t>
        </is>
      </c>
    </row>
    <row r="170">
      <c r="B170" t="inlineStr">
        <is>
          <t>b) Positions other than (a) above</t>
        </is>
      </c>
      <c r="C170" t="inlineStr">
        <is>
          <t>Refer 3 below</t>
        </is>
      </c>
      <c r="D170" t="inlineStr">
        <is>
          <t>NIL</t>
        </is>
      </c>
      <c r="E170" t="inlineStr">
        <is>
          <t>N.A.</t>
        </is>
      </c>
    </row>
    <row r="172">
      <c r="B172" t="inlineStr">
        <is>
          <t>3.  Derivatives Transactions in the scheme for the month</t>
        </is>
      </c>
    </row>
    <row r="173">
      <c r="B173" t="inlineStr">
        <is>
          <t>Futures</t>
        </is>
      </c>
      <c r="C173" t="inlineStr">
        <is>
          <t>Buy</t>
        </is>
      </c>
      <c r="E173" t="inlineStr">
        <is>
          <t>Sell</t>
        </is>
      </c>
    </row>
    <row r="174">
      <c r="C174" t="inlineStr">
        <is>
          <t>Count</t>
        </is>
      </c>
      <c r="D174" t="inlineStr">
        <is>
          <t>Value (INR Lacs)</t>
        </is>
      </c>
      <c r="E174" t="inlineStr">
        <is>
          <t>Count</t>
        </is>
      </c>
      <c r="F174" t="inlineStr">
        <is>
          <t>Value (INR Lacs)</t>
        </is>
      </c>
    </row>
    <row r="175">
      <c r="B175" t="inlineStr">
        <is>
          <t>a) Hedging Positions squared off  / expired</t>
        </is>
      </c>
      <c r="C175" t="n">
        <v>2028</v>
      </c>
      <c r="D175" t="n">
        <v>15264.756</v>
      </c>
      <c r="E175" t="n">
        <v>2028</v>
      </c>
      <c r="F175" t="n">
        <v>15243.5766834</v>
      </c>
    </row>
    <row r="176">
      <c r="B176" t="inlineStr">
        <is>
          <t>b) Trades other than (a) above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B177" t="inlineStr">
        <is>
          <t>Net Profit / Loss on above    :</t>
        </is>
      </c>
      <c r="F177" t="n">
        <v>-21.1793166</v>
      </c>
    </row>
    <row r="178">
      <c r="B178" t="inlineStr">
        <is>
          <t>Options</t>
        </is>
      </c>
      <c r="C178" t="inlineStr">
        <is>
          <t>Buy</t>
        </is>
      </c>
      <c r="E178" t="inlineStr">
        <is>
          <t>Sell</t>
        </is>
      </c>
    </row>
    <row r="179">
      <c r="C179" t="inlineStr">
        <is>
          <t>Count</t>
        </is>
      </c>
      <c r="D179" t="inlineStr">
        <is>
          <t>Value (INR Lacs)</t>
        </is>
      </c>
      <c r="E179" t="inlineStr">
        <is>
          <t>Count</t>
        </is>
      </c>
      <c r="F179" t="inlineStr">
        <is>
          <t>Value (INR Lacs)</t>
        </is>
      </c>
    </row>
    <row r="180">
      <c r="B180" t="inlineStr">
        <is>
          <t>a) Hedging Positions squared off  / expired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B181" t="inlineStr">
        <is>
          <t>b) Trades other than (a) above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B182" t="inlineStr">
        <is>
          <t>Net Profit / Loss on above    :</t>
        </is>
      </c>
      <c r="F182" t="n">
        <v>0</v>
      </c>
    </row>
    <row r="183">
      <c r="B183" t="inlineStr">
        <is>
          <t>Swaps</t>
        </is>
      </c>
      <c r="C183" t="inlineStr">
        <is>
          <t>Buy</t>
        </is>
      </c>
      <c r="E183" t="inlineStr">
        <is>
          <t>Sell</t>
        </is>
      </c>
    </row>
    <row r="184">
      <c r="C184" t="inlineStr">
        <is>
          <t>Count</t>
        </is>
      </c>
      <c r="D184" t="inlineStr">
        <is>
          <t>Value (INR Lacs)</t>
        </is>
      </c>
      <c r="E184" t="inlineStr">
        <is>
          <t>Count</t>
        </is>
      </c>
      <c r="F184" t="inlineStr">
        <is>
          <t>Value (INR Lacs)</t>
        </is>
      </c>
    </row>
    <row r="185">
      <c r="B185" t="inlineStr">
        <is>
          <t>a) Hedging Positions squared off  / expired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B186" t="inlineStr">
        <is>
          <t>b) Trades other than (a) above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B187" t="inlineStr">
        <is>
          <t>Net Profit / Loss on above    :</t>
        </is>
      </c>
      <c r="F187" t="n">
        <v>0</v>
      </c>
    </row>
    <row r="189">
      <c r="B189" t="inlineStr">
        <is>
          <t>4.   Investment in foreign securities/ADRs/GDRs at the end of the month (INR Lacs)</t>
        </is>
      </c>
      <c r="D189" t="inlineStr">
        <is>
          <t>NIL</t>
        </is>
      </c>
    </row>
    <row r="191">
      <c r="B191" t="inlineStr">
        <is>
          <t>5.   Investment in short term deposits at the end of the month (INR Lacs)</t>
        </is>
      </c>
      <c r="D191" t="inlineStr">
        <is>
          <t>NIL</t>
        </is>
      </c>
    </row>
    <row r="193">
      <c r="B193" t="inlineStr">
        <is>
          <t>6. Portfolio Turnover Ratio</t>
        </is>
      </c>
      <c r="D193" t="n">
        <v>0.4</v>
      </c>
    </row>
    <row r="195">
      <c r="B195" t="inlineStr">
        <is>
          <t>7.   Aggregate IDCW (earlier called Dividend) declared during the month</t>
        </is>
      </c>
      <c r="D195" t="inlineStr">
        <is>
          <t>NIL</t>
        </is>
      </c>
    </row>
    <row r="197">
      <c r="B197" t="inlineStr">
        <is>
          <t>8.   (a) Total Exposure to illiquid securities in the portfolio (INR Lacs)</t>
        </is>
      </c>
      <c r="D197" t="inlineStr">
        <is>
          <t>NIL</t>
        </is>
      </c>
    </row>
    <row r="198">
      <c r="B198" t="inlineStr">
        <is>
          <t xml:space="preserve">     (b) Total Exposure to illiquid securities in the portfolio (% of AUM)</t>
        </is>
      </c>
      <c r="D198" t="inlineStr">
        <is>
          <t>NIL</t>
        </is>
      </c>
    </row>
    <row r="200">
      <c r="B200" t="inlineStr">
        <is>
          <t>9.   Instances of Fair valuation of securities or Deviation in valuation from what is  provided by valuation agencies</t>
        </is>
      </c>
      <c r="D200" t="inlineStr">
        <is>
          <t>NIL</t>
        </is>
      </c>
    </row>
    <row r="202">
      <c r="B202" t="inlineStr">
        <is>
          <t>10. Securities in default beyond its maturity date in the portfolio of the scheme</t>
        </is>
      </c>
      <c r="D202" t="inlineStr">
        <is>
          <t>NIL</t>
        </is>
      </c>
    </row>
    <row r="203">
      <c r="B203" t="inlineStr">
        <is>
          <t xml:space="preserve">11. For Performance of the scheme refer - </t>
        </is>
      </c>
      <c r="C203" t="inlineStr">
        <is>
          <t>PGIM India Mid Cap Opportunities Fund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MULTI ASSET ALLOCATION FUND</t>
        </is>
      </c>
    </row>
    <row r="2">
      <c r="B2" t="inlineStr">
        <is>
          <t>(An open ended scheme investing in Equity and Equity related
instruments, Debt &amp; Money Market instruments, Gold ETFs &amp; Silver ETFs)"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( 60% of Nifty 500 TRI+ 20% of Crisil Short Term Bond Index + 10% of Domestic prices of Gold + 10% of Domestic prices of Silver) </t>
        </is>
      </c>
    </row>
    <row r="4"/>
    <row r="5"/>
    <row r="6"/>
    <row r="7"/>
    <row r="8"/>
    <row r="9"/>
    <row r="10">
      <c r="B10" t="inlineStr">
        <is>
          <t>Investors understand that their 
principal will be at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Kotak Mahindra Bank Ltd.</t>
        </is>
      </c>
      <c r="C16" t="inlineStr">
        <is>
          <t>INE237A01028</t>
        </is>
      </c>
      <c r="D16" t="inlineStr">
        <is>
          <t>Banks</t>
        </is>
      </c>
      <c r="E16" t="n">
        <v>41600</v>
      </c>
      <c r="F16" t="n">
        <v>915.66</v>
      </c>
      <c r="G16" t="n">
        <v>5.07</v>
      </c>
    </row>
    <row r="17">
      <c r="B17" t="inlineStr">
        <is>
          <t>Hindustan Unilever Ltd.</t>
        </is>
      </c>
      <c r="C17" t="inlineStr">
        <is>
          <t>INE030A01027</t>
        </is>
      </c>
      <c r="D17" t="inlineStr">
        <is>
          <t>Diversified FMCG</t>
        </is>
      </c>
      <c r="E17" t="n">
        <v>29400</v>
      </c>
      <c r="F17" t="n">
        <v>680.87</v>
      </c>
      <c r="G17" t="n">
        <v>3.77</v>
      </c>
    </row>
    <row r="18">
      <c r="B18" t="inlineStr">
        <is>
          <t>Titan Company Ltd.</t>
        </is>
      </c>
      <c r="C18" t="inlineStr">
        <is>
          <t>INE280A01028</t>
        </is>
      </c>
      <c r="D18" t="inlineStr">
        <is>
          <t>Consumer Durables</t>
        </is>
      </c>
      <c r="E18" t="n">
        <v>16292</v>
      </c>
      <c r="F18" t="n">
        <v>660.0700000000001</v>
      </c>
      <c r="G18" t="n">
        <v>3.66</v>
      </c>
    </row>
    <row r="19">
      <c r="B19" t="inlineStr">
        <is>
          <t>HDFC Bank Ltd.</t>
        </is>
      </c>
      <c r="C19" t="inlineStr">
        <is>
          <t>INE040A01034</t>
        </is>
      </c>
      <c r="D19" t="inlineStr">
        <is>
          <t>Banks</t>
        </is>
      </c>
      <c r="E19" t="n">
        <v>65304</v>
      </c>
      <c r="F19" t="n">
        <v>647.29</v>
      </c>
      <c r="G19" t="n">
        <v>3.58</v>
      </c>
    </row>
    <row r="20">
      <c r="B20" t="inlineStr">
        <is>
          <t>Reliance Industries Ltd.</t>
        </is>
      </c>
      <c r="C20" t="inlineStr">
        <is>
          <t>INE002A01018</t>
        </is>
      </c>
      <c r="D20" t="inlineStr">
        <is>
          <t>Petroleum Products</t>
        </is>
      </c>
      <c r="E20" t="n">
        <v>32351</v>
      </c>
      <c r="F20" t="n">
        <v>508.04</v>
      </c>
      <c r="G20" t="n">
        <v>2.81</v>
      </c>
    </row>
    <row r="21">
      <c r="B21" t="inlineStr">
        <is>
          <t>ICICI Bank Ltd.</t>
        </is>
      </c>
      <c r="C21" t="inlineStr">
        <is>
          <t>INE090A01021</t>
        </is>
      </c>
      <c r="D21" t="inlineStr">
        <is>
          <t>Banks</t>
        </is>
      </c>
      <c r="E21" t="n">
        <v>29729</v>
      </c>
      <c r="F21" t="n">
        <v>399.23</v>
      </c>
      <c r="G21" t="n">
        <v>2.21</v>
      </c>
    </row>
    <row r="22">
      <c r="B22" t="inlineStr">
        <is>
          <t>Larsen &amp; Toubro Ltd.</t>
        </is>
      </c>
      <c r="C22" t="inlineStr">
        <is>
          <t>INE018A01030</t>
        </is>
      </c>
      <c r="D22" t="inlineStr">
        <is>
          <t>Construction</t>
        </is>
      </c>
      <c r="E22" t="n">
        <v>9613</v>
      </c>
      <c r="F22" t="n">
        <v>392.55</v>
      </c>
      <c r="G22" t="n">
        <v>2.17</v>
      </c>
    </row>
    <row r="23">
      <c r="B23" t="inlineStr">
        <is>
          <t>Bajaj Finance Ltd.</t>
        </is>
      </c>
      <c r="C23" t="inlineStr">
        <is>
          <t>INE296A01032</t>
        </is>
      </c>
      <c r="D23" t="inlineStr">
        <is>
          <t>Finance</t>
        </is>
      </c>
      <c r="E23" t="n">
        <v>32239</v>
      </c>
      <c r="F23" t="n">
        <v>318.13</v>
      </c>
      <c r="G23" t="n">
        <v>1.76</v>
      </c>
    </row>
    <row r="24">
      <c r="B24" t="inlineStr">
        <is>
          <t>Eternal Ltd.</t>
        </is>
      </c>
      <c r="C24" t="inlineStr">
        <is>
          <t>INE758T01015</t>
        </is>
      </c>
      <c r="D24" t="inlineStr">
        <is>
          <t>Retailing</t>
        </is>
      </c>
      <c r="E24" t="n">
        <v>113722</v>
      </c>
      <c r="F24" t="n">
        <v>316.2</v>
      </c>
      <c r="G24" t="n">
        <v>1.75</v>
      </c>
    </row>
    <row r="25">
      <c r="B25" t="inlineStr">
        <is>
          <t>Sun Pharmaceutical Industries Ltd.</t>
        </is>
      </c>
      <c r="C25" t="inlineStr">
        <is>
          <t>INE044A01036</t>
        </is>
      </c>
      <c r="D25" t="inlineStr">
        <is>
          <t>Pharmaceuticals &amp; Biotechnology</t>
        </is>
      </c>
      <c r="E25" t="n">
        <v>17850</v>
      </c>
      <c r="F25" t="n">
        <v>306.97</v>
      </c>
      <c r="G25" t="n">
        <v>1.7</v>
      </c>
    </row>
    <row r="26">
      <c r="B26" t="inlineStr">
        <is>
          <t>TVS Motor Company Ltd.</t>
        </is>
      </c>
      <c r="C26" t="inlineStr">
        <is>
          <t>INE494B01023</t>
        </is>
      </c>
      <c r="D26" t="inlineStr">
        <is>
          <t>Automobiles</t>
        </is>
      </c>
      <c r="E26" t="n">
        <v>7855</v>
      </c>
      <c r="F26" t="n">
        <v>292.19</v>
      </c>
      <c r="G26" t="n">
        <v>1.62</v>
      </c>
    </row>
    <row r="27">
      <c r="B27" t="inlineStr">
        <is>
          <t>Bharti Airtel Ltd.</t>
        </is>
      </c>
      <c r="C27" t="inlineStr">
        <is>
          <t>INE397D01024</t>
        </is>
      </c>
      <c r="D27" t="inlineStr">
        <is>
          <t>Telecom - Services</t>
        </is>
      </c>
      <c r="E27" t="n">
        <v>13468</v>
      </c>
      <c r="F27" t="n">
        <v>283.58</v>
      </c>
      <c r="G27" t="n">
        <v>1.57</v>
      </c>
    </row>
    <row r="28">
      <c r="B28" t="inlineStr">
        <is>
          <t>State Bank of India</t>
        </is>
      </c>
      <c r="C28" t="inlineStr">
        <is>
          <t>INE062A01020</t>
        </is>
      </c>
      <c r="D28" t="inlineStr">
        <is>
          <t>Banks</t>
        </is>
      </c>
      <c r="E28" t="n">
        <v>23720</v>
      </c>
      <c r="F28" t="n">
        <v>232.98</v>
      </c>
      <c r="G28" t="n">
        <v>1.29</v>
      </c>
    </row>
    <row r="29">
      <c r="B29" t="inlineStr">
        <is>
          <t>SRF Ltd.</t>
        </is>
      </c>
      <c r="C29" t="inlineStr">
        <is>
          <t>INE647A01010</t>
        </is>
      </c>
      <c r="D29" t="inlineStr">
        <is>
          <t>Chemicals &amp; Petrochemicals</t>
        </is>
      </c>
      <c r="E29" t="n">
        <v>6797</v>
      </c>
      <c r="F29" t="n">
        <v>209.01</v>
      </c>
      <c r="G29" t="n">
        <v>1.16</v>
      </c>
    </row>
    <row r="30">
      <c r="B30" t="inlineStr">
        <is>
          <t>Mankind Pharma Ltd.</t>
        </is>
      </c>
      <c r="C30" t="inlineStr">
        <is>
          <t>INE634S01028</t>
        </is>
      </c>
      <c r="D30" t="inlineStr">
        <is>
          <t>Pharmaceuticals &amp; Biotechnology</t>
        </is>
      </c>
      <c r="E30" t="n">
        <v>9505</v>
      </c>
      <c r="F30" t="n">
        <v>208.78</v>
      </c>
      <c r="G30" t="n">
        <v>1.16</v>
      </c>
    </row>
    <row r="31">
      <c r="B31" t="inlineStr">
        <is>
          <t>Muthoot Finance Ltd.</t>
        </is>
      </c>
      <c r="C31" t="inlineStr">
        <is>
          <t>INE414G01012</t>
        </is>
      </c>
      <c r="D31" t="inlineStr">
        <is>
          <t>Finance</t>
        </is>
      </c>
      <c r="E31" t="n">
        <v>5110</v>
      </c>
      <c r="F31" t="n">
        <v>194.78</v>
      </c>
      <c r="G31" t="n">
        <v>1.08</v>
      </c>
    </row>
    <row r="32">
      <c r="B32" t="inlineStr">
        <is>
          <t>Persistent Systems Ltd.</t>
        </is>
      </c>
      <c r="C32" t="inlineStr">
        <is>
          <t>INE262H01021</t>
        </is>
      </c>
      <c r="D32" t="inlineStr">
        <is>
          <t>IT - Software</t>
        </is>
      </c>
      <c r="E32" t="n">
        <v>3004</v>
      </c>
      <c r="F32" t="n">
        <v>188.41</v>
      </c>
      <c r="G32" t="n">
        <v>1.04</v>
      </c>
    </row>
    <row r="33">
      <c r="B33" t="inlineStr">
        <is>
          <t>Infosys Ltd.</t>
        </is>
      </c>
      <c r="C33" t="inlineStr">
        <is>
          <t>INE009A01021</t>
        </is>
      </c>
      <c r="D33" t="inlineStr">
        <is>
          <t>IT - Software</t>
        </is>
      </c>
      <c r="E33" t="n">
        <v>11100</v>
      </c>
      <c r="F33" t="n">
        <v>179.31</v>
      </c>
      <c r="G33" t="n">
        <v>0.99</v>
      </c>
    </row>
    <row r="34">
      <c r="B34" t="inlineStr">
        <is>
          <t>FSN E-Commerce Ventures Ltd.</t>
        </is>
      </c>
      <c r="C34" t="inlineStr">
        <is>
          <t>INE388Y01029</t>
        </is>
      </c>
      <c r="D34" t="inlineStr">
        <is>
          <t>Retailing</t>
        </is>
      </c>
      <c r="E34" t="n">
        <v>61533</v>
      </c>
      <c r="F34" t="n">
        <v>163.15</v>
      </c>
      <c r="G34" t="n">
        <v>0.9</v>
      </c>
    </row>
    <row r="35">
      <c r="B35" t="inlineStr">
        <is>
          <t>VARUN BEVERAGES LIMITED</t>
        </is>
      </c>
      <c r="C35" t="inlineStr">
        <is>
          <t>INE200M01039</t>
        </is>
      </c>
      <c r="D35" t="inlineStr">
        <is>
          <t>Beverages</t>
        </is>
      </c>
      <c r="E35" t="n">
        <v>32920</v>
      </c>
      <c r="F35" t="n">
        <v>161.26</v>
      </c>
      <c r="G35" t="n">
        <v>0.89</v>
      </c>
    </row>
    <row r="36">
      <c r="B36" t="inlineStr">
        <is>
          <t>Tata Consultancy Services Ltd.</t>
        </is>
      </c>
      <c r="C36" t="inlineStr">
        <is>
          <t>INE467B01029</t>
        </is>
      </c>
      <c r="D36" t="inlineStr">
        <is>
          <t>IT - Software</t>
        </is>
      </c>
      <c r="E36" t="n">
        <v>4900</v>
      </c>
      <c r="F36" t="n">
        <v>157.1</v>
      </c>
      <c r="G36" t="n">
        <v>0.87</v>
      </c>
    </row>
    <row r="37">
      <c r="B37" t="inlineStr">
        <is>
          <t>Coromandel International Ltd.</t>
        </is>
      </c>
      <c r="C37" t="inlineStr">
        <is>
          <t>INE169A01031</t>
        </is>
      </c>
      <c r="D37" t="inlineStr">
        <is>
          <t>Fertilizers &amp; Agrochemicals</t>
        </is>
      </c>
      <c r="E37" t="n">
        <v>6770</v>
      </c>
      <c r="F37" t="n">
        <v>153.44</v>
      </c>
      <c r="G37" t="n">
        <v>0.85</v>
      </c>
    </row>
    <row r="38">
      <c r="B38" t="inlineStr">
        <is>
          <t>ICICI Lombard General Insurance Co. Ltd.</t>
        </is>
      </c>
      <c r="C38" t="inlineStr">
        <is>
          <t>INE765G01017</t>
        </is>
      </c>
      <c r="D38" t="inlineStr">
        <is>
          <t>Insurance</t>
        </is>
      </c>
      <c r="E38" t="n">
        <v>6990</v>
      </c>
      <c r="F38" t="n">
        <v>137.15</v>
      </c>
      <c r="G38" t="n">
        <v>0.76</v>
      </c>
    </row>
    <row r="39">
      <c r="B39" t="inlineStr">
        <is>
          <t>Info Edge (India) Ltd.</t>
        </is>
      </c>
      <c r="C39" t="inlineStr">
        <is>
          <t>INE663F01032</t>
        </is>
      </c>
      <c r="D39" t="inlineStr">
        <is>
          <t>Retailing</t>
        </is>
      </c>
      <c r="E39" t="n">
        <v>10202</v>
      </c>
      <c r="F39" t="n">
        <v>136.05</v>
      </c>
      <c r="G39" t="n">
        <v>0.75</v>
      </c>
    </row>
    <row r="40">
      <c r="B40" t="inlineStr">
        <is>
          <t>PB Fintech Ltd.</t>
        </is>
      </c>
      <c r="C40" t="inlineStr">
        <is>
          <t>INE417T01026</t>
        </is>
      </c>
      <c r="D40" t="inlineStr">
        <is>
          <t>Financial Technology (Fintech)</t>
        </is>
      </c>
      <c r="E40" t="n">
        <v>7358</v>
      </c>
      <c r="F40" t="n">
        <v>134.33</v>
      </c>
      <c r="G40" t="n">
        <v>0.74</v>
      </c>
    </row>
    <row r="41">
      <c r="B41" t="inlineStr">
        <is>
          <t>SBI Life Insurance Company Ltd.</t>
        </is>
      </c>
      <c r="C41" t="inlineStr">
        <is>
          <t>INE123W01016</t>
        </is>
      </c>
      <c r="D41" t="inlineStr">
        <is>
          <t>Insurance</t>
        </is>
      </c>
      <c r="E41" t="n">
        <v>6526</v>
      </c>
      <c r="F41" t="n">
        <v>132.8</v>
      </c>
      <c r="G41" t="n">
        <v>0.74</v>
      </c>
    </row>
    <row r="42">
      <c r="B42" t="inlineStr">
        <is>
          <t>JK Cement Ltd.</t>
        </is>
      </c>
      <c r="C42" t="inlineStr">
        <is>
          <t>INE823G01014</t>
        </is>
      </c>
      <c r="D42" t="inlineStr">
        <is>
          <t>Cement &amp; Cement Products</t>
        </is>
      </c>
      <c r="E42" t="n">
        <v>2370</v>
      </c>
      <c r="F42" t="n">
        <v>131.08</v>
      </c>
      <c r="G42" t="n">
        <v>0.73</v>
      </c>
    </row>
    <row r="43">
      <c r="B43" t="inlineStr">
        <is>
          <t>Dixon Technologies (India) Ltd.</t>
        </is>
      </c>
      <c r="C43" t="inlineStr">
        <is>
          <t>INE935N01020</t>
        </is>
      </c>
      <c r="D43" t="inlineStr">
        <is>
          <t>Consumer Durables</t>
        </is>
      </c>
      <c r="E43" t="n">
        <v>1050</v>
      </c>
      <c r="F43" t="n">
        <v>127.07</v>
      </c>
      <c r="G43" t="n">
        <v>0.7</v>
      </c>
    </row>
    <row r="44">
      <c r="B44" t="inlineStr">
        <is>
          <t>Solar Industries India Ltd.</t>
        </is>
      </c>
      <c r="C44" t="inlineStr">
        <is>
          <t>INE343H01029</t>
        </is>
      </c>
      <c r="D44" t="inlineStr">
        <is>
          <t>Chemicals &amp; Petrochemicals</t>
        </is>
      </c>
      <c r="E44" t="n">
        <v>1035</v>
      </c>
      <c r="F44" t="n">
        <v>126.81</v>
      </c>
      <c r="G44" t="n">
        <v>0.7</v>
      </c>
    </row>
    <row r="45">
      <c r="B45" t="inlineStr">
        <is>
          <t>Bharti Hexacom Ltd.</t>
        </is>
      </c>
      <c r="C45" t="inlineStr">
        <is>
          <t>INE343G01021</t>
        </is>
      </c>
      <c r="D45" t="inlineStr">
        <is>
          <t>Telecom - Services</t>
        </is>
      </c>
      <c r="E45" t="n">
        <v>6570</v>
      </c>
      <c r="F45" t="n">
        <v>119.69</v>
      </c>
      <c r="G45" t="n">
        <v>0.66</v>
      </c>
    </row>
    <row r="46">
      <c r="B46" t="inlineStr">
        <is>
          <t>UNO Minda Ltd.</t>
        </is>
      </c>
      <c r="C46" t="inlineStr">
        <is>
          <t>INE405E01023</t>
        </is>
      </c>
      <c r="D46" t="inlineStr">
        <is>
          <t>Auto Components</t>
        </is>
      </c>
      <c r="E46" t="n">
        <v>9286</v>
      </c>
      <c r="F46" t="n">
        <v>119.4</v>
      </c>
      <c r="G46" t="n">
        <v>0.66</v>
      </c>
    </row>
    <row r="47">
      <c r="B47" t="inlineStr">
        <is>
          <t>Britannia Industries Ltd.</t>
        </is>
      </c>
      <c r="C47" t="inlineStr">
        <is>
          <t>INE216A01030</t>
        </is>
      </c>
      <c r="D47" t="inlineStr">
        <is>
          <t>Food Products</t>
        </is>
      </c>
      <c r="E47" t="n">
        <v>1882</v>
      </c>
      <c r="F47" t="n">
        <v>113.5</v>
      </c>
      <c r="G47" t="n">
        <v>0.63</v>
      </c>
    </row>
    <row r="48">
      <c r="B48" t="inlineStr">
        <is>
          <t>Bharat Electronics Ltd.</t>
        </is>
      </c>
      <c r="C48" t="inlineStr">
        <is>
          <t>INE263A01024</t>
        </is>
      </c>
      <c r="D48" t="inlineStr">
        <is>
          <t>Aerospace &amp; Defense</t>
        </is>
      </c>
      <c r="E48" t="n">
        <v>28088</v>
      </c>
      <c r="F48" t="n">
        <v>112.24</v>
      </c>
      <c r="G48" t="n">
        <v>0.62</v>
      </c>
    </row>
    <row r="49">
      <c r="B49" t="inlineStr">
        <is>
          <t>Mahindra &amp; Mahindra Ltd.</t>
        </is>
      </c>
      <c r="C49" t="inlineStr">
        <is>
          <t>INE101A01026</t>
        </is>
      </c>
      <c r="D49" t="inlineStr">
        <is>
          <t>Automobiles</t>
        </is>
      </c>
      <c r="E49" t="n">
        <v>2930</v>
      </c>
      <c r="F49" t="n">
        <v>108.68</v>
      </c>
      <c r="G49" t="n">
        <v>0.6</v>
      </c>
    </row>
    <row r="50">
      <c r="B50" t="inlineStr">
        <is>
          <t>Divi's Laboratories Ltd.</t>
        </is>
      </c>
      <c r="C50" t="inlineStr">
        <is>
          <t>INE361B01024</t>
        </is>
      </c>
      <c r="D50" t="inlineStr">
        <is>
          <t>Pharmaceuticals &amp; Biotechnology</t>
        </is>
      </c>
      <c r="E50" t="n">
        <v>1660</v>
      </c>
      <c r="F50" t="n">
        <v>106.12</v>
      </c>
      <c r="G50" t="n">
        <v>0.59</v>
      </c>
    </row>
    <row r="51">
      <c r="B51" t="inlineStr">
        <is>
          <t>The Phoenix Mills Ltd.</t>
        </is>
      </c>
      <c r="C51" t="inlineStr">
        <is>
          <t>INE211B01039</t>
        </is>
      </c>
      <c r="D51" t="inlineStr">
        <is>
          <t>Realty</t>
        </is>
      </c>
      <c r="E51" t="n">
        <v>5417</v>
      </c>
      <c r="F51" t="n">
        <v>100.4</v>
      </c>
      <c r="G51" t="n">
        <v>0.5600000000000001</v>
      </c>
    </row>
    <row r="52">
      <c r="B52" t="inlineStr">
        <is>
          <t>Vishal Mega Mart Ltd</t>
        </is>
      </c>
      <c r="C52" t="inlineStr">
        <is>
          <t>INE01EA01019</t>
        </is>
      </c>
      <c r="D52" t="inlineStr">
        <is>
          <t>Retailing</t>
        </is>
      </c>
      <c r="E52" t="n">
        <v>68170</v>
      </c>
      <c r="F52" t="n">
        <v>92.95999999999999</v>
      </c>
      <c r="G52" t="n">
        <v>0.51</v>
      </c>
    </row>
    <row r="53">
      <c r="B53" t="inlineStr">
        <is>
          <t>Prestige Estates Projects Ltd.</t>
        </is>
      </c>
      <c r="C53" t="inlineStr">
        <is>
          <t>INE811K01011</t>
        </is>
      </c>
      <c r="D53" t="inlineStr">
        <is>
          <t>Realty</t>
        </is>
      </c>
      <c r="E53" t="n">
        <v>5530</v>
      </c>
      <c r="F53" t="n">
        <v>88.19</v>
      </c>
      <c r="G53" t="n">
        <v>0.49</v>
      </c>
    </row>
    <row r="54">
      <c r="B54" t="inlineStr">
        <is>
          <t>CG Power and Industrial Solutions Ltd.</t>
        </is>
      </c>
      <c r="C54" t="inlineStr">
        <is>
          <t>INE067A01029</t>
        </is>
      </c>
      <c r="D54" t="inlineStr">
        <is>
          <t>Electrical Equipment</t>
        </is>
      </c>
      <c r="E54" t="n">
        <v>13590</v>
      </c>
      <c r="F54" t="n">
        <v>88.05</v>
      </c>
      <c r="G54" t="n">
        <v>0.49</v>
      </c>
    </row>
    <row r="55">
      <c r="B55" t="inlineStr">
        <is>
          <t>Global Health Ltd.</t>
        </is>
      </c>
      <c r="C55" t="inlineStr">
        <is>
          <t>INE474Q01031</t>
        </is>
      </c>
      <c r="D55" t="inlineStr">
        <is>
          <t>Healthcare Services</t>
        </is>
      </c>
      <c r="E55" t="n">
        <v>7380</v>
      </c>
      <c r="F55" t="n">
        <v>87.56</v>
      </c>
      <c r="G55" t="n">
        <v>0.48</v>
      </c>
    </row>
    <row r="56">
      <c r="B56" t="inlineStr">
        <is>
          <t>ICICI Prudential Asset Mgmt Co Ltd.</t>
        </is>
      </c>
      <c r="C56" t="inlineStr">
        <is>
          <t>INE346A01027</t>
        </is>
      </c>
      <c r="D56" t="inlineStr">
        <is>
          <t>Capital Markets</t>
        </is>
      </c>
      <c r="E56" t="n">
        <v>3180</v>
      </c>
      <c r="F56" t="n">
        <v>84.62</v>
      </c>
      <c r="G56" t="n">
        <v>0.47</v>
      </c>
    </row>
    <row r="57">
      <c r="B57" t="inlineStr">
        <is>
          <t>Ajanta Pharma Ltd.</t>
        </is>
      </c>
      <c r="C57" t="inlineStr">
        <is>
          <t>INE031B01049</t>
        </is>
      </c>
      <c r="D57" t="inlineStr">
        <is>
          <t>Pharmaceuticals &amp; Biotechnology</t>
        </is>
      </c>
      <c r="E57" t="n">
        <v>3040</v>
      </c>
      <c r="F57" t="n">
        <v>84.17</v>
      </c>
      <c r="G57" t="n">
        <v>0.47</v>
      </c>
    </row>
    <row r="58">
      <c r="B58" t="inlineStr">
        <is>
          <t>Multi Commodity Exchange Of India Ltd.</t>
        </is>
      </c>
      <c r="C58" t="inlineStr">
        <is>
          <t>INE745G01035</t>
        </is>
      </c>
      <c r="D58" t="inlineStr">
        <is>
          <t>Capital Markets</t>
        </is>
      </c>
      <c r="E58" t="n">
        <v>740</v>
      </c>
      <c r="F58" t="n">
        <v>82.41</v>
      </c>
      <c r="G58" t="n">
        <v>0.46</v>
      </c>
    </row>
    <row r="59">
      <c r="B59" t="inlineStr">
        <is>
          <t>AU Small Finance Bank Ltd.</t>
        </is>
      </c>
      <c r="C59" t="inlineStr">
        <is>
          <t>INE949L01017</t>
        </is>
      </c>
      <c r="D59" t="inlineStr">
        <is>
          <t>Banks</t>
        </is>
      </c>
      <c r="E59" t="n">
        <v>8280</v>
      </c>
      <c r="F59" t="n">
        <v>82.34</v>
      </c>
      <c r="G59" t="n">
        <v>0.46</v>
      </c>
    </row>
    <row r="60">
      <c r="B60" t="inlineStr">
        <is>
          <t>Rubicon Research Ltd.</t>
        </is>
      </c>
      <c r="C60" t="inlineStr">
        <is>
          <t>INE506V01022</t>
        </is>
      </c>
      <c r="D60" t="inlineStr">
        <is>
          <t>Pharmaceuticals &amp; Biotechnology</t>
        </is>
      </c>
      <c r="E60" t="n">
        <v>11930</v>
      </c>
      <c r="F60" t="n">
        <v>81.20999999999999</v>
      </c>
      <c r="G60" t="n">
        <v>0.45</v>
      </c>
    </row>
    <row r="61">
      <c r="B61" t="inlineStr">
        <is>
          <t>Bikaji Foods International Ltd.</t>
        </is>
      </c>
      <c r="C61" t="inlineStr">
        <is>
          <t>INE00E101023</t>
        </is>
      </c>
      <c r="D61" t="inlineStr">
        <is>
          <t>Food Products</t>
        </is>
      </c>
      <c r="E61" t="n">
        <v>10780</v>
      </c>
      <c r="F61" t="n">
        <v>80.83</v>
      </c>
      <c r="G61" t="n">
        <v>0.45</v>
      </c>
    </row>
    <row r="62">
      <c r="B62" t="inlineStr">
        <is>
          <t>Anthem Biosciences Ltd.</t>
        </is>
      </c>
      <c r="C62" t="inlineStr">
        <is>
          <t>INE0CZ201020</t>
        </is>
      </c>
      <c r="D62" t="inlineStr">
        <is>
          <t>Pharmaceuticals &amp; Biotechnology</t>
        </is>
      </c>
      <c r="E62" t="n">
        <v>12240</v>
      </c>
      <c r="F62" t="n">
        <v>79.73999999999999</v>
      </c>
      <c r="G62" t="n">
        <v>0.44</v>
      </c>
    </row>
    <row r="63">
      <c r="B63" t="inlineStr">
        <is>
          <t>Cholamandalam Investment &amp; Finance Company Ltd.</t>
        </is>
      </c>
      <c r="C63" t="inlineStr">
        <is>
          <t>INE121A01024</t>
        </is>
      </c>
      <c r="D63" t="inlineStr">
        <is>
          <t>Finance</t>
        </is>
      </c>
      <c r="E63" t="n">
        <v>4680</v>
      </c>
      <c r="F63" t="n">
        <v>79.66</v>
      </c>
      <c r="G63" t="n">
        <v>0.44</v>
      </c>
    </row>
    <row r="64">
      <c r="B64" t="inlineStr">
        <is>
          <t>NTPC Ltd.</t>
        </is>
      </c>
      <c r="C64" t="inlineStr">
        <is>
          <t>INE733E01010</t>
        </is>
      </c>
      <c r="D64" t="inlineStr">
        <is>
          <t>Power</t>
        </is>
      </c>
      <c r="E64" t="n">
        <v>23500</v>
      </c>
      <c r="F64" t="n">
        <v>77.44</v>
      </c>
      <c r="G64" t="n">
        <v>0.43</v>
      </c>
    </row>
    <row r="65">
      <c r="B65" t="inlineStr">
        <is>
          <t>Schaeffler India Ltd.</t>
        </is>
      </c>
      <c r="C65" t="inlineStr">
        <is>
          <t>INE513A01022</t>
        </is>
      </c>
      <c r="D65" t="inlineStr">
        <is>
          <t>Auto Components</t>
        </is>
      </c>
      <c r="E65" t="n">
        <v>1990</v>
      </c>
      <c r="F65" t="n">
        <v>77.19</v>
      </c>
      <c r="G65" t="n">
        <v>0.43</v>
      </c>
    </row>
    <row r="66">
      <c r="B66" t="inlineStr">
        <is>
          <t>HDFC Asset Management Company Ltd.</t>
        </is>
      </c>
      <c r="C66" t="inlineStr">
        <is>
          <t>INE127D01025</t>
        </is>
      </c>
      <c r="D66" t="inlineStr">
        <is>
          <t>Capital Markets</t>
        </is>
      </c>
      <c r="E66" t="n">
        <v>2870</v>
      </c>
      <c r="F66" t="n">
        <v>76.69</v>
      </c>
      <c r="G66" t="n">
        <v>0.42</v>
      </c>
    </row>
    <row r="67">
      <c r="B67" t="inlineStr">
        <is>
          <t>Max Healthcare Institute Ltd.</t>
        </is>
      </c>
      <c r="C67" t="inlineStr">
        <is>
          <t>INE027H01010</t>
        </is>
      </c>
      <c r="D67" t="inlineStr">
        <is>
          <t>Healthcare Services</t>
        </is>
      </c>
      <c r="E67" t="n">
        <v>7245</v>
      </c>
      <c r="F67" t="n">
        <v>75.72</v>
      </c>
      <c r="G67" t="n">
        <v>0.42</v>
      </c>
    </row>
    <row r="68">
      <c r="B68" t="inlineStr">
        <is>
          <t>Blue Star Ltd.</t>
        </is>
      </c>
      <c r="C68" t="inlineStr">
        <is>
          <t>INE472A01039</t>
        </is>
      </c>
      <c r="D68" t="inlineStr">
        <is>
          <t>Consumer Durables</t>
        </is>
      </c>
      <c r="E68" t="n">
        <v>4370</v>
      </c>
      <c r="F68" t="n">
        <v>75.63</v>
      </c>
      <c r="G68" t="n">
        <v>0.42</v>
      </c>
    </row>
    <row r="69">
      <c r="B69" t="inlineStr">
        <is>
          <t>Astral Ltd.</t>
        </is>
      </c>
      <c r="C69" t="inlineStr">
        <is>
          <t>INE006I01046</t>
        </is>
      </c>
      <c r="D69" t="inlineStr">
        <is>
          <t>Industrial Products</t>
        </is>
      </c>
      <c r="E69" t="n">
        <v>5230</v>
      </c>
      <c r="F69" t="n">
        <v>72.62</v>
      </c>
      <c r="G69" t="n">
        <v>0.4</v>
      </c>
    </row>
    <row r="70">
      <c r="B70" t="inlineStr">
        <is>
          <t>LG Electronics India Ltd.</t>
        </is>
      </c>
      <c r="C70" t="inlineStr">
        <is>
          <t>INE324D01010</t>
        </is>
      </c>
      <c r="D70" t="inlineStr">
        <is>
          <t>Consumer Durables</t>
        </is>
      </c>
      <c r="E70" t="n">
        <v>4720</v>
      </c>
      <c r="F70" t="n">
        <v>71.81</v>
      </c>
      <c r="G70" t="n">
        <v>0.4</v>
      </c>
    </row>
    <row r="71">
      <c r="B71" t="inlineStr">
        <is>
          <t>Tube Investments Of India Ltd.</t>
        </is>
      </c>
      <c r="C71" t="inlineStr">
        <is>
          <t>INE974X01010</t>
        </is>
      </c>
      <c r="D71" t="inlineStr">
        <is>
          <t>Auto Components</t>
        </is>
      </c>
      <c r="E71" t="n">
        <v>2710</v>
      </c>
      <c r="F71" t="n">
        <v>70.84</v>
      </c>
      <c r="G71" t="n">
        <v>0.39</v>
      </c>
    </row>
    <row r="72">
      <c r="B72" t="inlineStr">
        <is>
          <t>Jubilant Foodworks Ltd.</t>
        </is>
      </c>
      <c r="C72" t="inlineStr">
        <is>
          <t>INE797F01020</t>
        </is>
      </c>
      <c r="D72" t="inlineStr">
        <is>
          <t>Leisure Services</t>
        </is>
      </c>
      <c r="E72" t="n">
        <v>12680</v>
      </c>
      <c r="F72" t="n">
        <v>70.83</v>
      </c>
      <c r="G72" t="n">
        <v>0.39</v>
      </c>
    </row>
    <row r="73">
      <c r="B73" t="inlineStr">
        <is>
          <t>MRS Bectors Food Specialities Ltd.</t>
        </is>
      </c>
      <c r="C73" t="inlineStr">
        <is>
          <t>INE495P01020</t>
        </is>
      </c>
      <c r="D73" t="inlineStr">
        <is>
          <t>Food Products</t>
        </is>
      </c>
      <c r="E73" t="n">
        <v>30115</v>
      </c>
      <c r="F73" t="n">
        <v>69.38</v>
      </c>
      <c r="G73" t="n">
        <v>0.38</v>
      </c>
    </row>
    <row r="74">
      <c r="B74" t="inlineStr">
        <is>
          <t>Endurance Technologies Ltd.</t>
        </is>
      </c>
      <c r="C74" t="inlineStr">
        <is>
          <t>INE913H01037</t>
        </is>
      </c>
      <c r="D74" t="inlineStr">
        <is>
          <t>Auto Components</t>
        </is>
      </c>
      <c r="E74" t="n">
        <v>1720</v>
      </c>
      <c r="F74" t="n">
        <v>44.55</v>
      </c>
      <c r="G74" t="n">
        <v>0.25</v>
      </c>
    </row>
    <row r="75">
      <c r="B75" t="inlineStr">
        <is>
          <t>Sub Total</t>
        </is>
      </c>
      <c r="F75" t="n">
        <v>11068.76</v>
      </c>
      <c r="G75" t="n">
        <v>61.28</v>
      </c>
    </row>
    <row r="76"/>
    <row r="77">
      <c r="B77" t="inlineStr">
        <is>
          <t>(b) Unlisted</t>
        </is>
      </c>
    </row>
    <row r="78">
      <c r="F78" t="n">
        <v>0</v>
      </c>
      <c r="G78" t="n">
        <v>0</v>
      </c>
    </row>
    <row r="79">
      <c r="B79" t="inlineStr">
        <is>
          <t>Sub Total</t>
        </is>
      </c>
      <c r="F79" t="inlineStr">
        <is>
          <t>NIL</t>
        </is>
      </c>
      <c r="G79" t="inlineStr">
        <is>
          <t>NIL</t>
        </is>
      </c>
    </row>
    <row r="80"/>
    <row r="81">
      <c r="B81" t="inlineStr">
        <is>
          <t>TOTAL</t>
        </is>
      </c>
      <c r="F81" t="n">
        <v>11068.76</v>
      </c>
      <c r="G81" t="n">
        <v>61.28</v>
      </c>
    </row>
    <row r="82"/>
    <row r="83">
      <c r="B83" t="inlineStr">
        <is>
          <t>Derivatives  (Index / Stock Futures)</t>
        </is>
      </c>
    </row>
    <row r="84">
      <c r="B84" t="inlineStr">
        <is>
          <t>Kotak Mahindra Bank Ltd.</t>
        </is>
      </c>
      <c r="E84" t="n">
        <v>-41600</v>
      </c>
      <c r="F84" t="n">
        <v>-919.03</v>
      </c>
      <c r="G84" t="n">
        <v>-5.09</v>
      </c>
    </row>
    <row r="85">
      <c r="B85" t="inlineStr">
        <is>
          <t>Hindustan Unilever Ltd.</t>
        </is>
      </c>
      <c r="E85" t="n">
        <v>-29400</v>
      </c>
      <c r="F85" t="n">
        <v>-683.37</v>
      </c>
      <c r="G85" t="n">
        <v>-3.78</v>
      </c>
    </row>
    <row r="86">
      <c r="B86" t="inlineStr">
        <is>
          <t>Titan Company Ltd.</t>
        </is>
      </c>
      <c r="E86" t="n">
        <v>-13825</v>
      </c>
      <c r="F86" t="n">
        <v>-562.01</v>
      </c>
      <c r="G86" t="n">
        <v>-3.11</v>
      </c>
    </row>
    <row r="87">
      <c r="B87" t="inlineStr">
        <is>
          <t>Sun Pharmaceutical Industries Ltd.</t>
        </is>
      </c>
      <c r="E87" t="n">
        <v>-17850</v>
      </c>
      <c r="F87" t="n">
        <v>-308.61</v>
      </c>
      <c r="G87" t="n">
        <v>-1.71</v>
      </c>
    </row>
    <row r="88">
      <c r="B88" t="inlineStr">
        <is>
          <t>Infosys Ltd.</t>
        </is>
      </c>
      <c r="E88" t="n">
        <v>-3600</v>
      </c>
      <c r="F88" t="n">
        <v>-58.51</v>
      </c>
      <c r="G88" t="n">
        <v>-0.32</v>
      </c>
    </row>
    <row r="89"/>
    <row r="90">
      <c r="B90" t="inlineStr">
        <is>
          <t>TOTAL</t>
        </is>
      </c>
      <c r="F90" t="n">
        <v>-2531.53</v>
      </c>
      <c r="G90" t="n">
        <v>-14.01</v>
      </c>
    </row>
    <row r="91"/>
    <row r="92">
      <c r="B92" t="inlineStr">
        <is>
          <t>Debt Instruments</t>
        </is>
      </c>
    </row>
    <row r="93"/>
    <row r="94">
      <c r="B94" t="inlineStr">
        <is>
          <t>(a)Listed / Awaiting listing on stock Exchanges</t>
        </is>
      </c>
    </row>
    <row r="95">
      <c r="B95" t="inlineStr">
        <is>
          <t>6.01% Government of India</t>
        </is>
      </c>
      <c r="C95" t="inlineStr">
        <is>
          <t>IN0020250067</t>
        </is>
      </c>
      <c r="D95" t="inlineStr">
        <is>
          <t>SOVEREIGN</t>
        </is>
      </c>
      <c r="E95" t="n">
        <v>1650000</v>
      </c>
      <c r="F95" t="n">
        <v>1629.98</v>
      </c>
      <c r="G95" t="n">
        <v>9.029999999999999</v>
      </c>
      <c r="H95" t="n">
        <v>6.4193</v>
      </c>
    </row>
    <row r="96">
      <c r="B96" t="inlineStr">
        <is>
          <t>Sub Total</t>
        </is>
      </c>
      <c r="F96" t="n">
        <v>1629.98</v>
      </c>
      <c r="G96" t="n">
        <v>9.029999999999999</v>
      </c>
    </row>
    <row r="97"/>
    <row r="98">
      <c r="B98" t="inlineStr">
        <is>
          <t>(b)Privately Placed/Unlisted</t>
        </is>
      </c>
    </row>
    <row r="99">
      <c r="F99" t="n">
        <v>0</v>
      </c>
      <c r="G99" t="n">
        <v>0</v>
      </c>
    </row>
    <row r="100">
      <c r="B100" t="inlineStr">
        <is>
          <t>Sub Total</t>
        </is>
      </c>
      <c r="F100" t="inlineStr">
        <is>
          <t>NIL</t>
        </is>
      </c>
      <c r="G100" t="inlineStr">
        <is>
          <t>NIL</t>
        </is>
      </c>
    </row>
    <row r="101"/>
    <row r="102">
      <c r="B102" t="inlineStr">
        <is>
          <t>(c)Securitised Debt Instruments</t>
        </is>
      </c>
    </row>
    <row r="103">
      <c r="F103" t="n">
        <v>0</v>
      </c>
      <c r="G103" t="n">
        <v>0</v>
      </c>
    </row>
    <row r="104">
      <c r="B104" t="inlineStr">
        <is>
          <t>Sub Total</t>
        </is>
      </c>
      <c r="F104" t="inlineStr">
        <is>
          <t>NIL</t>
        </is>
      </c>
      <c r="G104" t="inlineStr">
        <is>
          <t>NIL</t>
        </is>
      </c>
    </row>
    <row r="105"/>
    <row r="106">
      <c r="B106" t="inlineStr">
        <is>
          <t>TOTAL</t>
        </is>
      </c>
      <c r="F106" t="n">
        <v>1629.98</v>
      </c>
      <c r="G106" t="n">
        <v>9.029999999999999</v>
      </c>
    </row>
    <row r="107"/>
    <row r="108">
      <c r="B108" t="inlineStr">
        <is>
          <t>Money Market Instruments</t>
        </is>
      </c>
    </row>
    <row r="109"/>
    <row r="110">
      <c r="B110" t="inlineStr">
        <is>
          <t>Treasury Bill</t>
        </is>
      </c>
    </row>
    <row r="111">
      <c r="B111" t="inlineStr">
        <is>
          <t>91 DAYS TBILL RED 08-01-2026</t>
        </is>
      </c>
      <c r="C111" t="inlineStr">
        <is>
          <t>IN002025X281</t>
        </is>
      </c>
      <c r="D111" t="inlineStr">
        <is>
          <t>SOVEREIGN</t>
        </is>
      </c>
      <c r="E111" t="n">
        <v>300000</v>
      </c>
      <c r="F111" t="n">
        <v>299.7</v>
      </c>
      <c r="G111" t="n">
        <v>1.66</v>
      </c>
      <c r="H111" t="n">
        <v>5.2509</v>
      </c>
    </row>
    <row r="112">
      <c r="B112" t="inlineStr">
        <is>
          <t>91 DAYS TBILL RED 02-01-2026</t>
        </is>
      </c>
      <c r="C112" t="inlineStr">
        <is>
          <t>IN002025X273</t>
        </is>
      </c>
      <c r="D112" t="inlineStr">
        <is>
          <t>SOVEREIGN</t>
        </is>
      </c>
      <c r="E112" t="n">
        <v>50000</v>
      </c>
      <c r="F112" t="n">
        <v>49.99</v>
      </c>
      <c r="G112" t="n">
        <v>0.28</v>
      </c>
      <c r="H112" t="n">
        <v>5.348</v>
      </c>
    </row>
    <row r="113">
      <c r="B113" t="inlineStr">
        <is>
          <t>Sub Total</t>
        </is>
      </c>
      <c r="F113" t="n">
        <v>349.69</v>
      </c>
      <c r="G113" t="n">
        <v>1.94</v>
      </c>
    </row>
    <row r="114"/>
    <row r="115">
      <c r="B115" t="inlineStr">
        <is>
          <t>TOTAL</t>
        </is>
      </c>
      <c r="F115" t="n">
        <v>349.69</v>
      </c>
      <c r="G115" t="n">
        <v>1.94</v>
      </c>
    </row>
    <row r="116"/>
    <row r="117"/>
    <row r="118">
      <c r="B118" t="inlineStr">
        <is>
          <t>Exchange Traded Fund</t>
        </is>
      </c>
    </row>
    <row r="119">
      <c r="B119" t="inlineStr">
        <is>
          <t>ICICI Prudential Mutual Fund-Gold ETF</t>
        </is>
      </c>
      <c r="C119" t="inlineStr">
        <is>
          <t>INF109KC1NT3</t>
        </is>
      </c>
      <c r="E119" t="n">
        <v>585908</v>
      </c>
      <c r="F119" t="n">
        <v>669.63</v>
      </c>
      <c r="G119" t="n">
        <v>3.71</v>
      </c>
    </row>
    <row r="120">
      <c r="B120" t="inlineStr">
        <is>
          <t>HDFC Mutual Fund-Gold ETF</t>
        </is>
      </c>
      <c r="C120" t="inlineStr">
        <is>
          <t>INF179KC1981</t>
        </is>
      </c>
      <c r="E120" t="n">
        <v>586947</v>
      </c>
      <c r="F120" t="n">
        <v>667.42</v>
      </c>
      <c r="G120" t="n">
        <v>3.7</v>
      </c>
    </row>
    <row r="121">
      <c r="B121" t="inlineStr">
        <is>
          <t>SBI Mutual Fund-Gold ETF</t>
        </is>
      </c>
      <c r="C121" t="inlineStr">
        <is>
          <t>INF200KA16D8</t>
        </is>
      </c>
      <c r="E121" t="n">
        <v>587370</v>
      </c>
      <c r="F121" t="n">
        <v>667.13</v>
      </c>
      <c r="G121" t="n">
        <v>3.69</v>
      </c>
    </row>
    <row r="122">
      <c r="B122" t="inlineStr">
        <is>
          <t>ICICI Prudential Mutual Fund-Silver ETF</t>
        </is>
      </c>
      <c r="C122" t="inlineStr">
        <is>
          <t>INF109KC1Y56</t>
        </is>
      </c>
      <c r="E122" t="n">
        <v>265310</v>
      </c>
      <c r="F122" t="n">
        <v>597.27</v>
      </c>
      <c r="G122" t="n">
        <v>3.31</v>
      </c>
    </row>
    <row r="123">
      <c r="B123" t="inlineStr">
        <is>
          <t>Nippon India Mutual Fund-Silver ETF</t>
        </is>
      </c>
      <c r="C123" t="inlineStr">
        <is>
          <t>INF204KC1402</t>
        </is>
      </c>
      <c r="E123" t="n">
        <v>276050</v>
      </c>
      <c r="F123" t="n">
        <v>594.6900000000001</v>
      </c>
      <c r="G123" t="n">
        <v>3.29</v>
      </c>
    </row>
    <row r="124">
      <c r="B124" t="inlineStr">
        <is>
          <t>DSP Mutual Fund-Silver ETF</t>
        </is>
      </c>
      <c r="C124" t="inlineStr">
        <is>
          <t>INF740KA1RE3</t>
        </is>
      </c>
      <c r="E124" t="n">
        <v>232755</v>
      </c>
      <c r="F124" t="n">
        <v>504.8</v>
      </c>
      <c r="G124" t="n">
        <v>2.8</v>
      </c>
    </row>
    <row r="125">
      <c r="B125" t="inlineStr">
        <is>
          <t>Sub Total</t>
        </is>
      </c>
      <c r="F125" t="n">
        <v>3700.94</v>
      </c>
      <c r="G125" t="n">
        <v>20.5</v>
      </c>
    </row>
    <row r="126"/>
    <row r="127">
      <c r="B127" t="inlineStr">
        <is>
          <t>TOTAL</t>
        </is>
      </c>
      <c r="F127" t="n">
        <v>3700.94</v>
      </c>
      <c r="G127" t="n">
        <v>20.5</v>
      </c>
    </row>
    <row r="128"/>
    <row r="129">
      <c r="B129" t="inlineStr">
        <is>
          <t>Treps / Reverse Repo</t>
        </is>
      </c>
    </row>
    <row r="130">
      <c r="B130" t="inlineStr">
        <is>
          <t>Clearing Corporation of India Ltd.</t>
        </is>
      </c>
      <c r="F130" t="n">
        <v>1242.53</v>
      </c>
      <c r="G130" t="n">
        <v>6.89</v>
      </c>
    </row>
    <row r="131">
      <c r="B131" t="inlineStr">
        <is>
          <t>Sub Total</t>
        </is>
      </c>
      <c r="F131" t="n">
        <v>1242.53</v>
      </c>
      <c r="G131" t="n">
        <v>6.89</v>
      </c>
    </row>
    <row r="132"/>
    <row r="133">
      <c r="B133" t="inlineStr">
        <is>
          <t>TOTAL</t>
        </is>
      </c>
      <c r="F133" t="n">
        <v>1242.53</v>
      </c>
      <c r="G133" t="n">
        <v>6.89</v>
      </c>
    </row>
    <row r="134"/>
    <row r="135">
      <c r="B135" t="inlineStr">
        <is>
          <t>Net Receivables / (Payables)</t>
        </is>
      </c>
      <c r="F135" t="n">
        <v>2596.03</v>
      </c>
      <c r="G135" t="n">
        <v>14.37</v>
      </c>
    </row>
    <row r="136"/>
    <row r="137">
      <c r="B137" t="inlineStr">
        <is>
          <t>GRAND TOTAL</t>
        </is>
      </c>
      <c r="F137" t="n">
        <v>18056.4</v>
      </c>
      <c r="G137" t="n">
        <v>100</v>
      </c>
    </row>
    <row r="138"/>
    <row r="139"/>
    <row r="140"/>
    <row r="141"/>
    <row r="142"/>
    <row r="143"/>
    <row r="144"/>
    <row r="145"/>
    <row r="146">
      <c r="B146" t="inlineStr">
        <is>
          <t>Notes:</t>
        </is>
      </c>
    </row>
    <row r="147">
      <c r="B147" t="inlineStr">
        <is>
          <t>1. Plan / Option-wise Net Asset Value per unit are as below :   (Face Value per unit = Rs. 10)</t>
        </is>
      </c>
    </row>
    <row r="148">
      <c r="B148" t="inlineStr">
        <is>
          <t xml:space="preserve">Plan / Option </t>
        </is>
      </c>
      <c r="C148" s="1" t="n">
        <v>45989</v>
      </c>
      <c r="D148" s="1" t="n">
        <v>46022</v>
      </c>
    </row>
    <row r="149">
      <c r="B149" t="inlineStr">
        <is>
          <t>Direct Plan</t>
        </is>
      </c>
      <c r="C149" t="inlineStr">
        <is>
          <t>(INR)</t>
        </is>
      </c>
      <c r="D149" t="inlineStr">
        <is>
          <t>(INR)</t>
        </is>
      </c>
    </row>
    <row r="150">
      <c r="B150" t="inlineStr">
        <is>
          <t>Growth</t>
        </is>
      </c>
      <c r="C150" t="inlineStr">
        <is>
          <t>N.A</t>
        </is>
      </c>
      <c r="D150" t="n">
        <v>10.24</v>
      </c>
    </row>
    <row r="151">
      <c r="B151" t="inlineStr">
        <is>
          <t>IDCW (earlier called Dividend)</t>
        </is>
      </c>
      <c r="C151" t="inlineStr">
        <is>
          <t>N.A</t>
        </is>
      </c>
      <c r="D151" t="n">
        <v>10.24</v>
      </c>
    </row>
    <row r="152">
      <c r="B152" t="inlineStr">
        <is>
          <t>Regular Plan</t>
        </is>
      </c>
    </row>
    <row r="153">
      <c r="B153" t="inlineStr">
        <is>
          <t>Growth</t>
        </is>
      </c>
      <c r="C153" t="inlineStr">
        <is>
          <t>N.A</t>
        </is>
      </c>
      <c r="D153" t="n">
        <v>10.23</v>
      </c>
    </row>
    <row r="154">
      <c r="B154" t="inlineStr">
        <is>
          <t>IDCW (earlier called Dividend)</t>
        </is>
      </c>
      <c r="C154" t="inlineStr">
        <is>
          <t>N.A</t>
        </is>
      </c>
      <c r="D154" t="n">
        <v>10.23</v>
      </c>
    </row>
    <row r="155"/>
    <row r="156">
      <c r="B156" t="inlineStr">
        <is>
          <t>2.   Exposure to derivative instruments in the scheme at the end of the month</t>
        </is>
      </c>
    </row>
    <row r="157">
      <c r="C157" t="inlineStr">
        <is>
          <t>Futures</t>
        </is>
      </c>
      <c r="D157" t="inlineStr">
        <is>
          <t>Put Options</t>
        </is>
      </c>
      <c r="E157" t="inlineStr">
        <is>
          <t>Swaps</t>
        </is>
      </c>
    </row>
    <row r="158">
      <c r="B158" t="inlineStr">
        <is>
          <t>a) Hedging Positions</t>
        </is>
      </c>
      <c r="C158" t="inlineStr">
        <is>
          <t>Refer Annexure 1  below</t>
        </is>
      </c>
      <c r="D158" t="inlineStr">
        <is>
          <t>NIL</t>
        </is>
      </c>
      <c r="E158" t="inlineStr">
        <is>
          <t>N.A.</t>
        </is>
      </c>
    </row>
    <row r="159">
      <c r="B159" t="inlineStr">
        <is>
          <t>b) Positions other than (a) above</t>
        </is>
      </c>
      <c r="C159" t="inlineStr">
        <is>
          <t>NIL</t>
        </is>
      </c>
      <c r="D159" t="inlineStr">
        <is>
          <t>NIL</t>
        </is>
      </c>
      <c r="E159" t="inlineStr">
        <is>
          <t>N.A.</t>
        </is>
      </c>
    </row>
    <row r="160"/>
    <row r="161"/>
    <row r="162">
      <c r="B162" t="inlineStr">
        <is>
          <t>3.  Derivatives Transactions in the scheme for the month</t>
        </is>
      </c>
      <c r="D162" t="inlineStr">
        <is>
          <t>NIL</t>
        </is>
      </c>
    </row>
    <row r="163"/>
    <row r="164">
      <c r="B164" t="inlineStr">
        <is>
          <t>4.   Investment in foreign securities/ADRs/GDRs at the end of the month (INR Lacs)</t>
        </is>
      </c>
      <c r="D164" t="inlineStr">
        <is>
          <t>NIL</t>
        </is>
      </c>
    </row>
    <row r="165"/>
    <row r="166">
      <c r="B166" t="inlineStr">
        <is>
          <t>5.   Investment in short term deposits at the end of the month (INR Lacs)</t>
        </is>
      </c>
      <c r="D166" t="inlineStr">
        <is>
          <t>NIL</t>
        </is>
      </c>
    </row>
    <row r="167"/>
    <row r="168">
      <c r="B168" t="inlineStr">
        <is>
          <t>6. Portfolio Turnover Ratio</t>
        </is>
      </c>
      <c r="D168" t="n">
        <v>0.01</v>
      </c>
    </row>
    <row r="169"/>
    <row r="170">
      <c r="B170" t="inlineStr">
        <is>
          <t>7.   Aggregate IDCW (earlier called Dividend) declared during the month</t>
        </is>
      </c>
      <c r="D170" t="inlineStr">
        <is>
          <t>NIL</t>
        </is>
      </c>
    </row>
    <row r="171"/>
    <row r="172">
      <c r="B172" t="inlineStr">
        <is>
          <t>8.   (a) Total Exposure to illiquid securities in the portfolio (INR Lacs)</t>
        </is>
      </c>
      <c r="D172" t="inlineStr">
        <is>
          <t>NIL</t>
        </is>
      </c>
    </row>
    <row r="173">
      <c r="B173" t="inlineStr">
        <is>
          <t xml:space="preserve">     (b) Total Exposure to illiquid securities in the portfolio (% of AUM)</t>
        </is>
      </c>
      <c r="D173" t="inlineStr">
        <is>
          <t>NIL</t>
        </is>
      </c>
    </row>
    <row r="174"/>
    <row r="175">
      <c r="B175" t="inlineStr">
        <is>
          <t>9.   Instances of Fair valuation of securities or Deviation in valuation from what is  provided by valuation agencies</t>
        </is>
      </c>
      <c r="D175" t="inlineStr">
        <is>
          <t>NIL</t>
        </is>
      </c>
    </row>
    <row r="176"/>
    <row r="177">
      <c r="B177" t="inlineStr">
        <is>
          <t>10. Securities in default beyond its maturity date in the portfolio of the scheme</t>
        </is>
      </c>
      <c r="D177" t="inlineStr">
        <is>
          <t>NIL</t>
        </is>
      </c>
    </row>
    <row r="178"/>
    <row r="179">
      <c r="B179" t="inlineStr">
        <is>
          <t>Annexure 1</t>
        </is>
      </c>
    </row>
    <row r="180">
      <c r="B180" t="inlineStr">
        <is>
          <t>Underlying</t>
        </is>
      </c>
      <c r="C180" t="inlineStr">
        <is>
          <t>Long / short</t>
        </is>
      </c>
      <c r="D180" t="inlineStr">
        <is>
          <t>Futures price when purchased</t>
        </is>
      </c>
      <c r="E180" t="inlineStr">
        <is>
          <t>Current Price of the contract</t>
        </is>
      </c>
      <c r="F180" t="inlineStr">
        <is>
          <t>Margin maintained in Rs. Lakhs</t>
        </is>
      </c>
    </row>
    <row r="181">
      <c r="B181" t="inlineStr">
        <is>
          <t>Hindustan Unilever Ltd.</t>
        </is>
      </c>
      <c r="C181" t="inlineStr">
        <is>
          <t>short</t>
        </is>
      </c>
      <c r="D181" t="n">
        <v>2333.117259</v>
      </c>
      <c r="E181" t="n">
        <v>2324.4</v>
      </c>
      <c r="F181" t="n">
        <v>120.7521151</v>
      </c>
    </row>
    <row r="182">
      <c r="B182" t="inlineStr">
        <is>
          <t>Infosys Ltd.</t>
        </is>
      </c>
      <c r="C182" t="inlineStr">
        <is>
          <t>short</t>
        </is>
      </c>
      <c r="D182" t="n">
        <v>1623.5444</v>
      </c>
      <c r="E182" t="n">
        <v>1625.3</v>
      </c>
      <c r="F182" t="n">
        <v>10.3213051</v>
      </c>
    </row>
    <row r="183">
      <c r="B183" t="inlineStr">
        <is>
          <t>Kotak Mahindra Bank Ltd.</t>
        </is>
      </c>
      <c r="C183" t="inlineStr">
        <is>
          <t>short</t>
        </is>
      </c>
      <c r="D183" t="n">
        <v>2154.074959</v>
      </c>
      <c r="E183" t="n">
        <v>2209.2</v>
      </c>
      <c r="F183" t="n">
        <v>162.3921062</v>
      </c>
    </row>
    <row r="184">
      <c r="B184" t="inlineStr">
        <is>
          <t>Sun Pharmaceutical Industries Ltd.</t>
        </is>
      </c>
      <c r="C184" t="inlineStr">
        <is>
          <t>short</t>
        </is>
      </c>
      <c r="D184" t="n">
        <v>1813.2</v>
      </c>
      <c r="E184" t="n">
        <v>1728.9</v>
      </c>
      <c r="F184" t="n">
        <v>54.4694267</v>
      </c>
    </row>
    <row r="185">
      <c r="B185" t="inlineStr">
        <is>
          <t>Titan Company Ltd.</t>
        </is>
      </c>
      <c r="C185" t="inlineStr">
        <is>
          <t>short</t>
        </is>
      </c>
      <c r="D185" t="n">
        <v>3840.372074</v>
      </c>
      <c r="E185" t="n">
        <v>4065.2</v>
      </c>
      <c r="F185" t="n">
        <v>99.3640575</v>
      </c>
    </row>
    <row r="186"/>
    <row r="187">
      <c r="B187" t="inlineStr">
        <is>
          <t xml:space="preserve">Total %age in of existing assets hedged through futures : </t>
        </is>
      </c>
      <c r="C187">
        <f>G90/100*-1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MULTI CAP FUND</t>
        </is>
      </c>
    </row>
    <row r="2">
      <c r="B2" t="inlineStr">
        <is>
          <t>(An open ended equity scheme investing across large cap, mid cap,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Multicap 50:25:25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189750</v>
      </c>
      <c r="F16" t="n">
        <v>1880.8</v>
      </c>
      <c r="G16" t="n">
        <v>4.52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123000</v>
      </c>
      <c r="F17" t="n">
        <v>1651.77</v>
      </c>
      <c r="G17" t="n">
        <v>3.97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98996</v>
      </c>
      <c r="F18" t="n">
        <v>1554.63</v>
      </c>
      <c r="G18" t="n">
        <v>3.74</v>
      </c>
    </row>
    <row r="19">
      <c r="B19" t="inlineStr">
        <is>
          <t>TVS Motor Company Ltd.</t>
        </is>
      </c>
      <c r="C19" t="inlineStr">
        <is>
          <t>INE494B01023</t>
        </is>
      </c>
      <c r="D19" t="inlineStr">
        <is>
          <t>Automobiles</t>
        </is>
      </c>
      <c r="E19" t="n">
        <v>27925</v>
      </c>
      <c r="F19" t="n">
        <v>1038.75</v>
      </c>
      <c r="G19" t="n">
        <v>2.5</v>
      </c>
    </row>
    <row r="20">
      <c r="B20" t="inlineStr">
        <is>
          <t>Muthoot Finance Ltd.</t>
        </is>
      </c>
      <c r="C20" t="inlineStr">
        <is>
          <t>INE414G01012</t>
        </is>
      </c>
      <c r="D20" t="inlineStr">
        <is>
          <t>Finance</t>
        </is>
      </c>
      <c r="E20" t="n">
        <v>26036</v>
      </c>
      <c r="F20" t="n">
        <v>992.41</v>
      </c>
      <c r="G20" t="n">
        <v>2.38</v>
      </c>
    </row>
    <row r="21">
      <c r="B21" t="inlineStr">
        <is>
          <t>Persistent Systems Ltd.</t>
        </is>
      </c>
      <c r="C21" t="inlineStr">
        <is>
          <t>INE262H01021</t>
        </is>
      </c>
      <c r="D21" t="inlineStr">
        <is>
          <t>IT - Software</t>
        </is>
      </c>
      <c r="E21" t="n">
        <v>15563</v>
      </c>
      <c r="F21" t="n">
        <v>976.11</v>
      </c>
      <c r="G21" t="n">
        <v>2.35</v>
      </c>
    </row>
    <row r="22">
      <c r="B22" t="inlineStr">
        <is>
          <t>Eternal Ltd.</t>
        </is>
      </c>
      <c r="C22" t="inlineStr">
        <is>
          <t>INE758T01015</t>
        </is>
      </c>
      <c r="D22" t="inlineStr">
        <is>
          <t>Retailing</t>
        </is>
      </c>
      <c r="E22" t="n">
        <v>323540</v>
      </c>
      <c r="F22" t="n">
        <v>899.6</v>
      </c>
      <c r="G22" t="n">
        <v>2.16</v>
      </c>
    </row>
    <row r="23">
      <c r="B23" t="inlineStr">
        <is>
          <t>Max Financial Services Ltd.</t>
        </is>
      </c>
      <c r="C23" t="inlineStr">
        <is>
          <t>INE180A01020</t>
        </is>
      </c>
      <c r="D23" t="inlineStr">
        <is>
          <t>Insurance</t>
        </is>
      </c>
      <c r="E23" t="n">
        <v>50750</v>
      </c>
      <c r="F23" t="n">
        <v>848.4400000000001</v>
      </c>
      <c r="G23" t="n">
        <v>2.04</v>
      </c>
    </row>
    <row r="24">
      <c r="B24" t="inlineStr">
        <is>
          <t>Larsen &amp; Toubro Ltd.</t>
        </is>
      </c>
      <c r="C24" t="inlineStr">
        <is>
          <t>INE018A01030</t>
        </is>
      </c>
      <c r="D24" t="inlineStr">
        <is>
          <t>Construction</t>
        </is>
      </c>
      <c r="E24" t="n">
        <v>20535</v>
      </c>
      <c r="F24" t="n">
        <v>838.55</v>
      </c>
      <c r="G24" t="n">
        <v>2.01</v>
      </c>
    </row>
    <row r="25">
      <c r="B25" t="inlineStr">
        <is>
          <t>ICICI Lombard General Insurance Co. Ltd.</t>
        </is>
      </c>
      <c r="C25" t="inlineStr">
        <is>
          <t>INE765G01017</t>
        </is>
      </c>
      <c r="D25" t="inlineStr">
        <is>
          <t>Insurance</t>
        </is>
      </c>
      <c r="E25" t="n">
        <v>38810</v>
      </c>
      <c r="F25" t="n">
        <v>761.49</v>
      </c>
      <c r="G25" t="n">
        <v>1.83</v>
      </c>
    </row>
    <row r="26">
      <c r="B26" t="inlineStr">
        <is>
          <t>State Bank of India</t>
        </is>
      </c>
      <c r="C26" t="inlineStr">
        <is>
          <t>INE062A01020</t>
        </is>
      </c>
      <c r="D26" t="inlineStr">
        <is>
          <t>Banks</t>
        </is>
      </c>
      <c r="E26" t="n">
        <v>73675</v>
      </c>
      <c r="F26" t="n">
        <v>723.64</v>
      </c>
      <c r="G26" t="n">
        <v>1.74</v>
      </c>
    </row>
    <row r="27">
      <c r="B27" t="inlineStr">
        <is>
          <t>Rubicon Research Ltd.</t>
        </is>
      </c>
      <c r="C27" t="inlineStr">
        <is>
          <t>INE506V01022</t>
        </is>
      </c>
      <c r="D27" t="inlineStr">
        <is>
          <t>Pharmaceuticals &amp; Biotechnology</t>
        </is>
      </c>
      <c r="E27" t="n">
        <v>96630</v>
      </c>
      <c r="F27" t="n">
        <v>657.8099999999999</v>
      </c>
      <c r="G27" t="n">
        <v>1.58</v>
      </c>
    </row>
    <row r="28">
      <c r="B28" t="inlineStr">
        <is>
          <t>VARUN BEVERAGES LIMITED</t>
        </is>
      </c>
      <c r="C28" t="inlineStr">
        <is>
          <t>INE200M01039</t>
        </is>
      </c>
      <c r="D28" t="inlineStr">
        <is>
          <t>Beverages</t>
        </is>
      </c>
      <c r="E28" t="n">
        <v>132913</v>
      </c>
      <c r="F28" t="n">
        <v>651.0700000000001</v>
      </c>
      <c r="G28" t="n">
        <v>1.56</v>
      </c>
    </row>
    <row r="29">
      <c r="B29" t="inlineStr">
        <is>
          <t>Multi Commodity Exchange Of India Ltd.</t>
        </is>
      </c>
      <c r="C29" t="inlineStr">
        <is>
          <t>INE745G01035</t>
        </is>
      </c>
      <c r="D29" t="inlineStr">
        <is>
          <t>Capital Markets</t>
        </is>
      </c>
      <c r="E29" t="n">
        <v>5515</v>
      </c>
      <c r="F29" t="n">
        <v>614.15</v>
      </c>
      <c r="G29" t="n">
        <v>1.48</v>
      </c>
    </row>
    <row r="30">
      <c r="B30" t="inlineStr">
        <is>
          <t>Doms Industries Ltd.</t>
        </is>
      </c>
      <c r="C30" t="inlineStr">
        <is>
          <t>INE321T01012</t>
        </is>
      </c>
      <c r="D30" t="inlineStr">
        <is>
          <t>Household Products</t>
        </is>
      </c>
      <c r="E30" t="n">
        <v>23296</v>
      </c>
      <c r="F30" t="n">
        <v>609.28</v>
      </c>
      <c r="G30" t="n">
        <v>1.46</v>
      </c>
    </row>
    <row r="31">
      <c r="B31" t="inlineStr">
        <is>
          <t>Bharti Airtel Ltd.</t>
        </is>
      </c>
      <c r="C31" t="inlineStr">
        <is>
          <t>INE397D01024</t>
        </is>
      </c>
      <c r="D31" t="inlineStr">
        <is>
          <t>Telecom - Services</t>
        </is>
      </c>
      <c r="E31" t="n">
        <v>28816</v>
      </c>
      <c r="F31" t="n">
        <v>606.75</v>
      </c>
      <c r="G31" t="n">
        <v>1.46</v>
      </c>
    </row>
    <row r="32">
      <c r="B32" t="inlineStr">
        <is>
          <t>Global Health Ltd.</t>
        </is>
      </c>
      <c r="C32" t="inlineStr">
        <is>
          <t>INE474Q01031</t>
        </is>
      </c>
      <c r="D32" t="inlineStr">
        <is>
          <t>Healthcare Services</t>
        </is>
      </c>
      <c r="E32" t="n">
        <v>50595</v>
      </c>
      <c r="F32" t="n">
        <v>600.26</v>
      </c>
      <c r="G32" t="n">
        <v>1.44</v>
      </c>
    </row>
    <row r="33">
      <c r="B33" t="inlineStr">
        <is>
          <t>Bajaj Finance Ltd.</t>
        </is>
      </c>
      <c r="C33" t="inlineStr">
        <is>
          <t>INE296A01032</t>
        </is>
      </c>
      <c r="D33" t="inlineStr">
        <is>
          <t>Finance</t>
        </is>
      </c>
      <c r="E33" t="n">
        <v>60290</v>
      </c>
      <c r="F33" t="n">
        <v>594.9400000000001</v>
      </c>
      <c r="G33" t="n">
        <v>1.43</v>
      </c>
    </row>
    <row r="34">
      <c r="B34" t="inlineStr">
        <is>
          <t>Affle 3i Ltd.</t>
        </is>
      </c>
      <c r="C34" t="inlineStr">
        <is>
          <t>INE00WC01027</t>
        </is>
      </c>
      <c r="D34" t="inlineStr">
        <is>
          <t>IT - Services</t>
        </is>
      </c>
      <c r="E34" t="n">
        <v>32271</v>
      </c>
      <c r="F34" t="n">
        <v>580.6799999999999</v>
      </c>
      <c r="G34" t="n">
        <v>1.4</v>
      </c>
    </row>
    <row r="35">
      <c r="B35" t="inlineStr">
        <is>
          <t>Nippon Life India Asset Management Ltd.</t>
        </is>
      </c>
      <c r="C35" t="inlineStr">
        <is>
          <t>INE298J01013</t>
        </is>
      </c>
      <c r="D35" t="inlineStr">
        <is>
          <t>Capital Markets</t>
        </is>
      </c>
      <c r="E35" t="n">
        <v>64145</v>
      </c>
      <c r="F35" t="n">
        <v>564.25</v>
      </c>
      <c r="G35" t="n">
        <v>1.36</v>
      </c>
    </row>
    <row r="36">
      <c r="B36" t="inlineStr">
        <is>
          <t>Cummins India Ltd.</t>
        </is>
      </c>
      <c r="C36" t="inlineStr">
        <is>
          <t>INE298A01020</t>
        </is>
      </c>
      <c r="D36" t="inlineStr">
        <is>
          <t>Industrial Products</t>
        </is>
      </c>
      <c r="E36" t="n">
        <v>12450</v>
      </c>
      <c r="F36" t="n">
        <v>552.08</v>
      </c>
      <c r="G36" t="n">
        <v>1.33</v>
      </c>
    </row>
    <row r="37">
      <c r="B37" t="inlineStr">
        <is>
          <t>Dixon Technologies (India) Ltd.</t>
        </is>
      </c>
      <c r="C37" t="inlineStr">
        <is>
          <t>INE935N01020</t>
        </is>
      </c>
      <c r="D37" t="inlineStr">
        <is>
          <t>Consumer Durables</t>
        </is>
      </c>
      <c r="E37" t="n">
        <v>4532</v>
      </c>
      <c r="F37" t="n">
        <v>548.46</v>
      </c>
      <c r="G37" t="n">
        <v>1.32</v>
      </c>
    </row>
    <row r="38">
      <c r="B38" t="inlineStr">
        <is>
          <t>LG Electronics India Ltd.</t>
        </is>
      </c>
      <c r="C38" t="inlineStr">
        <is>
          <t>INE324D01010</t>
        </is>
      </c>
      <c r="D38" t="inlineStr">
        <is>
          <t>Consumer Durables</t>
        </is>
      </c>
      <c r="E38" t="n">
        <v>36021</v>
      </c>
      <c r="F38" t="n">
        <v>548.02</v>
      </c>
      <c r="G38" t="n">
        <v>1.32</v>
      </c>
    </row>
    <row r="39">
      <c r="B39" t="inlineStr">
        <is>
          <t>Vishal Mega Mart Ltd</t>
        </is>
      </c>
      <c r="C39" t="inlineStr">
        <is>
          <t>INE01EA01019</t>
        </is>
      </c>
      <c r="D39" t="inlineStr">
        <is>
          <t>Retailing</t>
        </is>
      </c>
      <c r="E39" t="n">
        <v>388785</v>
      </c>
      <c r="F39" t="n">
        <v>530.1900000000001</v>
      </c>
      <c r="G39" t="n">
        <v>1.27</v>
      </c>
    </row>
    <row r="40">
      <c r="B40" t="inlineStr">
        <is>
          <t>Krishna Inst of Medical Sciences Ltd.</t>
        </is>
      </c>
      <c r="C40" t="inlineStr">
        <is>
          <t>INE967H01025</t>
        </is>
      </c>
      <c r="D40" t="inlineStr">
        <is>
          <t>Healthcare Services</t>
        </is>
      </c>
      <c r="E40" t="n">
        <v>85994</v>
      </c>
      <c r="F40" t="n">
        <v>523.36</v>
      </c>
      <c r="G40" t="n">
        <v>1.26</v>
      </c>
    </row>
    <row r="41">
      <c r="B41" t="inlineStr">
        <is>
          <t>CCL Products (India) Ltd.</t>
        </is>
      </c>
      <c r="C41" t="inlineStr">
        <is>
          <t>INE421D01022</t>
        </is>
      </c>
      <c r="D41" t="inlineStr">
        <is>
          <t>Agricultural Food &amp; other Products</t>
        </is>
      </c>
      <c r="E41" t="n">
        <v>51718</v>
      </c>
      <c r="F41" t="n">
        <v>488.32</v>
      </c>
      <c r="G41" t="n">
        <v>1.17</v>
      </c>
    </row>
    <row r="42">
      <c r="B42" t="inlineStr">
        <is>
          <t>Dr Agarwal's Health Care Ltd.</t>
        </is>
      </c>
      <c r="C42" t="inlineStr">
        <is>
          <t>INE943P01029</t>
        </is>
      </c>
      <c r="D42" t="inlineStr">
        <is>
          <t>Healthcare Services</t>
        </is>
      </c>
      <c r="E42" t="n">
        <v>95939</v>
      </c>
      <c r="F42" t="n">
        <v>487.71</v>
      </c>
      <c r="G42" t="n">
        <v>1.17</v>
      </c>
    </row>
    <row r="43">
      <c r="B43" t="inlineStr">
        <is>
          <t>Karur Vysya Bank Ltd.</t>
        </is>
      </c>
      <c r="C43" t="inlineStr">
        <is>
          <t>INE036D01028</t>
        </is>
      </c>
      <c r="D43" t="inlineStr">
        <is>
          <t>Banks</t>
        </is>
      </c>
      <c r="E43" t="n">
        <v>171876</v>
      </c>
      <c r="F43" t="n">
        <v>453.46</v>
      </c>
      <c r="G43" t="n">
        <v>1.09</v>
      </c>
    </row>
    <row r="44">
      <c r="B44" t="inlineStr">
        <is>
          <t>Lenskart Solutions Private Ltd.</t>
        </is>
      </c>
      <c r="C44" t="inlineStr">
        <is>
          <t>INE956O01016</t>
        </is>
      </c>
      <c r="D44" t="inlineStr">
        <is>
          <t>Retailing</t>
        </is>
      </c>
      <c r="E44" t="n">
        <v>99864</v>
      </c>
      <c r="F44" t="n">
        <v>450.09</v>
      </c>
      <c r="G44" t="n">
        <v>1.08</v>
      </c>
    </row>
    <row r="45">
      <c r="B45" t="inlineStr">
        <is>
          <t>Mahindra &amp; Mahindra Ltd.</t>
        </is>
      </c>
      <c r="C45" t="inlineStr">
        <is>
          <t>INE101A01026</t>
        </is>
      </c>
      <c r="D45" t="inlineStr">
        <is>
          <t>Automobiles</t>
        </is>
      </c>
      <c r="E45" t="n">
        <v>11993</v>
      </c>
      <c r="F45" t="n">
        <v>444.84</v>
      </c>
      <c r="G45" t="n">
        <v>1.07</v>
      </c>
    </row>
    <row r="46">
      <c r="B46" t="inlineStr">
        <is>
          <t>CG Power and Industrial Solutions Ltd.</t>
        </is>
      </c>
      <c r="C46" t="inlineStr">
        <is>
          <t>INE067A01029</t>
        </is>
      </c>
      <c r="D46" t="inlineStr">
        <is>
          <t>Electrical Equipment</t>
        </is>
      </c>
      <c r="E46" t="n">
        <v>68175</v>
      </c>
      <c r="F46" t="n">
        <v>441.71</v>
      </c>
      <c r="G46" t="n">
        <v>1.06</v>
      </c>
    </row>
    <row r="47">
      <c r="B47" t="inlineStr">
        <is>
          <t>Solar Industries India Ltd.</t>
        </is>
      </c>
      <c r="C47" t="inlineStr">
        <is>
          <t>INE343H01029</t>
        </is>
      </c>
      <c r="D47" t="inlineStr">
        <is>
          <t>Chemicals &amp; Petrochemicals</t>
        </is>
      </c>
      <c r="E47" t="n">
        <v>3549</v>
      </c>
      <c r="F47" t="n">
        <v>434.82</v>
      </c>
      <c r="G47" t="n">
        <v>1.04</v>
      </c>
    </row>
    <row r="48">
      <c r="B48" t="inlineStr">
        <is>
          <t>Aster DM Healthcare Ltd.</t>
        </is>
      </c>
      <c r="C48" t="inlineStr">
        <is>
          <t>INE914M01019</t>
        </is>
      </c>
      <c r="D48" t="inlineStr">
        <is>
          <t>Healthcare Services</t>
        </is>
      </c>
      <c r="E48" t="n">
        <v>67720</v>
      </c>
      <c r="F48" t="n">
        <v>417.73</v>
      </c>
      <c r="G48" t="n">
        <v>1</v>
      </c>
    </row>
    <row r="49">
      <c r="B49" t="inlineStr">
        <is>
          <t>Blue Star Ltd.</t>
        </is>
      </c>
      <c r="C49" t="inlineStr">
        <is>
          <t>INE472A01039</t>
        </is>
      </c>
      <c r="D49" t="inlineStr">
        <is>
          <t>Consumer Durables</t>
        </is>
      </c>
      <c r="E49" t="n">
        <v>24025</v>
      </c>
      <c r="F49" t="n">
        <v>415.8</v>
      </c>
      <c r="G49" t="n">
        <v>1</v>
      </c>
    </row>
    <row r="50">
      <c r="B50" t="inlineStr">
        <is>
          <t>Tata Consultancy Services Ltd.</t>
        </is>
      </c>
      <c r="C50" t="inlineStr">
        <is>
          <t>INE467B01029</t>
        </is>
      </c>
      <c r="D50" t="inlineStr">
        <is>
          <t>IT - Software</t>
        </is>
      </c>
      <c r="E50" t="n">
        <v>12790</v>
      </c>
      <c r="F50" t="n">
        <v>410.07</v>
      </c>
      <c r="G50" t="n">
        <v>0.99</v>
      </c>
    </row>
    <row r="51">
      <c r="B51" t="inlineStr">
        <is>
          <t>JK Cement Ltd.</t>
        </is>
      </c>
      <c r="C51" t="inlineStr">
        <is>
          <t>INE823G01014</t>
        </is>
      </c>
      <c r="D51" t="inlineStr">
        <is>
          <t>Cement &amp; Cement Products</t>
        </is>
      </c>
      <c r="E51" t="n">
        <v>7237</v>
      </c>
      <c r="F51" t="n">
        <v>400.28</v>
      </c>
      <c r="G51" t="n">
        <v>0.96</v>
      </c>
    </row>
    <row r="52">
      <c r="B52" t="inlineStr">
        <is>
          <t>International Gemmological Inst Ind Ltd.</t>
        </is>
      </c>
      <c r="C52" t="inlineStr">
        <is>
          <t>INE0Q9301021</t>
        </is>
      </c>
      <c r="D52" t="inlineStr">
        <is>
          <t>Commercial Services &amp; Supplies</t>
        </is>
      </c>
      <c r="E52" t="n">
        <v>118580</v>
      </c>
      <c r="F52" t="n">
        <v>397.24</v>
      </c>
      <c r="G52" t="n">
        <v>0.95</v>
      </c>
    </row>
    <row r="53">
      <c r="B53" t="inlineStr">
        <is>
          <t>Hindalco Industries Ltd.</t>
        </is>
      </c>
      <c r="C53" t="inlineStr">
        <is>
          <t>INE038A01020</t>
        </is>
      </c>
      <c r="D53" t="inlineStr">
        <is>
          <t>Non - Ferrous Metals</t>
        </is>
      </c>
      <c r="E53" t="n">
        <v>44774</v>
      </c>
      <c r="F53" t="n">
        <v>397.01</v>
      </c>
      <c r="G53" t="n">
        <v>0.95</v>
      </c>
    </row>
    <row r="54">
      <c r="B54" t="inlineStr">
        <is>
          <t>Ultratech Cement Ltd.</t>
        </is>
      </c>
      <c r="C54" t="inlineStr">
        <is>
          <t>INE481G01011</t>
        </is>
      </c>
      <c r="D54" t="inlineStr">
        <is>
          <t>Cement &amp; Cement Products</t>
        </is>
      </c>
      <c r="E54" t="n">
        <v>3200</v>
      </c>
      <c r="F54" t="n">
        <v>377.09</v>
      </c>
      <c r="G54" t="n">
        <v>0.91</v>
      </c>
    </row>
    <row r="55">
      <c r="B55" t="inlineStr">
        <is>
          <t>Prestige Estates Projects Ltd.</t>
        </is>
      </c>
      <c r="C55" t="inlineStr">
        <is>
          <t>INE811K01011</t>
        </is>
      </c>
      <c r="D55" t="inlineStr">
        <is>
          <t>Realty</t>
        </is>
      </c>
      <c r="E55" t="n">
        <v>23550</v>
      </c>
      <c r="F55" t="n">
        <v>375.58</v>
      </c>
      <c r="G55" t="n">
        <v>0.9</v>
      </c>
    </row>
    <row r="56">
      <c r="B56" t="inlineStr">
        <is>
          <t>Physicswallah Ltd.</t>
        </is>
      </c>
      <c r="C56" t="inlineStr">
        <is>
          <t>INE0LP301011</t>
        </is>
      </c>
      <c r="D56" t="inlineStr">
        <is>
          <t>Other Consumer Services</t>
        </is>
      </c>
      <c r="E56" t="n">
        <v>279754</v>
      </c>
      <c r="F56" t="n">
        <v>371.54</v>
      </c>
      <c r="G56" t="n">
        <v>0.89</v>
      </c>
    </row>
    <row r="57">
      <c r="B57" t="inlineStr">
        <is>
          <t>SRF Ltd.</t>
        </is>
      </c>
      <c r="C57" t="inlineStr">
        <is>
          <t>INE647A01010</t>
        </is>
      </c>
      <c r="D57" t="inlineStr">
        <is>
          <t>Chemicals &amp; Petrochemicals</t>
        </is>
      </c>
      <c r="E57" t="n">
        <v>12000</v>
      </c>
      <c r="F57" t="n">
        <v>369</v>
      </c>
      <c r="G57" t="n">
        <v>0.89</v>
      </c>
    </row>
    <row r="58">
      <c r="B58" t="inlineStr">
        <is>
          <t>JB Chemicals &amp; Pharmaceuticals Ltd.</t>
        </is>
      </c>
      <c r="C58" t="inlineStr">
        <is>
          <t>INE572A01036</t>
        </is>
      </c>
      <c r="D58" t="inlineStr">
        <is>
          <t>Pharmaceuticals &amp; Biotechnology</t>
        </is>
      </c>
      <c r="E58" t="n">
        <v>20080</v>
      </c>
      <c r="F58" t="n">
        <v>365.4</v>
      </c>
      <c r="G58" t="n">
        <v>0.88</v>
      </c>
    </row>
    <row r="59">
      <c r="B59" t="inlineStr">
        <is>
          <t>Data Patterns (India) Ltd.</t>
        </is>
      </c>
      <c r="C59" t="inlineStr">
        <is>
          <t>INE0IX101010</t>
        </is>
      </c>
      <c r="D59" t="inlineStr">
        <is>
          <t>Aerospace &amp; Defense</t>
        </is>
      </c>
      <c r="E59" t="n">
        <v>13800</v>
      </c>
      <c r="F59" t="n">
        <v>362.47</v>
      </c>
      <c r="G59" t="n">
        <v>0.87</v>
      </c>
    </row>
    <row r="60">
      <c r="B60" t="inlineStr">
        <is>
          <t>Safari Industries India Ltd.</t>
        </is>
      </c>
      <c r="C60" t="inlineStr">
        <is>
          <t>INE429E01023</t>
        </is>
      </c>
      <c r="D60" t="inlineStr">
        <is>
          <t>Consumer Durables</t>
        </is>
      </c>
      <c r="E60" t="n">
        <v>16335</v>
      </c>
      <c r="F60" t="n">
        <v>355.19</v>
      </c>
      <c r="G60" t="n">
        <v>0.85</v>
      </c>
    </row>
    <row r="61">
      <c r="B61" t="inlineStr">
        <is>
          <t>KEI Industries Ltd.</t>
        </is>
      </c>
      <c r="C61" t="inlineStr">
        <is>
          <t>INE878B01027</t>
        </is>
      </c>
      <c r="D61" t="inlineStr">
        <is>
          <t>Industrial Products</t>
        </is>
      </c>
      <c r="E61" t="n">
        <v>7960</v>
      </c>
      <c r="F61" t="n">
        <v>355.03</v>
      </c>
      <c r="G61" t="n">
        <v>0.85</v>
      </c>
    </row>
    <row r="62">
      <c r="B62" t="inlineStr">
        <is>
          <t>Cholamandalam Investment &amp; Finance Company Ltd.</t>
        </is>
      </c>
      <c r="C62" t="inlineStr">
        <is>
          <t>INE121A01024</t>
        </is>
      </c>
      <c r="D62" t="inlineStr">
        <is>
          <t>Finance</t>
        </is>
      </c>
      <c r="E62" t="n">
        <v>20683</v>
      </c>
      <c r="F62" t="n">
        <v>352.07</v>
      </c>
      <c r="G62" t="n">
        <v>0.85</v>
      </c>
    </row>
    <row r="63">
      <c r="B63" t="inlineStr">
        <is>
          <t>Mankind Pharma Ltd.</t>
        </is>
      </c>
      <c r="C63" t="inlineStr">
        <is>
          <t>INE634S01028</t>
        </is>
      </c>
      <c r="D63" t="inlineStr">
        <is>
          <t>Pharmaceuticals &amp; Biotechnology</t>
        </is>
      </c>
      <c r="E63" t="n">
        <v>15944</v>
      </c>
      <c r="F63" t="n">
        <v>350.21</v>
      </c>
      <c r="G63" t="n">
        <v>0.84</v>
      </c>
    </row>
    <row r="64">
      <c r="B64" t="inlineStr">
        <is>
          <t>Maruti Suzuki India Ltd.</t>
        </is>
      </c>
      <c r="C64" t="inlineStr">
        <is>
          <t>INE585B01010</t>
        </is>
      </c>
      <c r="D64" t="inlineStr">
        <is>
          <t>Automobiles</t>
        </is>
      </c>
      <c r="E64" t="n">
        <v>2081</v>
      </c>
      <c r="F64" t="n">
        <v>347.46</v>
      </c>
      <c r="G64" t="n">
        <v>0.83</v>
      </c>
    </row>
    <row r="65">
      <c r="B65" t="inlineStr">
        <is>
          <t>Capillary Technologies India Ltd.</t>
        </is>
      </c>
      <c r="C65" t="inlineStr">
        <is>
          <t>INE0ILV01024</t>
        </is>
      </c>
      <c r="D65" t="inlineStr">
        <is>
          <t>IT - Software</t>
        </is>
      </c>
      <c r="E65" t="n">
        <v>51550</v>
      </c>
      <c r="F65" t="n">
        <v>347.01</v>
      </c>
      <c r="G65" t="n">
        <v>0.83</v>
      </c>
    </row>
    <row r="66">
      <c r="B66" t="inlineStr">
        <is>
          <t>MRS Bectors Food Specialities Ltd.</t>
        </is>
      </c>
      <c r="C66" t="inlineStr">
        <is>
          <t>INE495P01020</t>
        </is>
      </c>
      <c r="D66" t="inlineStr">
        <is>
          <t>Food Products</t>
        </is>
      </c>
      <c r="E66" t="n">
        <v>150340</v>
      </c>
      <c r="F66" t="n">
        <v>346.38</v>
      </c>
      <c r="G66" t="n">
        <v>0.83</v>
      </c>
    </row>
    <row r="67">
      <c r="B67" t="inlineStr">
        <is>
          <t>Sai Life Sciences Ltd</t>
        </is>
      </c>
      <c r="C67" t="inlineStr">
        <is>
          <t>INE570L01029</t>
        </is>
      </c>
      <c r="D67" t="inlineStr">
        <is>
          <t>Pharmaceuticals &amp; Biotechnology</t>
        </is>
      </c>
      <c r="E67" t="n">
        <v>37112</v>
      </c>
      <c r="F67" t="n">
        <v>337.13</v>
      </c>
      <c r="G67" t="n">
        <v>0.8100000000000001</v>
      </c>
    </row>
    <row r="68">
      <c r="B68" t="inlineStr">
        <is>
          <t>Tube Investments Of India Ltd.</t>
        </is>
      </c>
      <c r="C68" t="inlineStr">
        <is>
          <t>INE974X01010</t>
        </is>
      </c>
      <c r="D68" t="inlineStr">
        <is>
          <t>Auto Components</t>
        </is>
      </c>
      <c r="E68" t="n">
        <v>12867</v>
      </c>
      <c r="F68" t="n">
        <v>336.36</v>
      </c>
      <c r="G68" t="n">
        <v>0.8100000000000001</v>
      </c>
    </row>
    <row r="69">
      <c r="B69" t="inlineStr">
        <is>
          <t>Torrent Power Ltd.</t>
        </is>
      </c>
      <c r="C69" t="inlineStr">
        <is>
          <t>INE813H01021</t>
        </is>
      </c>
      <c r="D69" t="inlineStr">
        <is>
          <t>Power</t>
        </is>
      </c>
      <c r="E69" t="n">
        <v>25615</v>
      </c>
      <c r="F69" t="n">
        <v>334.71</v>
      </c>
      <c r="G69" t="n">
        <v>0.8</v>
      </c>
    </row>
    <row r="70">
      <c r="B70" t="inlineStr">
        <is>
          <t>Sansera Engineering Ltd.</t>
        </is>
      </c>
      <c r="C70" t="inlineStr">
        <is>
          <t>INE953O01021</t>
        </is>
      </c>
      <c r="D70" t="inlineStr">
        <is>
          <t>Auto Components</t>
        </is>
      </c>
      <c r="E70" t="n">
        <v>19945</v>
      </c>
      <c r="F70" t="n">
        <v>334.48</v>
      </c>
      <c r="G70" t="n">
        <v>0.8</v>
      </c>
    </row>
    <row r="71">
      <c r="B71" t="inlineStr">
        <is>
          <t>Sun Pharmaceutical Industries Ltd.</t>
        </is>
      </c>
      <c r="C71" t="inlineStr">
        <is>
          <t>INE044A01036</t>
        </is>
      </c>
      <c r="D71" t="inlineStr">
        <is>
          <t>Pharmaceuticals &amp; Biotechnology</t>
        </is>
      </c>
      <c r="E71" t="n">
        <v>19309</v>
      </c>
      <c r="F71" t="n">
        <v>332.06</v>
      </c>
      <c r="G71" t="n">
        <v>0.8</v>
      </c>
    </row>
    <row r="72">
      <c r="B72" t="inlineStr">
        <is>
          <t>JSW Cement Ltd.</t>
        </is>
      </c>
      <c r="C72" t="inlineStr">
        <is>
          <t>INE718I01012</t>
        </is>
      </c>
      <c r="D72" t="inlineStr">
        <is>
          <t>Cement &amp; Cement Products</t>
        </is>
      </c>
      <c r="E72" t="n">
        <v>272136</v>
      </c>
      <c r="F72" t="n">
        <v>323.46</v>
      </c>
      <c r="G72" t="n">
        <v>0.78</v>
      </c>
    </row>
    <row r="73">
      <c r="B73" t="inlineStr">
        <is>
          <t>ICICI Prudential Asset Mgmt Co Ltd.</t>
        </is>
      </c>
      <c r="C73" t="inlineStr">
        <is>
          <t>INE346A01027</t>
        </is>
      </c>
      <c r="D73" t="inlineStr">
        <is>
          <t>Capital Markets</t>
        </is>
      </c>
      <c r="E73" t="n">
        <v>11940</v>
      </c>
      <c r="F73" t="n">
        <v>317.74</v>
      </c>
      <c r="G73" t="n">
        <v>0.76</v>
      </c>
    </row>
    <row r="74">
      <c r="B74" t="inlineStr">
        <is>
          <t>Le Travenues Technology Ltd.</t>
        </is>
      </c>
      <c r="C74" t="inlineStr">
        <is>
          <t>INE0HV901016</t>
        </is>
      </c>
      <c r="D74" t="inlineStr">
        <is>
          <t>Leisure Services</t>
        </is>
      </c>
      <c r="E74" t="n">
        <v>121795</v>
      </c>
      <c r="F74" t="n">
        <v>310.52</v>
      </c>
      <c r="G74" t="n">
        <v>0.75</v>
      </c>
    </row>
    <row r="75">
      <c r="B75" t="inlineStr">
        <is>
          <t>Bharti Hexacom Ltd.</t>
        </is>
      </c>
      <c r="C75" t="inlineStr">
        <is>
          <t>INE343G01021</t>
        </is>
      </c>
      <c r="D75" t="inlineStr">
        <is>
          <t>Telecom - Services</t>
        </is>
      </c>
      <c r="E75" t="n">
        <v>16967</v>
      </c>
      <c r="F75" t="n">
        <v>309.09</v>
      </c>
      <c r="G75" t="n">
        <v>0.74</v>
      </c>
    </row>
    <row r="76">
      <c r="B76" t="inlineStr">
        <is>
          <t>Radico Khaitan Ltd.</t>
        </is>
      </c>
      <c r="C76" t="inlineStr">
        <is>
          <t>INE944F01028</t>
        </is>
      </c>
      <c r="D76" t="inlineStr">
        <is>
          <t>Beverages</t>
        </is>
      </c>
      <c r="E76" t="n">
        <v>9201</v>
      </c>
      <c r="F76" t="n">
        <v>303.49</v>
      </c>
      <c r="G76" t="n">
        <v>0.73</v>
      </c>
    </row>
    <row r="77">
      <c r="B77" t="inlineStr">
        <is>
          <t>AWFIS Space Solutions Ltd.</t>
        </is>
      </c>
      <c r="C77" t="inlineStr">
        <is>
          <t>INE108V01019</t>
        </is>
      </c>
      <c r="D77" t="inlineStr">
        <is>
          <t>Commercial Services &amp; Supplies</t>
        </is>
      </c>
      <c r="E77" t="n">
        <v>60215</v>
      </c>
      <c r="F77" t="n">
        <v>296.74</v>
      </c>
      <c r="G77" t="n">
        <v>0.71</v>
      </c>
    </row>
    <row r="78">
      <c r="B78" t="inlineStr">
        <is>
          <t>Home First Finance Company India Ltd.</t>
        </is>
      </c>
      <c r="C78" t="inlineStr">
        <is>
          <t>INE481N01025</t>
        </is>
      </c>
      <c r="D78" t="inlineStr">
        <is>
          <t>Finance</t>
        </is>
      </c>
      <c r="E78" t="n">
        <v>26114</v>
      </c>
      <c r="F78" t="n">
        <v>287.83</v>
      </c>
      <c r="G78" t="n">
        <v>0.6899999999999999</v>
      </c>
    </row>
    <row r="79">
      <c r="B79" t="inlineStr">
        <is>
          <t>Sagility Ltd.</t>
        </is>
      </c>
      <c r="C79" t="inlineStr">
        <is>
          <t>INE0W2G01015</t>
        </is>
      </c>
      <c r="D79" t="inlineStr">
        <is>
          <t>IT - Services</t>
        </is>
      </c>
      <c r="E79" t="n">
        <v>548500</v>
      </c>
      <c r="F79" t="n">
        <v>285.33</v>
      </c>
      <c r="G79" t="n">
        <v>0.6899999999999999</v>
      </c>
    </row>
    <row r="80">
      <c r="B80" t="inlineStr">
        <is>
          <t>Gillette India Ltd.</t>
        </is>
      </c>
      <c r="C80" t="inlineStr">
        <is>
          <t>INE322A01010</t>
        </is>
      </c>
      <c r="D80" t="inlineStr">
        <is>
          <t>Personal Products</t>
        </is>
      </c>
      <c r="E80" t="n">
        <v>3330</v>
      </c>
      <c r="F80" t="n">
        <v>278.47</v>
      </c>
      <c r="G80" t="n">
        <v>0.67</v>
      </c>
    </row>
    <row r="81">
      <c r="B81" t="inlineStr">
        <is>
          <t>Urban Company Ltd.</t>
        </is>
      </c>
      <c r="C81" t="inlineStr">
        <is>
          <t>INE0CAZ01013</t>
        </is>
      </c>
      <c r="D81" t="inlineStr">
        <is>
          <t>Retailing</t>
        </is>
      </c>
      <c r="E81" t="n">
        <v>205900</v>
      </c>
      <c r="F81" t="n">
        <v>274.98</v>
      </c>
      <c r="G81" t="n">
        <v>0.66</v>
      </c>
    </row>
    <row r="82">
      <c r="B82" t="inlineStr">
        <is>
          <t>Ather Energy Ltd.</t>
        </is>
      </c>
      <c r="C82" t="inlineStr">
        <is>
          <t>INE0LEZ01016</t>
        </is>
      </c>
      <c r="D82" t="inlineStr">
        <is>
          <t>Automobiles</t>
        </is>
      </c>
      <c r="E82" t="n">
        <v>36134</v>
      </c>
      <c r="F82" t="n">
        <v>272.72</v>
      </c>
      <c r="G82" t="n">
        <v>0.66</v>
      </c>
    </row>
    <row r="83">
      <c r="B83" t="inlineStr">
        <is>
          <t>Infosys Ltd.</t>
        </is>
      </c>
      <c r="C83" t="inlineStr">
        <is>
          <t>INE009A01021</t>
        </is>
      </c>
      <c r="D83" t="inlineStr">
        <is>
          <t>IT - Software</t>
        </is>
      </c>
      <c r="E83" t="n">
        <v>16858</v>
      </c>
      <c r="F83" t="n">
        <v>272.32</v>
      </c>
      <c r="G83" t="n">
        <v>0.65</v>
      </c>
    </row>
    <row r="84">
      <c r="B84" t="inlineStr">
        <is>
          <t>Gabriel India Ltd.</t>
        </is>
      </c>
      <c r="C84" t="inlineStr">
        <is>
          <t>INE524A01029</t>
        </is>
      </c>
      <c r="D84" t="inlineStr">
        <is>
          <t>Auto Components</t>
        </is>
      </c>
      <c r="E84" t="n">
        <v>25475</v>
      </c>
      <c r="F84" t="n">
        <v>257.25</v>
      </c>
      <c r="G84" t="n">
        <v>0.62</v>
      </c>
    </row>
    <row r="85">
      <c r="B85" t="inlineStr">
        <is>
          <t>Polycab India Ltd.</t>
        </is>
      </c>
      <c r="C85" t="inlineStr">
        <is>
          <t>INE455K01017</t>
        </is>
      </c>
      <c r="D85" t="inlineStr">
        <is>
          <t>Industrial Products</t>
        </is>
      </c>
      <c r="E85" t="n">
        <v>3354</v>
      </c>
      <c r="F85" t="n">
        <v>255.54</v>
      </c>
      <c r="G85" t="n">
        <v>0.61</v>
      </c>
    </row>
    <row r="86">
      <c r="B86" t="inlineStr">
        <is>
          <t>K.P.R. Mill Ltd.</t>
        </is>
      </c>
      <c r="C86" t="inlineStr">
        <is>
          <t>INE930H01031</t>
        </is>
      </c>
      <c r="D86" t="inlineStr">
        <is>
          <t>Textiles &amp; Apparels</t>
        </is>
      </c>
      <c r="E86" t="n">
        <v>26884</v>
      </c>
      <c r="F86" t="n">
        <v>253.35</v>
      </c>
      <c r="G86" t="n">
        <v>0.61</v>
      </c>
    </row>
    <row r="87">
      <c r="B87" t="inlineStr">
        <is>
          <t>Schneider Electric Infrastructure Ltd.</t>
        </is>
      </c>
      <c r="C87" t="inlineStr">
        <is>
          <t>INE839M01018</t>
        </is>
      </c>
      <c r="D87" t="inlineStr">
        <is>
          <t>Electrical Equipment</t>
        </is>
      </c>
      <c r="E87" t="n">
        <v>32983</v>
      </c>
      <c r="F87" t="n">
        <v>238.43</v>
      </c>
      <c r="G87" t="n">
        <v>0.57</v>
      </c>
    </row>
    <row r="88">
      <c r="B88" t="inlineStr">
        <is>
          <t>Tega Industries Ltd.</t>
        </is>
      </c>
      <c r="C88" t="inlineStr">
        <is>
          <t>INE011K01018</t>
        </is>
      </c>
      <c r="D88" t="inlineStr">
        <is>
          <t>Industrial Manufacturing</t>
        </is>
      </c>
      <c r="E88" t="n">
        <v>11580</v>
      </c>
      <c r="F88" t="n">
        <v>225.89</v>
      </c>
      <c r="G88" t="n">
        <v>0.54</v>
      </c>
    </row>
    <row r="89">
      <c r="B89" t="inlineStr">
        <is>
          <t>Divi's Laboratories Ltd.</t>
        </is>
      </c>
      <c r="C89" t="inlineStr">
        <is>
          <t>INE361B01024</t>
        </is>
      </c>
      <c r="D89" t="inlineStr">
        <is>
          <t>Pharmaceuticals &amp; Biotechnology</t>
        </is>
      </c>
      <c r="E89" t="n">
        <v>3523</v>
      </c>
      <c r="F89" t="n">
        <v>225.21</v>
      </c>
      <c r="G89" t="n">
        <v>0.54</v>
      </c>
    </row>
    <row r="90">
      <c r="B90" t="inlineStr">
        <is>
          <t>Pine Labs Ltd.</t>
        </is>
      </c>
      <c r="C90" t="inlineStr">
        <is>
          <t>INE15B701018</t>
        </is>
      </c>
      <c r="D90" t="inlineStr">
        <is>
          <t>Financial Technology (Fintech)</t>
        </is>
      </c>
      <c r="E90" t="n">
        <v>91455</v>
      </c>
      <c r="F90" t="n">
        <v>218.88</v>
      </c>
      <c r="G90" t="n">
        <v>0.53</v>
      </c>
    </row>
    <row r="91">
      <c r="B91" t="inlineStr">
        <is>
          <t>Sumitomo Chemical India Ltd.</t>
        </is>
      </c>
      <c r="C91" t="inlineStr">
        <is>
          <t>INE258G01013</t>
        </is>
      </c>
      <c r="D91" t="inlineStr">
        <is>
          <t>Fertilizers &amp; Agrochemicals</t>
        </is>
      </c>
      <c r="E91" t="n">
        <v>45132</v>
      </c>
      <c r="F91" t="n">
        <v>212.57</v>
      </c>
      <c r="G91" t="n">
        <v>0.51</v>
      </c>
    </row>
    <row r="92">
      <c r="B92" t="inlineStr">
        <is>
          <t>Max Healthcare Institute Ltd.</t>
        </is>
      </c>
      <c r="C92" t="inlineStr">
        <is>
          <t>INE027H01010</t>
        </is>
      </c>
      <c r="D92" t="inlineStr">
        <is>
          <t>Healthcare Services</t>
        </is>
      </c>
      <c r="E92" t="n">
        <v>20198</v>
      </c>
      <c r="F92" t="n">
        <v>211.09</v>
      </c>
      <c r="G92" t="n">
        <v>0.51</v>
      </c>
    </row>
    <row r="93">
      <c r="B93" t="inlineStr">
        <is>
          <t>Anthem Biosciences Ltd.</t>
        </is>
      </c>
      <c r="C93" t="inlineStr">
        <is>
          <t>INE0CZ201020</t>
        </is>
      </c>
      <c r="D93" t="inlineStr">
        <is>
          <t>Pharmaceuticals &amp; Biotechnology</t>
        </is>
      </c>
      <c r="E93" t="n">
        <v>32000</v>
      </c>
      <c r="F93" t="n">
        <v>208.48</v>
      </c>
      <c r="G93" t="n">
        <v>0.5</v>
      </c>
    </row>
    <row r="94">
      <c r="B94" t="inlineStr">
        <is>
          <t>Trent Ltd.</t>
        </is>
      </c>
      <c r="C94" t="inlineStr">
        <is>
          <t>INE849A01020</t>
        </is>
      </c>
      <c r="D94" t="inlineStr">
        <is>
          <t>Retailing</t>
        </is>
      </c>
      <c r="E94" t="n">
        <v>4820</v>
      </c>
      <c r="F94" t="n">
        <v>206.25</v>
      </c>
      <c r="G94" t="n">
        <v>0.5</v>
      </c>
    </row>
    <row r="95">
      <c r="B95" t="inlineStr">
        <is>
          <t>Bharat Electronics Ltd.</t>
        </is>
      </c>
      <c r="C95" t="inlineStr">
        <is>
          <t>INE263A01024</t>
        </is>
      </c>
      <c r="D95" t="inlineStr">
        <is>
          <t>Aerospace &amp; Defense</t>
        </is>
      </c>
      <c r="E95" t="n">
        <v>51000</v>
      </c>
      <c r="F95" t="n">
        <v>203.8</v>
      </c>
      <c r="G95" t="n">
        <v>0.49</v>
      </c>
    </row>
    <row r="96">
      <c r="B96" t="inlineStr">
        <is>
          <t>Creditaccess Grameen Ltd.</t>
        </is>
      </c>
      <c r="C96" t="inlineStr">
        <is>
          <t>INE741K01010</t>
        </is>
      </c>
      <c r="D96" t="inlineStr">
        <is>
          <t>Finance</t>
        </is>
      </c>
      <c r="E96" t="n">
        <v>15300</v>
      </c>
      <c r="F96" t="n">
        <v>194.86</v>
      </c>
      <c r="G96" t="n">
        <v>0.47</v>
      </c>
    </row>
    <row r="97">
      <c r="B97" t="inlineStr">
        <is>
          <t>Brigade Enterprises Ltd.</t>
        </is>
      </c>
      <c r="C97" t="inlineStr">
        <is>
          <t>INE791I01019</t>
        </is>
      </c>
      <c r="D97" t="inlineStr">
        <is>
          <t>Realty</t>
        </is>
      </c>
      <c r="E97" t="n">
        <v>21880</v>
      </c>
      <c r="F97" t="n">
        <v>193.64</v>
      </c>
      <c r="G97" t="n">
        <v>0.47</v>
      </c>
    </row>
    <row r="98">
      <c r="B98" t="inlineStr">
        <is>
          <t>KPIT Technologies Ltd.</t>
        </is>
      </c>
      <c r="C98" t="inlineStr">
        <is>
          <t>INE04I401011</t>
        </is>
      </c>
      <c r="D98" t="inlineStr">
        <is>
          <t>IT - Software</t>
        </is>
      </c>
      <c r="E98" t="n">
        <v>15818</v>
      </c>
      <c r="F98" t="n">
        <v>185.47</v>
      </c>
      <c r="G98" t="n">
        <v>0.45</v>
      </c>
    </row>
    <row r="99">
      <c r="B99" t="inlineStr">
        <is>
          <t>Hexaware Technologies Ltd.</t>
        </is>
      </c>
      <c r="C99" t="inlineStr">
        <is>
          <t>INE093A01041</t>
        </is>
      </c>
      <c r="D99" t="inlineStr">
        <is>
          <t>IT - Software</t>
        </is>
      </c>
      <c r="E99" t="n">
        <v>22075</v>
      </c>
      <c r="F99" t="n">
        <v>169</v>
      </c>
      <c r="G99" t="n">
        <v>0.41</v>
      </c>
    </row>
    <row r="100">
      <c r="B100" t="inlineStr">
        <is>
          <t>Neuland Laboratories Ltd.</t>
        </is>
      </c>
      <c r="C100" t="inlineStr">
        <is>
          <t>INE794A01010</t>
        </is>
      </c>
      <c r="D100" t="inlineStr">
        <is>
          <t>Pharmaceuticals &amp; Biotechnology</t>
        </is>
      </c>
      <c r="E100" t="n">
        <v>1106</v>
      </c>
      <c r="F100" t="n">
        <v>167.84</v>
      </c>
      <c r="G100" t="n">
        <v>0.4</v>
      </c>
    </row>
    <row r="101">
      <c r="B101" t="inlineStr">
        <is>
          <t>ABB India Ltd.</t>
        </is>
      </c>
      <c r="C101" t="inlineStr">
        <is>
          <t>INE117A01022</t>
        </is>
      </c>
      <c r="D101" t="inlineStr">
        <is>
          <t>Electrical Equipment</t>
        </is>
      </c>
      <c r="E101" t="n">
        <v>3150</v>
      </c>
      <c r="F101" t="n">
        <v>162.86</v>
      </c>
      <c r="G101" t="n">
        <v>0.39</v>
      </c>
    </row>
    <row r="102">
      <c r="B102" t="inlineStr">
        <is>
          <t>Triveni Turbine Ltd.</t>
        </is>
      </c>
      <c r="C102" t="inlineStr">
        <is>
          <t>INE152M01016</t>
        </is>
      </c>
      <c r="D102" t="inlineStr">
        <is>
          <t>Electrical Equipment</t>
        </is>
      </c>
      <c r="E102" t="n">
        <v>26575</v>
      </c>
      <c r="F102" t="n">
        <v>143.04</v>
      </c>
      <c r="G102" t="n">
        <v>0.34</v>
      </c>
    </row>
    <row r="103">
      <c r="B103" t="inlineStr">
        <is>
          <t>Shivalik Bimetal Controls Ltd.</t>
        </is>
      </c>
      <c r="C103" t="inlineStr">
        <is>
          <t>INE386D01027</t>
        </is>
      </c>
      <c r="D103" t="inlineStr">
        <is>
          <t>Industrial Products</t>
        </is>
      </c>
      <c r="E103" t="n">
        <v>31468</v>
      </c>
      <c r="F103" t="n">
        <v>135.22</v>
      </c>
      <c r="G103" t="n">
        <v>0.32</v>
      </c>
    </row>
    <row r="104">
      <c r="B104" t="inlineStr">
        <is>
          <t>Kirloskar Pneumatic Co.Ltd.</t>
        </is>
      </c>
      <c r="C104" t="inlineStr">
        <is>
          <t>INE811A01020</t>
        </is>
      </c>
      <c r="D104" t="inlineStr">
        <is>
          <t>Industrial Products</t>
        </is>
      </c>
      <c r="E104" t="n">
        <v>10870</v>
      </c>
      <c r="F104" t="n">
        <v>115.2</v>
      </c>
      <c r="G104" t="n">
        <v>0.28</v>
      </c>
    </row>
    <row r="105">
      <c r="B105" t="inlineStr">
        <is>
          <t>Kaynes Technology India Ltd.</t>
        </is>
      </c>
      <c r="C105" t="inlineStr">
        <is>
          <t>INE918Z01012</t>
        </is>
      </c>
      <c r="D105" t="inlineStr">
        <is>
          <t>Industrial Manufacturing</t>
        </is>
      </c>
      <c r="E105" t="n">
        <v>2497</v>
      </c>
      <c r="F105" t="n">
        <v>100.2</v>
      </c>
      <c r="G105" t="n">
        <v>0.24</v>
      </c>
    </row>
    <row r="106">
      <c r="B106" t="inlineStr">
        <is>
          <t>Sub Total</t>
        </is>
      </c>
      <c r="F106" t="n">
        <v>40152.5</v>
      </c>
      <c r="G106" t="n">
        <v>96.47</v>
      </c>
    </row>
    <row r="107"/>
    <row r="108">
      <c r="B108" t="inlineStr">
        <is>
          <t>(b) Unlisted</t>
        </is>
      </c>
    </row>
    <row r="109">
      <c r="F109" t="n">
        <v>0</v>
      </c>
      <c r="G109" t="n">
        <v>0</v>
      </c>
    </row>
    <row r="110">
      <c r="B110" t="inlineStr">
        <is>
          <t>Sub Total</t>
        </is>
      </c>
      <c r="F110" t="inlineStr">
        <is>
          <t>NIL</t>
        </is>
      </c>
      <c r="G110" t="inlineStr">
        <is>
          <t>NIL</t>
        </is>
      </c>
    </row>
    <row r="111"/>
    <row r="112">
      <c r="B112" t="inlineStr">
        <is>
          <t>TOTAL</t>
        </is>
      </c>
      <c r="F112" t="n">
        <v>40152.5</v>
      </c>
      <c r="G112" t="n">
        <v>96.47</v>
      </c>
    </row>
    <row r="113">
      <c r="B113" t="inlineStr">
        <is>
          <t>Debt Instruments</t>
        </is>
      </c>
    </row>
    <row r="114"/>
    <row r="115">
      <c r="B115" t="inlineStr">
        <is>
          <t>(a) Listed / Awaiting listing on Stock Exchanges</t>
        </is>
      </c>
    </row>
    <row r="116"/>
    <row r="117">
      <c r="B117" t="inlineStr">
        <is>
          <t>Sub Total</t>
        </is>
      </c>
      <c r="F117" t="inlineStr">
        <is>
          <t>NIL</t>
        </is>
      </c>
      <c r="G117" t="inlineStr">
        <is>
          <t>NIL</t>
        </is>
      </c>
    </row>
    <row r="118"/>
    <row r="119">
      <c r="B119" t="inlineStr">
        <is>
          <t>(b)Privately Placed/Unlisted</t>
        </is>
      </c>
    </row>
    <row r="120">
      <c r="F120" t="n">
        <v>0</v>
      </c>
      <c r="G120" t="n">
        <v>0</v>
      </c>
    </row>
    <row r="121">
      <c r="B121" t="inlineStr">
        <is>
          <t>Sub Total</t>
        </is>
      </c>
      <c r="F121" t="inlineStr">
        <is>
          <t>NIL</t>
        </is>
      </c>
      <c r="G121" t="inlineStr">
        <is>
          <t>NIL</t>
        </is>
      </c>
    </row>
    <row r="122"/>
    <row r="123">
      <c r="B123" t="inlineStr">
        <is>
          <t>(c)Securitised Debt Instruments</t>
        </is>
      </c>
    </row>
    <row r="124">
      <c r="F124" t="n">
        <v>0</v>
      </c>
      <c r="G124" t="n">
        <v>0</v>
      </c>
    </row>
    <row r="125">
      <c r="B125" t="inlineStr">
        <is>
          <t>Sub Total</t>
        </is>
      </c>
      <c r="F125" t="inlineStr">
        <is>
          <t>NIL</t>
        </is>
      </c>
      <c r="G125" t="inlineStr">
        <is>
          <t>NIL</t>
        </is>
      </c>
    </row>
    <row r="126"/>
    <row r="127">
      <c r="B127" t="inlineStr">
        <is>
          <t>TOTAL</t>
        </is>
      </c>
      <c r="F127" t="inlineStr">
        <is>
          <t>NIL</t>
        </is>
      </c>
      <c r="G127" t="inlineStr">
        <is>
          <t>NIL</t>
        </is>
      </c>
    </row>
    <row r="128"/>
    <row r="129">
      <c r="B129" t="inlineStr">
        <is>
          <t>Preference Shares - (Awaiting listing on Stock Exchanges)</t>
        </is>
      </c>
    </row>
    <row r="130">
      <c r="B130" t="inlineStr">
        <is>
          <t>TVS Motor Company Ltd. ** #</t>
        </is>
      </c>
      <c r="C130" t="inlineStr">
        <is>
          <t>INE494B04019</t>
        </is>
      </c>
      <c r="D130" t="inlineStr">
        <is>
          <t>CARE A1+</t>
        </is>
      </c>
      <c r="E130" t="n">
        <v>111700</v>
      </c>
      <c r="F130" t="n">
        <v>11.38</v>
      </c>
      <c r="G130" t="n">
        <v>0.03</v>
      </c>
      <c r="H130" t="n">
        <v>6.105</v>
      </c>
    </row>
    <row r="131">
      <c r="B131" t="inlineStr">
        <is>
          <t>Sub Total</t>
        </is>
      </c>
      <c r="F131">
        <f>SUM(F130)</f>
        <v/>
      </c>
      <c r="G131">
        <f>SUM(G130)</f>
        <v/>
      </c>
    </row>
    <row r="132"/>
    <row r="133">
      <c r="B133" t="inlineStr">
        <is>
          <t>TOTAL</t>
        </is>
      </c>
      <c r="F133">
        <f>F131</f>
        <v/>
      </c>
      <c r="G133">
        <f>G131</f>
        <v/>
      </c>
    </row>
    <row r="134"/>
    <row r="135">
      <c r="B135" t="inlineStr">
        <is>
          <t>Money Market Instruments</t>
        </is>
      </c>
    </row>
    <row r="136"/>
    <row r="137">
      <c r="B137" t="inlineStr">
        <is>
          <t>Treasury Bill</t>
        </is>
      </c>
    </row>
    <row r="138">
      <c r="B138" t="inlineStr">
        <is>
          <t>364 DAYS TBILL RED 29-10-2026</t>
        </is>
      </c>
      <c r="C138" t="inlineStr">
        <is>
          <t>IN002025Z310</t>
        </is>
      </c>
      <c r="D138" t="inlineStr">
        <is>
          <t>SOVEREIGN</t>
        </is>
      </c>
      <c r="E138" t="n">
        <v>50000</v>
      </c>
      <c r="F138" t="n">
        <v>47.85</v>
      </c>
      <c r="G138" t="n">
        <v>0.11</v>
      </c>
      <c r="H138" t="n">
        <v>5.45</v>
      </c>
    </row>
    <row r="139">
      <c r="B139" t="inlineStr">
        <is>
          <t>Sub Total</t>
        </is>
      </c>
      <c r="F139" t="n">
        <v>47.85</v>
      </c>
      <c r="G139" t="n">
        <v>0.11</v>
      </c>
    </row>
    <row r="140"/>
    <row r="141">
      <c r="B141" t="inlineStr">
        <is>
          <t>TOTAL</t>
        </is>
      </c>
      <c r="F141" t="n">
        <v>47.85</v>
      </c>
      <c r="G141" t="n">
        <v>0.11</v>
      </c>
    </row>
    <row r="142"/>
    <row r="143"/>
    <row r="144">
      <c r="B144" t="inlineStr">
        <is>
          <t>Treps / Reverse Repo</t>
        </is>
      </c>
    </row>
    <row r="145">
      <c r="B145" t="inlineStr">
        <is>
          <t>Clearing Corporation of India Ltd.</t>
        </is>
      </c>
      <c r="F145" t="n">
        <v>1476.83</v>
      </c>
      <c r="G145" t="n">
        <v>3.55</v>
      </c>
    </row>
    <row r="146">
      <c r="B146" t="inlineStr">
        <is>
          <t>Sub Total</t>
        </is>
      </c>
      <c r="F146" t="n">
        <v>1476.83</v>
      </c>
      <c r="G146" t="n">
        <v>3.55</v>
      </c>
    </row>
    <row r="147"/>
    <row r="148">
      <c r="B148" t="inlineStr">
        <is>
          <t>TOTAL</t>
        </is>
      </c>
      <c r="F148" t="n">
        <v>1476.83</v>
      </c>
      <c r="G148" t="n">
        <v>3.55</v>
      </c>
    </row>
    <row r="149"/>
    <row r="150">
      <c r="B150" t="inlineStr">
        <is>
          <t>Net Receivables / (Payables)</t>
        </is>
      </c>
      <c r="F150" t="n">
        <v>-67.94</v>
      </c>
      <c r="G150" t="n">
        <v>-0.1599999999999966</v>
      </c>
    </row>
    <row r="151"/>
    <row r="152">
      <c r="B152" t="inlineStr">
        <is>
          <t>GRAND TOTAL</t>
        </is>
      </c>
      <c r="F152" t="n">
        <v>41620.62</v>
      </c>
      <c r="G152" t="n">
        <v>100</v>
      </c>
    </row>
    <row r="153"/>
    <row r="154">
      <c r="B154" t="inlineStr">
        <is>
          <t>#  Unlisted Security</t>
        </is>
      </c>
    </row>
    <row r="155">
      <c r="B155" t="inlineStr">
        <is>
          <t>** Non Traded Security</t>
        </is>
      </c>
    </row>
    <row r="156"/>
    <row r="157"/>
    <row r="158"/>
    <row r="159"/>
    <row r="160"/>
    <row r="161">
      <c r="B161" t="inlineStr">
        <is>
          <t>Notes:</t>
        </is>
      </c>
    </row>
    <row r="162">
      <c r="B162" t="inlineStr">
        <is>
          <t>1. Plan / Option-wise Net Asset Value per unit are as below :   (Face Value per unit = Rs. 10)</t>
        </is>
      </c>
    </row>
    <row r="163">
      <c r="B163" t="inlineStr">
        <is>
          <t xml:space="preserve">Plan / Option </t>
        </is>
      </c>
      <c r="C163" s="1" t="n">
        <v>45989</v>
      </c>
      <c r="D163" s="1" t="n">
        <v>46022</v>
      </c>
    </row>
    <row r="164">
      <c r="B164" t="inlineStr">
        <is>
          <t>Direct Plan</t>
        </is>
      </c>
      <c r="C164" t="inlineStr">
        <is>
          <t>(INR)</t>
        </is>
      </c>
      <c r="D164" t="inlineStr">
        <is>
          <t>(INR)</t>
        </is>
      </c>
    </row>
    <row r="165">
      <c r="B165" t="inlineStr">
        <is>
          <t>Growth</t>
        </is>
      </c>
      <c r="C165" t="n">
        <v>10.31</v>
      </c>
      <c r="D165" t="n">
        <v>10.14</v>
      </c>
    </row>
    <row r="166">
      <c r="B166" t="inlineStr">
        <is>
          <t>IDCW (earlier called Dividend)</t>
        </is>
      </c>
      <c r="C166" t="n">
        <v>10.31</v>
      </c>
      <c r="D166" t="n">
        <v>10.14</v>
      </c>
    </row>
    <row r="167">
      <c r="B167" t="inlineStr">
        <is>
          <t>Regular Plan</t>
        </is>
      </c>
    </row>
    <row r="168">
      <c r="B168" t="inlineStr">
        <is>
          <t>IDCW (earlier called Dividend)</t>
        </is>
      </c>
      <c r="C168" t="n">
        <v>10.1</v>
      </c>
      <c r="D168" t="n">
        <v>9.92</v>
      </c>
    </row>
    <row r="169">
      <c r="B169" t="inlineStr">
        <is>
          <t>Growth</t>
        </is>
      </c>
      <c r="C169" t="n">
        <v>10.1</v>
      </c>
      <c r="D169" t="n">
        <v>9.92</v>
      </c>
    </row>
    <row r="170"/>
    <row r="171">
      <c r="B171" t="inlineStr">
        <is>
          <t>2.   Exposure to derivative instruments in the scheme at the end of the month</t>
        </is>
      </c>
      <c r="D171" t="inlineStr">
        <is>
          <t>NIL</t>
        </is>
      </c>
    </row>
    <row r="172"/>
    <row r="173">
      <c r="B173" t="inlineStr">
        <is>
          <t>3.  Derivatives Transactions in the scheme for the month</t>
        </is>
      </c>
      <c r="D173" t="inlineStr">
        <is>
          <t>NIL</t>
        </is>
      </c>
    </row>
    <row r="174"/>
    <row r="175">
      <c r="B175" t="inlineStr">
        <is>
          <t>4.   Investment in foreign securities/ADRs/GDRs at the end of the month (INR Lacs)</t>
        </is>
      </c>
      <c r="D175" t="inlineStr">
        <is>
          <t>NIL</t>
        </is>
      </c>
    </row>
    <row r="176"/>
    <row r="177">
      <c r="B177" t="inlineStr">
        <is>
          <t>5.   Investment in short term deposits at the end of the month (INR Lacs)</t>
        </is>
      </c>
      <c r="D177" t="inlineStr">
        <is>
          <t>NIL</t>
        </is>
      </c>
    </row>
    <row r="178"/>
    <row r="179">
      <c r="B179" t="inlineStr">
        <is>
          <t>6. Portfolio Turnover Ratio</t>
        </is>
      </c>
      <c r="D179" t="n">
        <v>0.24</v>
      </c>
    </row>
    <row r="180"/>
    <row r="181">
      <c r="B181" t="inlineStr">
        <is>
          <t>7.   Aggregate IDCW (earlier called Dividend) declared during the month</t>
        </is>
      </c>
      <c r="D181" t="inlineStr">
        <is>
          <t>NIL</t>
        </is>
      </c>
    </row>
    <row r="182"/>
    <row r="183">
      <c r="B183" t="inlineStr">
        <is>
          <t>8.   (a) Total Exposure to illiquid securities in the portfolio (INR Lacs)</t>
        </is>
      </c>
      <c r="D183" t="inlineStr">
        <is>
          <t>NIL</t>
        </is>
      </c>
    </row>
    <row r="184">
      <c r="B184" t="inlineStr">
        <is>
          <t xml:space="preserve">     (b) Total Exposure to illiquid securities in the portfolio (% of AUM)</t>
        </is>
      </c>
      <c r="D184" t="inlineStr">
        <is>
          <t>NIL</t>
        </is>
      </c>
    </row>
    <row r="185"/>
    <row r="186">
      <c r="B186" t="inlineStr">
        <is>
          <t>9.   Instances of Fair valuation of securities or Deviation in valuation from what is  provided by valuation agencies</t>
        </is>
      </c>
      <c r="D186" t="inlineStr">
        <is>
          <t>NIL</t>
        </is>
      </c>
    </row>
    <row r="187"/>
    <row r="188">
      <c r="B188" t="inlineStr">
        <is>
          <t>10. Securities in default beyond its maturity date in the portfolio of the scheme</t>
        </is>
      </c>
      <c r="D188" t="inlineStr">
        <is>
          <t>NIL</t>
        </is>
      </c>
    </row>
    <row r="189">
      <c r="B189" t="inlineStr">
        <is>
          <t xml:space="preserve">11. For Performance of the scheme refer - </t>
        </is>
      </c>
      <c r="C189" t="inlineStr">
        <is>
          <t>PGIM India Multi Cap Fund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SMALL CAP FUND</t>
        </is>
      </c>
    </row>
    <row r="2">
      <c r="B2" t="inlineStr">
        <is>
          <t>(An Open-Ended Equity Scheme Predominantly Investing In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Small Cap 250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December 31,2025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Multi Commodity Exchange Of India Ltd.</t>
        </is>
      </c>
      <c r="C16" t="inlineStr">
        <is>
          <t>INE745G01035</t>
        </is>
      </c>
      <c r="D16" t="inlineStr">
        <is>
          <t>Capital Markets</t>
        </is>
      </c>
      <c r="E16" t="n">
        <v>64331</v>
      </c>
      <c r="F16" t="n">
        <v>7163.9</v>
      </c>
      <c r="G16" t="n">
        <v>4.59</v>
      </c>
    </row>
    <row r="17">
      <c r="B17" t="inlineStr">
        <is>
          <t>CCL Products (India) Ltd.</t>
        </is>
      </c>
      <c r="C17" t="inlineStr">
        <is>
          <t>INE421D01022</t>
        </is>
      </c>
      <c r="D17" t="inlineStr">
        <is>
          <t>Agricultural Food &amp; other Products</t>
        </is>
      </c>
      <c r="E17" t="n">
        <v>475850</v>
      </c>
      <c r="F17" t="n">
        <v>4492.98</v>
      </c>
      <c r="G17" t="n">
        <v>2.88</v>
      </c>
    </row>
    <row r="18">
      <c r="B18" t="inlineStr">
        <is>
          <t>Navin Fluorine International Ltd.</t>
        </is>
      </c>
      <c r="C18" t="inlineStr">
        <is>
          <t>INE048G01026</t>
        </is>
      </c>
      <c r="D18" t="inlineStr">
        <is>
          <t>Chemicals &amp; Petrochemicals</t>
        </is>
      </c>
      <c r="E18" t="n">
        <v>70355</v>
      </c>
      <c r="F18" t="n">
        <v>4165.02</v>
      </c>
      <c r="G18" t="n">
        <v>2.67</v>
      </c>
    </row>
    <row r="19">
      <c r="B19" t="inlineStr">
        <is>
          <t>Krishna Inst of Medical Sciences Ltd.</t>
        </is>
      </c>
      <c r="C19" t="inlineStr">
        <is>
          <t>INE967H01025</t>
        </is>
      </c>
      <c r="D19" t="inlineStr">
        <is>
          <t>Healthcare Services</t>
        </is>
      </c>
      <c r="E19" t="n">
        <v>677329</v>
      </c>
      <c r="F19" t="n">
        <v>4122.22</v>
      </c>
      <c r="G19" t="n">
        <v>2.64</v>
      </c>
    </row>
    <row r="20">
      <c r="B20" t="inlineStr">
        <is>
          <t>Doms Industries Ltd.</t>
        </is>
      </c>
      <c r="C20" t="inlineStr">
        <is>
          <t>INE321T01012</t>
        </is>
      </c>
      <c r="D20" t="inlineStr">
        <is>
          <t>Household Products</t>
        </is>
      </c>
      <c r="E20" t="n">
        <v>156737</v>
      </c>
      <c r="F20" t="n">
        <v>4099.3</v>
      </c>
      <c r="G20" t="n">
        <v>2.63</v>
      </c>
    </row>
    <row r="21">
      <c r="B21" t="inlineStr">
        <is>
          <t>Solar Industries India Ltd.</t>
        </is>
      </c>
      <c r="C21" t="inlineStr">
        <is>
          <t>INE343H01029</t>
        </is>
      </c>
      <c r="D21" t="inlineStr">
        <is>
          <t>Chemicals &amp; Petrochemicals</t>
        </is>
      </c>
      <c r="E21" t="n">
        <v>32376</v>
      </c>
      <c r="F21" t="n">
        <v>3966.71</v>
      </c>
      <c r="G21" t="n">
        <v>2.54</v>
      </c>
    </row>
    <row r="22">
      <c r="B22" t="inlineStr">
        <is>
          <t>Affle 3i Ltd.</t>
        </is>
      </c>
      <c r="C22" t="inlineStr">
        <is>
          <t>INE00WC01027</t>
        </is>
      </c>
      <c r="D22" t="inlineStr">
        <is>
          <t>IT - Services</t>
        </is>
      </c>
      <c r="E22" t="n">
        <v>219887</v>
      </c>
      <c r="F22" t="n">
        <v>3956.65</v>
      </c>
      <c r="G22" t="n">
        <v>2.54</v>
      </c>
    </row>
    <row r="23">
      <c r="B23" t="inlineStr">
        <is>
          <t>JB Chemicals &amp; Pharmaceuticals Ltd.</t>
        </is>
      </c>
      <c r="C23" t="inlineStr">
        <is>
          <t>INE572A01036</t>
        </is>
      </c>
      <c r="D23" t="inlineStr">
        <is>
          <t>Pharmaceuticals &amp; Biotechnology</t>
        </is>
      </c>
      <c r="E23" t="n">
        <v>205663</v>
      </c>
      <c r="F23" t="n">
        <v>3742.45</v>
      </c>
      <c r="G23" t="n">
        <v>2.4</v>
      </c>
    </row>
    <row r="24">
      <c r="B24" t="inlineStr">
        <is>
          <t>Radico Khaitan Ltd.</t>
        </is>
      </c>
      <c r="C24" t="inlineStr">
        <is>
          <t>INE944F01028</t>
        </is>
      </c>
      <c r="D24" t="inlineStr">
        <is>
          <t>Beverages</t>
        </is>
      </c>
      <c r="E24" t="n">
        <v>101377</v>
      </c>
      <c r="F24" t="n">
        <v>3343.82</v>
      </c>
      <c r="G24" t="n">
        <v>2.14</v>
      </c>
    </row>
    <row r="25">
      <c r="B25" t="inlineStr">
        <is>
          <t>Blue Star Ltd.</t>
        </is>
      </c>
      <c r="C25" t="inlineStr">
        <is>
          <t>INE472A01039</t>
        </is>
      </c>
      <c r="D25" t="inlineStr">
        <is>
          <t>Consumer Durables</t>
        </is>
      </c>
      <c r="E25" t="n">
        <v>188329</v>
      </c>
      <c r="F25" t="n">
        <v>3259.41</v>
      </c>
      <c r="G25" t="n">
        <v>2.09</v>
      </c>
    </row>
    <row r="26">
      <c r="B26" t="inlineStr">
        <is>
          <t>Karur Vysya Bank Ltd.</t>
        </is>
      </c>
      <c r="C26" t="inlineStr">
        <is>
          <t>INE036D01028</t>
        </is>
      </c>
      <c r="D26" t="inlineStr">
        <is>
          <t>Banks</t>
        </is>
      </c>
      <c r="E26" t="n">
        <v>1230585</v>
      </c>
      <c r="F26" t="n">
        <v>3246.65</v>
      </c>
      <c r="G26" t="n">
        <v>2.08</v>
      </c>
    </row>
    <row r="27">
      <c r="B27" t="inlineStr">
        <is>
          <t>Sagility Ltd.</t>
        </is>
      </c>
      <c r="C27" t="inlineStr">
        <is>
          <t>INE0W2G01015</t>
        </is>
      </c>
      <c r="D27" t="inlineStr">
        <is>
          <t>IT - Services</t>
        </is>
      </c>
      <c r="E27" t="n">
        <v>6163724</v>
      </c>
      <c r="F27" t="n">
        <v>3206.37</v>
      </c>
      <c r="G27" t="n">
        <v>2.06</v>
      </c>
    </row>
    <row r="28">
      <c r="B28" t="inlineStr">
        <is>
          <t>Vishal Mega Mart Ltd</t>
        </is>
      </c>
      <c r="C28" t="inlineStr">
        <is>
          <t>INE01EA01019</t>
        </is>
      </c>
      <c r="D28" t="inlineStr">
        <is>
          <t>Retailing</t>
        </is>
      </c>
      <c r="E28" t="n">
        <v>2236441</v>
      </c>
      <c r="F28" t="n">
        <v>3049.83</v>
      </c>
      <c r="G28" t="n">
        <v>1.95</v>
      </c>
    </row>
    <row r="29">
      <c r="B29" t="inlineStr">
        <is>
          <t>AWFIS Space Solutions Ltd.</t>
        </is>
      </c>
      <c r="C29" t="inlineStr">
        <is>
          <t>INE108V01019</t>
        </is>
      </c>
      <c r="D29" t="inlineStr">
        <is>
          <t>Commercial Services &amp; Supplies</t>
        </is>
      </c>
      <c r="E29" t="n">
        <v>605067</v>
      </c>
      <c r="F29" t="n">
        <v>2981.77</v>
      </c>
      <c r="G29" t="n">
        <v>1.91</v>
      </c>
    </row>
    <row r="30">
      <c r="B30" t="inlineStr">
        <is>
          <t>MRS Bectors Food Specialities Ltd.</t>
        </is>
      </c>
      <c r="C30" t="inlineStr">
        <is>
          <t>INE495P01020</t>
        </is>
      </c>
      <c r="D30" t="inlineStr">
        <is>
          <t>Food Products</t>
        </is>
      </c>
      <c r="E30" t="n">
        <v>1281925</v>
      </c>
      <c r="F30" t="n">
        <v>2953.56</v>
      </c>
      <c r="G30" t="n">
        <v>1.89</v>
      </c>
    </row>
    <row r="31">
      <c r="B31" t="inlineStr">
        <is>
          <t>Eureka Forbes Ltd.</t>
        </is>
      </c>
      <c r="C31" t="inlineStr">
        <is>
          <t>INE0KCE01017</t>
        </is>
      </c>
      <c r="D31" t="inlineStr">
        <is>
          <t>Consumer Durables</t>
        </is>
      </c>
      <c r="E31" t="n">
        <v>448735</v>
      </c>
      <c r="F31" t="n">
        <v>2776.77</v>
      </c>
      <c r="G31" t="n">
        <v>1.78</v>
      </c>
    </row>
    <row r="32">
      <c r="B32" t="inlineStr">
        <is>
          <t>TBO Tek Ltd.</t>
        </is>
      </c>
      <c r="C32" t="inlineStr">
        <is>
          <t>INE673O01025</t>
        </is>
      </c>
      <c r="D32" t="inlineStr">
        <is>
          <t>Leisure Services</t>
        </is>
      </c>
      <c r="E32" t="n">
        <v>166036</v>
      </c>
      <c r="F32" t="n">
        <v>2760.68</v>
      </c>
      <c r="G32" t="n">
        <v>1.77</v>
      </c>
    </row>
    <row r="33">
      <c r="B33" t="inlineStr">
        <is>
          <t>Sai Life Sciences Ltd</t>
        </is>
      </c>
      <c r="C33" t="inlineStr">
        <is>
          <t>INE570L01029</t>
        </is>
      </c>
      <c r="D33" t="inlineStr">
        <is>
          <t>Pharmaceuticals &amp; Biotechnology</t>
        </is>
      </c>
      <c r="E33" t="n">
        <v>302242</v>
      </c>
      <c r="F33" t="n">
        <v>2745.57</v>
      </c>
      <c r="G33" t="n">
        <v>1.76</v>
      </c>
    </row>
    <row r="34">
      <c r="B34" t="inlineStr">
        <is>
          <t>Dr Agarwal's Health Care Ltd.</t>
        </is>
      </c>
      <c r="C34" t="inlineStr">
        <is>
          <t>INE943P01029</t>
        </is>
      </c>
      <c r="D34" t="inlineStr">
        <is>
          <t>Healthcare Services</t>
        </is>
      </c>
      <c r="E34" t="n">
        <v>537755</v>
      </c>
      <c r="F34" t="n">
        <v>2733.68</v>
      </c>
      <c r="G34" t="n">
        <v>1.75</v>
      </c>
    </row>
    <row r="35">
      <c r="B35" t="inlineStr">
        <is>
          <t>Triveni Turbine Ltd.</t>
        </is>
      </c>
      <c r="C35" t="inlineStr">
        <is>
          <t>INE152M01016</t>
        </is>
      </c>
      <c r="D35" t="inlineStr">
        <is>
          <t>Electrical Equipment</t>
        </is>
      </c>
      <c r="E35" t="n">
        <v>487731</v>
      </c>
      <c r="F35" t="n">
        <v>2625.21</v>
      </c>
      <c r="G35" t="n">
        <v>1.68</v>
      </c>
    </row>
    <row r="36">
      <c r="B36" t="inlineStr">
        <is>
          <t>Bikaji Foods International Ltd.</t>
        </is>
      </c>
      <c r="C36" t="inlineStr">
        <is>
          <t>INE00E101023</t>
        </is>
      </c>
      <c r="D36" t="inlineStr">
        <is>
          <t>Food Products</t>
        </is>
      </c>
      <c r="E36" t="n">
        <v>343308</v>
      </c>
      <c r="F36" t="n">
        <v>2574.12</v>
      </c>
      <c r="G36" t="n">
        <v>1.65</v>
      </c>
    </row>
    <row r="37">
      <c r="B37" t="inlineStr">
        <is>
          <t>KEI Industries Ltd.</t>
        </is>
      </c>
      <c r="C37" t="inlineStr">
        <is>
          <t>INE878B01027</t>
        </is>
      </c>
      <c r="D37" t="inlineStr">
        <is>
          <t>Industrial Products</t>
        </is>
      </c>
      <c r="E37" t="n">
        <v>57500</v>
      </c>
      <c r="F37" t="n">
        <v>2564.62</v>
      </c>
      <c r="G37" t="n">
        <v>1.64</v>
      </c>
    </row>
    <row r="38">
      <c r="B38" t="inlineStr">
        <is>
          <t>Sansera Engineering Ltd.</t>
        </is>
      </c>
      <c r="C38" t="inlineStr">
        <is>
          <t>INE953O01021</t>
        </is>
      </c>
      <c r="D38" t="inlineStr">
        <is>
          <t>Auto Components</t>
        </is>
      </c>
      <c r="E38" t="n">
        <v>149242</v>
      </c>
      <c r="F38" t="n">
        <v>2502.79</v>
      </c>
      <c r="G38" t="n">
        <v>1.6</v>
      </c>
    </row>
    <row r="39">
      <c r="B39" t="inlineStr">
        <is>
          <t>Data Patterns (India) Ltd.</t>
        </is>
      </c>
      <c r="C39" t="inlineStr">
        <is>
          <t>INE0IX101010</t>
        </is>
      </c>
      <c r="D39" t="inlineStr">
        <is>
          <t>Aerospace &amp; Defense</t>
        </is>
      </c>
      <c r="E39" t="n">
        <v>88500</v>
      </c>
      <c r="F39" t="n">
        <v>2324.54</v>
      </c>
      <c r="G39" t="n">
        <v>1.49</v>
      </c>
    </row>
    <row r="40">
      <c r="B40" t="inlineStr">
        <is>
          <t>Safari Industries India Ltd.</t>
        </is>
      </c>
      <c r="C40" t="inlineStr">
        <is>
          <t>INE429E01023</t>
        </is>
      </c>
      <c r="D40" t="inlineStr">
        <is>
          <t>Consumer Durables</t>
        </is>
      </c>
      <c r="E40" t="n">
        <v>106768</v>
      </c>
      <c r="F40" t="n">
        <v>2321.56</v>
      </c>
      <c r="G40" t="n">
        <v>1.49</v>
      </c>
    </row>
    <row r="41">
      <c r="B41" t="inlineStr">
        <is>
          <t>Bharat Rasayan Ltd.</t>
        </is>
      </c>
      <c r="C41" t="inlineStr">
        <is>
          <t>INE838B01021</t>
        </is>
      </c>
      <c r="D41" t="inlineStr">
        <is>
          <t>Fertilizers &amp; Agrochemicals</t>
        </is>
      </c>
      <c r="E41" t="n">
        <v>103912</v>
      </c>
      <c r="F41" t="n">
        <v>2318.28</v>
      </c>
      <c r="G41" t="n">
        <v>1.49</v>
      </c>
    </row>
    <row r="42">
      <c r="B42" t="inlineStr">
        <is>
          <t>Gabriel India Ltd.</t>
        </is>
      </c>
      <c r="C42" t="inlineStr">
        <is>
          <t>INE524A01029</t>
        </is>
      </c>
      <c r="D42" t="inlineStr">
        <is>
          <t>Auto Components</t>
        </is>
      </c>
      <c r="E42" t="n">
        <v>228613</v>
      </c>
      <c r="F42" t="n">
        <v>2308.53</v>
      </c>
      <c r="G42" t="n">
        <v>1.48</v>
      </c>
    </row>
    <row r="43">
      <c r="B43" t="inlineStr">
        <is>
          <t>International Gemmological Inst Ind Ltd.</t>
        </is>
      </c>
      <c r="C43" t="inlineStr">
        <is>
          <t>INE0Q9301021</t>
        </is>
      </c>
      <c r="D43" t="inlineStr">
        <is>
          <t>Commercial Services &amp; Supplies</t>
        </is>
      </c>
      <c r="E43" t="n">
        <v>684863</v>
      </c>
      <c r="F43" t="n">
        <v>2294.29</v>
      </c>
      <c r="G43" t="n">
        <v>1.47</v>
      </c>
    </row>
    <row r="44">
      <c r="B44" t="inlineStr">
        <is>
          <t>Le Travenues Technology Ltd.</t>
        </is>
      </c>
      <c r="C44" t="inlineStr">
        <is>
          <t>INE0HV901016</t>
        </is>
      </c>
      <c r="D44" t="inlineStr">
        <is>
          <t>Leisure Services</t>
        </is>
      </c>
      <c r="E44" t="n">
        <v>894257</v>
      </c>
      <c r="F44" t="n">
        <v>2279.91</v>
      </c>
      <c r="G44" t="n">
        <v>1.46</v>
      </c>
    </row>
    <row r="45">
      <c r="B45" t="inlineStr">
        <is>
          <t>Ather Energy Ltd.</t>
        </is>
      </c>
      <c r="C45" t="inlineStr">
        <is>
          <t>INE0LEZ01016</t>
        </is>
      </c>
      <c r="D45" t="inlineStr">
        <is>
          <t>Automobiles</t>
        </is>
      </c>
      <c r="E45" t="n">
        <v>299033</v>
      </c>
      <c r="F45" t="n">
        <v>2256.95</v>
      </c>
      <c r="G45" t="n">
        <v>1.45</v>
      </c>
    </row>
    <row r="46">
      <c r="B46" t="inlineStr">
        <is>
          <t>Sumitomo Chemical India Ltd.</t>
        </is>
      </c>
      <c r="C46" t="inlineStr">
        <is>
          <t>INE258G01013</t>
        </is>
      </c>
      <c r="D46" t="inlineStr">
        <is>
          <t>Fertilizers &amp; Agrochemicals</t>
        </is>
      </c>
      <c r="E46" t="n">
        <v>457811</v>
      </c>
      <c r="F46" t="n">
        <v>2156.29</v>
      </c>
      <c r="G46" t="n">
        <v>1.38</v>
      </c>
    </row>
    <row r="47">
      <c r="B47" t="inlineStr">
        <is>
          <t>JK Lakshmi Cement Ltd.</t>
        </is>
      </c>
      <c r="C47" t="inlineStr">
        <is>
          <t>INE786A01032</t>
        </is>
      </c>
      <c r="D47" t="inlineStr">
        <is>
          <t>Cement &amp; Cement Products</t>
        </is>
      </c>
      <c r="E47" t="n">
        <v>276123</v>
      </c>
      <c r="F47" t="n">
        <v>2148.51</v>
      </c>
      <c r="G47" t="n">
        <v>1.38</v>
      </c>
    </row>
    <row r="48">
      <c r="B48" t="inlineStr">
        <is>
          <t>Capillary Technologies India Ltd.</t>
        </is>
      </c>
      <c r="C48" t="inlineStr">
        <is>
          <t>INE0ILV01024</t>
        </is>
      </c>
      <c r="D48" t="inlineStr">
        <is>
          <t>IT - Software</t>
        </is>
      </c>
      <c r="E48" t="n">
        <v>314549</v>
      </c>
      <c r="F48" t="n">
        <v>2117.39</v>
      </c>
      <c r="G48" t="n">
        <v>1.36</v>
      </c>
    </row>
    <row r="49">
      <c r="B49" t="inlineStr">
        <is>
          <t>Home First Finance Company India Ltd.</t>
        </is>
      </c>
      <c r="C49" t="inlineStr">
        <is>
          <t>INE481N01025</t>
        </is>
      </c>
      <c r="D49" t="inlineStr">
        <is>
          <t>Finance</t>
        </is>
      </c>
      <c r="E49" t="n">
        <v>191318</v>
      </c>
      <c r="F49" t="n">
        <v>2108.71</v>
      </c>
      <c r="G49" t="n">
        <v>1.35</v>
      </c>
    </row>
    <row r="50">
      <c r="B50" t="inlineStr">
        <is>
          <t>Global Health Ltd.</t>
        </is>
      </c>
      <c r="C50" t="inlineStr">
        <is>
          <t>INE474Q01031</t>
        </is>
      </c>
      <c r="D50" t="inlineStr">
        <is>
          <t>Healthcare Services</t>
        </is>
      </c>
      <c r="E50" t="n">
        <v>175412</v>
      </c>
      <c r="F50" t="n">
        <v>2081.09</v>
      </c>
      <c r="G50" t="n">
        <v>1.33</v>
      </c>
    </row>
    <row r="51">
      <c r="B51" t="inlineStr">
        <is>
          <t>Inventurus Knowledge Solutions Ltd.</t>
        </is>
      </c>
      <c r="C51" t="inlineStr">
        <is>
          <t>INE115Q01022</t>
        </is>
      </c>
      <c r="D51" t="inlineStr">
        <is>
          <t>IT - Services</t>
        </is>
      </c>
      <c r="E51" t="n">
        <v>125000</v>
      </c>
      <c r="F51" t="n">
        <v>2072.25</v>
      </c>
      <c r="G51" t="n">
        <v>1.33</v>
      </c>
    </row>
    <row r="52">
      <c r="B52" t="inlineStr">
        <is>
          <t>Dixon Technologies (India) Ltd.</t>
        </is>
      </c>
      <c r="C52" t="inlineStr">
        <is>
          <t>INE935N01020</t>
        </is>
      </c>
      <c r="D52" t="inlineStr">
        <is>
          <t>Consumer Durables</t>
        </is>
      </c>
      <c r="E52" t="n">
        <v>17111</v>
      </c>
      <c r="F52" t="n">
        <v>2070.77</v>
      </c>
      <c r="G52" t="n">
        <v>1.33</v>
      </c>
    </row>
    <row r="53">
      <c r="B53" t="inlineStr">
        <is>
          <t>JK Cement Ltd.</t>
        </is>
      </c>
      <c r="C53" t="inlineStr">
        <is>
          <t>INE823G01014</t>
        </is>
      </c>
      <c r="D53" t="inlineStr">
        <is>
          <t>Cement &amp; Cement Products</t>
        </is>
      </c>
      <c r="E53" t="n">
        <v>35960</v>
      </c>
      <c r="F53" t="n">
        <v>1988.95</v>
      </c>
      <c r="G53" t="n">
        <v>1.27</v>
      </c>
    </row>
    <row r="54">
      <c r="B54" t="inlineStr">
        <is>
          <t>Timken India Ltd.</t>
        </is>
      </c>
      <c r="C54" t="inlineStr">
        <is>
          <t>INE325A01013</t>
        </is>
      </c>
      <c r="D54" t="inlineStr">
        <is>
          <t>Industrial Products</t>
        </is>
      </c>
      <c r="E54" t="n">
        <v>65790</v>
      </c>
      <c r="F54" t="n">
        <v>1975.74</v>
      </c>
      <c r="G54" t="n">
        <v>1.27</v>
      </c>
    </row>
    <row r="55">
      <c r="B55" t="inlineStr">
        <is>
          <t>Gillette India Ltd.</t>
        </is>
      </c>
      <c r="C55" t="inlineStr">
        <is>
          <t>INE322A01010</t>
        </is>
      </c>
      <c r="D55" t="inlineStr">
        <is>
          <t>Personal Products</t>
        </is>
      </c>
      <c r="E55" t="n">
        <v>23422</v>
      </c>
      <c r="F55" t="n">
        <v>1958.66</v>
      </c>
      <c r="G55" t="n">
        <v>1.26</v>
      </c>
    </row>
    <row r="56">
      <c r="B56" t="inlineStr">
        <is>
          <t>Neuland Laboratories Ltd.</t>
        </is>
      </c>
      <c r="C56" t="inlineStr">
        <is>
          <t>INE794A01010</t>
        </is>
      </c>
      <c r="D56" t="inlineStr">
        <is>
          <t>Pharmaceuticals &amp; Biotechnology</t>
        </is>
      </c>
      <c r="E56" t="n">
        <v>12369</v>
      </c>
      <c r="F56" t="n">
        <v>1877</v>
      </c>
      <c r="G56" t="n">
        <v>1.2</v>
      </c>
    </row>
    <row r="57">
      <c r="B57" t="inlineStr">
        <is>
          <t>BlackBuck Ltd.</t>
        </is>
      </c>
      <c r="C57" t="inlineStr">
        <is>
          <t>INE0UIZ01018</t>
        </is>
      </c>
      <c r="D57" t="inlineStr">
        <is>
          <t>Transport Services</t>
        </is>
      </c>
      <c r="E57" t="n">
        <v>273210</v>
      </c>
      <c r="F57" t="n">
        <v>1857.14</v>
      </c>
      <c r="G57" t="n">
        <v>1.19</v>
      </c>
    </row>
    <row r="58">
      <c r="B58" t="inlineStr">
        <is>
          <t>Sundaram Finance Ltd.</t>
        </is>
      </c>
      <c r="C58" t="inlineStr">
        <is>
          <t>INE660A01013</t>
        </is>
      </c>
      <c r="D58" t="inlineStr">
        <is>
          <t>Finance</t>
        </is>
      </c>
      <c r="E58" t="n">
        <v>34855</v>
      </c>
      <c r="F58" t="n">
        <v>1841.32</v>
      </c>
      <c r="G58" t="n">
        <v>1.18</v>
      </c>
    </row>
    <row r="59">
      <c r="B59" t="inlineStr">
        <is>
          <t>Max Financial Services Ltd.</t>
        </is>
      </c>
      <c r="C59" t="inlineStr">
        <is>
          <t>INE180A01020</t>
        </is>
      </c>
      <c r="D59" t="inlineStr">
        <is>
          <t>Insurance</t>
        </is>
      </c>
      <c r="E59" t="n">
        <v>110000</v>
      </c>
      <c r="F59" t="n">
        <v>1838.98</v>
      </c>
      <c r="G59" t="n">
        <v>1.18</v>
      </c>
    </row>
    <row r="60">
      <c r="B60" t="inlineStr">
        <is>
          <t>Cholamandalam Financial Holdings Ltd.</t>
        </is>
      </c>
      <c r="C60" t="inlineStr">
        <is>
          <t>INE149A01033</t>
        </is>
      </c>
      <c r="D60" t="inlineStr">
        <is>
          <t>Finance</t>
        </is>
      </c>
      <c r="E60" t="n">
        <v>101128</v>
      </c>
      <c r="F60" t="n">
        <v>1833.35</v>
      </c>
      <c r="G60" t="n">
        <v>1.18</v>
      </c>
    </row>
    <row r="61">
      <c r="B61" t="inlineStr">
        <is>
          <t>360 One Wam Ltd.</t>
        </is>
      </c>
      <c r="C61" t="inlineStr">
        <is>
          <t>INE466L01038</t>
        </is>
      </c>
      <c r="D61" t="inlineStr">
        <is>
          <t>Capital Markets</t>
        </is>
      </c>
      <c r="E61" t="n">
        <v>146853</v>
      </c>
      <c r="F61" t="n">
        <v>1747.55</v>
      </c>
      <c r="G61" t="n">
        <v>1.12</v>
      </c>
    </row>
    <row r="62">
      <c r="B62" t="inlineStr">
        <is>
          <t>City Union Bank Ltd.</t>
        </is>
      </c>
      <c r="C62" t="inlineStr">
        <is>
          <t>INE491A01021</t>
        </is>
      </c>
      <c r="D62" t="inlineStr">
        <is>
          <t>Banks</t>
        </is>
      </c>
      <c r="E62" t="n">
        <v>594000</v>
      </c>
      <c r="F62" t="n">
        <v>1727.35</v>
      </c>
      <c r="G62" t="n">
        <v>1.11</v>
      </c>
    </row>
    <row r="63">
      <c r="B63" t="inlineStr">
        <is>
          <t>Schneider Electric Infrastructure Ltd.</t>
        </is>
      </c>
      <c r="C63" t="inlineStr">
        <is>
          <t>INE839M01018</t>
        </is>
      </c>
      <c r="D63" t="inlineStr">
        <is>
          <t>Electrical Equipment</t>
        </is>
      </c>
      <c r="E63" t="n">
        <v>234802</v>
      </c>
      <c r="F63" t="n">
        <v>1697.38</v>
      </c>
      <c r="G63" t="n">
        <v>1.09</v>
      </c>
    </row>
    <row r="64">
      <c r="B64" t="inlineStr">
        <is>
          <t>Pine Labs Ltd.</t>
        </is>
      </c>
      <c r="C64" t="inlineStr">
        <is>
          <t>INE15B701018</t>
        </is>
      </c>
      <c r="D64" t="inlineStr">
        <is>
          <t>Financial Technology (Fintech)</t>
        </is>
      </c>
      <c r="E64" t="n">
        <v>701946</v>
      </c>
      <c r="F64" t="n">
        <v>1679.97</v>
      </c>
      <c r="G64" t="n">
        <v>1.08</v>
      </c>
    </row>
    <row r="65">
      <c r="B65" t="inlineStr">
        <is>
          <t>MTAR Technologies Ltd.</t>
        </is>
      </c>
      <c r="C65" t="inlineStr">
        <is>
          <t>INE864I01014</t>
        </is>
      </c>
      <c r="D65" t="inlineStr">
        <is>
          <t>Aerospace &amp; Defense</t>
        </is>
      </c>
      <c r="E65" t="n">
        <v>69239</v>
      </c>
      <c r="F65" t="n">
        <v>1673.3</v>
      </c>
      <c r="G65" t="n">
        <v>1.07</v>
      </c>
    </row>
    <row r="66">
      <c r="B66" t="inlineStr">
        <is>
          <t>Aster DM Healthcare Ltd.</t>
        </is>
      </c>
      <c r="C66" t="inlineStr">
        <is>
          <t>INE914M01019</t>
        </is>
      </c>
      <c r="D66" t="inlineStr">
        <is>
          <t>Healthcare Services</t>
        </is>
      </c>
      <c r="E66" t="n">
        <v>271011</v>
      </c>
      <c r="F66" t="n">
        <v>1671.73</v>
      </c>
      <c r="G66" t="n">
        <v>1.07</v>
      </c>
    </row>
    <row r="67">
      <c r="B67" t="inlineStr">
        <is>
          <t>Sharda Motor Industries Ltd.</t>
        </is>
      </c>
      <c r="C67" t="inlineStr">
        <is>
          <t>INE597I01028</t>
        </is>
      </c>
      <c r="D67" t="inlineStr">
        <is>
          <t>Auto Components</t>
        </is>
      </c>
      <c r="E67" t="n">
        <v>174868</v>
      </c>
      <c r="F67" t="n">
        <v>1644.37</v>
      </c>
      <c r="G67" t="n">
        <v>1.05</v>
      </c>
    </row>
    <row r="68">
      <c r="B68" t="inlineStr">
        <is>
          <t>Kirloskar Pneumatic Co.Ltd.</t>
        </is>
      </c>
      <c r="C68" t="inlineStr">
        <is>
          <t>INE811A01020</t>
        </is>
      </c>
      <c r="D68" t="inlineStr">
        <is>
          <t>Industrial Products</t>
        </is>
      </c>
      <c r="E68" t="n">
        <v>155095</v>
      </c>
      <c r="F68" t="n">
        <v>1643.7</v>
      </c>
      <c r="G68" t="n">
        <v>1.05</v>
      </c>
    </row>
    <row r="69">
      <c r="B69" t="inlineStr">
        <is>
          <t>PB Fintech Ltd.</t>
        </is>
      </c>
      <c r="C69" t="inlineStr">
        <is>
          <t>INE417T01026</t>
        </is>
      </c>
      <c r="D69" t="inlineStr">
        <is>
          <t>Financial Technology (Fintech)</t>
        </is>
      </c>
      <c r="E69" t="n">
        <v>88300</v>
      </c>
      <c r="F69" t="n">
        <v>1612</v>
      </c>
      <c r="G69" t="n">
        <v>1.03</v>
      </c>
    </row>
    <row r="70">
      <c r="B70" t="inlineStr">
        <is>
          <t>Akzo Nobel India Ltd.</t>
        </is>
      </c>
      <c r="C70" t="inlineStr">
        <is>
          <t>INE133A01011</t>
        </is>
      </c>
      <c r="D70" t="inlineStr">
        <is>
          <t>Consumer Durables</t>
        </is>
      </c>
      <c r="E70" t="n">
        <v>50317</v>
      </c>
      <c r="F70" t="n">
        <v>1598.72</v>
      </c>
      <c r="G70" t="n">
        <v>1.02</v>
      </c>
    </row>
    <row r="71">
      <c r="B71" t="inlineStr">
        <is>
          <t>Tega Industries Ltd.</t>
        </is>
      </c>
      <c r="C71" t="inlineStr">
        <is>
          <t>INE011K01018</t>
        </is>
      </c>
      <c r="D71" t="inlineStr">
        <is>
          <t>Industrial Manufacturing</t>
        </is>
      </c>
      <c r="E71" t="n">
        <v>75699</v>
      </c>
      <c r="F71" t="n">
        <v>1476.66</v>
      </c>
      <c r="G71" t="n">
        <v>0.95</v>
      </c>
    </row>
    <row r="72">
      <c r="B72" t="inlineStr">
        <is>
          <t>Eternal Ltd.</t>
        </is>
      </c>
      <c r="C72" t="inlineStr">
        <is>
          <t>INE758T01015</t>
        </is>
      </c>
      <c r="D72" t="inlineStr">
        <is>
          <t>Retailing</t>
        </is>
      </c>
      <c r="E72" t="n">
        <v>530000</v>
      </c>
      <c r="F72" t="n">
        <v>1473.67</v>
      </c>
      <c r="G72" t="n">
        <v>0.9399999999999999</v>
      </c>
    </row>
    <row r="73">
      <c r="B73" t="inlineStr">
        <is>
          <t>Brigade Enterprises Ltd.</t>
        </is>
      </c>
      <c r="C73" t="inlineStr">
        <is>
          <t>INE791I01019</t>
        </is>
      </c>
      <c r="D73" t="inlineStr">
        <is>
          <t>Realty</t>
        </is>
      </c>
      <c r="E73" t="n">
        <v>136172</v>
      </c>
      <c r="F73" t="n">
        <v>1205.12</v>
      </c>
      <c r="G73" t="n">
        <v>0.77</v>
      </c>
    </row>
    <row r="74">
      <c r="B74" t="inlineStr">
        <is>
          <t>Creditaccess Grameen Ltd.</t>
        </is>
      </c>
      <c r="C74" t="inlineStr">
        <is>
          <t>INE741K01010</t>
        </is>
      </c>
      <c r="D74" t="inlineStr">
        <is>
          <t>Finance</t>
        </is>
      </c>
      <c r="E74" t="n">
        <v>92184</v>
      </c>
      <c r="F74" t="n">
        <v>1174.06</v>
      </c>
      <c r="G74" t="n">
        <v>0.75</v>
      </c>
    </row>
    <row r="75">
      <c r="B75" t="inlineStr">
        <is>
          <t>Urban Company Ltd.</t>
        </is>
      </c>
      <c r="C75" t="inlineStr">
        <is>
          <t>INE0CAZ01013</t>
        </is>
      </c>
      <c r="D75" t="inlineStr">
        <is>
          <t>Retailing</t>
        </is>
      </c>
      <c r="E75" t="n">
        <v>789235</v>
      </c>
      <c r="F75" t="n">
        <v>1054.02</v>
      </c>
      <c r="G75" t="n">
        <v>0.68</v>
      </c>
    </row>
    <row r="76">
      <c r="B76" t="inlineStr">
        <is>
          <t>LG Electronics India Ltd.</t>
        </is>
      </c>
      <c r="C76" t="inlineStr">
        <is>
          <t>INE324D01010</t>
        </is>
      </c>
      <c r="D76" t="inlineStr">
        <is>
          <t>Consumer Durables</t>
        </is>
      </c>
      <c r="E76" t="n">
        <v>67000</v>
      </c>
      <c r="F76" t="n">
        <v>1019.34</v>
      </c>
      <c r="G76" t="n">
        <v>0.65</v>
      </c>
    </row>
    <row r="77">
      <c r="B77" t="inlineStr">
        <is>
          <t>Anthem Biosciences Ltd.</t>
        </is>
      </c>
      <c r="C77" t="inlineStr">
        <is>
          <t>INE0CZ201020</t>
        </is>
      </c>
      <c r="D77" t="inlineStr">
        <is>
          <t>Pharmaceuticals &amp; Biotechnology</t>
        </is>
      </c>
      <c r="E77" t="n">
        <v>124000</v>
      </c>
      <c r="F77" t="n">
        <v>807.86</v>
      </c>
      <c r="G77" t="n">
        <v>0.52</v>
      </c>
    </row>
    <row r="78">
      <c r="B78" t="inlineStr">
        <is>
          <t>Kaynes Technology India Ltd.</t>
        </is>
      </c>
      <c r="C78" t="inlineStr">
        <is>
          <t>INE918Z01012</t>
        </is>
      </c>
      <c r="D78" t="inlineStr">
        <is>
          <t>Industrial Manufacturing</t>
        </is>
      </c>
      <c r="E78" t="n">
        <v>17440</v>
      </c>
      <c r="F78" t="n">
        <v>699.87</v>
      </c>
      <c r="G78" t="n">
        <v>0.45</v>
      </c>
    </row>
    <row r="79">
      <c r="B79" t="inlineStr">
        <is>
          <t>BlueStone Jewellery and Lifestyle Ltd.</t>
        </is>
      </c>
      <c r="C79" t="inlineStr">
        <is>
          <t>INE304W01038</t>
        </is>
      </c>
      <c r="D79" t="inlineStr">
        <is>
          <t>Consumer Durables</t>
        </is>
      </c>
      <c r="E79" t="n">
        <v>143304</v>
      </c>
      <c r="F79" t="n">
        <v>674.6</v>
      </c>
      <c r="G79" t="n">
        <v>0.43</v>
      </c>
    </row>
    <row r="80">
      <c r="B80" t="inlineStr">
        <is>
          <t>Greenply Industries Ltd.</t>
        </is>
      </c>
      <c r="C80" t="inlineStr">
        <is>
          <t>INE461C01038</t>
        </is>
      </c>
      <c r="D80" t="inlineStr">
        <is>
          <t>Consumer Durables</t>
        </is>
      </c>
      <c r="E80" t="n">
        <v>123037</v>
      </c>
      <c r="F80" t="n">
        <v>330.23</v>
      </c>
      <c r="G80" t="n">
        <v>0.21</v>
      </c>
    </row>
    <row r="81">
      <c r="B81" t="inlineStr">
        <is>
          <t>Sub Total</t>
        </is>
      </c>
      <c r="F81" t="n">
        <v>151675.79</v>
      </c>
      <c r="G81" t="n">
        <v>97.2</v>
      </c>
    </row>
    <row r="82"/>
    <row r="83">
      <c r="B83" t="inlineStr">
        <is>
          <t>(b) Unlisted</t>
        </is>
      </c>
    </row>
    <row r="84">
      <c r="F84" t="n">
        <v>0</v>
      </c>
      <c r="G84" t="n">
        <v>0</v>
      </c>
    </row>
    <row r="85">
      <c r="B85" t="inlineStr">
        <is>
          <t>Sub Total</t>
        </is>
      </c>
      <c r="F85" t="inlineStr">
        <is>
          <t>NIL</t>
        </is>
      </c>
      <c r="G85" t="inlineStr">
        <is>
          <t>NIL</t>
        </is>
      </c>
    </row>
    <row r="86"/>
    <row r="87">
      <c r="B87" t="inlineStr">
        <is>
          <t>TOTAL</t>
        </is>
      </c>
      <c r="F87" t="n">
        <v>151675.79</v>
      </c>
      <c r="G87" t="n">
        <v>97.2</v>
      </c>
    </row>
    <row r="88"/>
    <row r="89">
      <c r="B89" t="inlineStr">
        <is>
          <t>Money Market Instruments</t>
        </is>
      </c>
    </row>
    <row r="90"/>
    <row r="91">
      <c r="B91" t="inlineStr">
        <is>
          <t>Treasury Bill</t>
        </is>
      </c>
    </row>
    <row r="92">
      <c r="B92" t="inlineStr">
        <is>
          <t>364 DAYS TBILL RED 29-10-2026</t>
        </is>
      </c>
      <c r="C92" t="inlineStr">
        <is>
          <t>IN002025Z310</t>
        </is>
      </c>
      <c r="D92" t="inlineStr">
        <is>
          <t>SOVEREIGN</t>
        </is>
      </c>
      <c r="E92" t="n">
        <v>250000</v>
      </c>
      <c r="F92" t="n">
        <v>239.25</v>
      </c>
      <c r="G92" t="n">
        <v>0.15</v>
      </c>
      <c r="H92" t="n">
        <v>5.45</v>
      </c>
    </row>
    <row r="93">
      <c r="B93" t="inlineStr">
        <is>
          <t>Sub Total</t>
        </is>
      </c>
      <c r="F93" t="n">
        <v>239.25</v>
      </c>
      <c r="G93" t="n">
        <v>0.15</v>
      </c>
    </row>
    <row r="94"/>
    <row r="95">
      <c r="B95" t="inlineStr">
        <is>
          <t>TOTAL</t>
        </is>
      </c>
      <c r="F95" t="n">
        <v>239.25</v>
      </c>
      <c r="G95" t="n">
        <v>0.15</v>
      </c>
    </row>
    <row r="96"/>
    <row r="97"/>
    <row r="98">
      <c r="B98" t="inlineStr">
        <is>
          <t>Treps / Reverse Repo</t>
        </is>
      </c>
    </row>
    <row r="99">
      <c r="B99" t="inlineStr">
        <is>
          <t>Clearing Corporation of India Ltd.</t>
        </is>
      </c>
      <c r="F99" t="n">
        <v>4248.76</v>
      </c>
      <c r="G99" t="n">
        <v>2.72</v>
      </c>
    </row>
    <row r="100">
      <c r="B100" t="inlineStr">
        <is>
          <t>Sub Total</t>
        </is>
      </c>
      <c r="F100" t="n">
        <v>4248.76</v>
      </c>
      <c r="G100" t="n">
        <v>2.72</v>
      </c>
    </row>
    <row r="101"/>
    <row r="102">
      <c r="B102" t="inlineStr">
        <is>
          <t>TOTAL</t>
        </is>
      </c>
      <c r="F102" t="n">
        <v>4248.76</v>
      </c>
      <c r="G102" t="n">
        <v>2.72</v>
      </c>
    </row>
    <row r="103"/>
    <row r="104">
      <c r="B104" t="inlineStr">
        <is>
          <t>Net Receivables / (Payables)</t>
        </is>
      </c>
      <c r="F104" t="n">
        <v>-142.46</v>
      </c>
      <c r="G104" t="n">
        <v>-0.07000000000000739</v>
      </c>
    </row>
    <row r="105"/>
    <row r="106">
      <c r="B106" t="inlineStr">
        <is>
          <t>GRAND TOTAL</t>
        </is>
      </c>
      <c r="F106" t="n">
        <v>156021.34</v>
      </c>
      <c r="G106" t="n">
        <v>100</v>
      </c>
    </row>
    <row r="107"/>
    <row r="108"/>
    <row r="109"/>
    <row r="110"/>
    <row r="111"/>
    <row r="112"/>
    <row r="113"/>
    <row r="114"/>
    <row r="115">
      <c r="B115" t="inlineStr">
        <is>
          <t>Notes:</t>
        </is>
      </c>
    </row>
    <row r="116">
      <c r="B116" t="inlineStr">
        <is>
          <t>1. Plan / Option-wise Net Asset Value per unit are as below :   (Face Value per unit = Rs. 10)</t>
        </is>
      </c>
    </row>
    <row r="117">
      <c r="B117" t="inlineStr">
        <is>
          <t xml:space="preserve">Plan / Option </t>
        </is>
      </c>
      <c r="C117" s="1" t="n">
        <v>45989</v>
      </c>
      <c r="D117" s="1" t="n">
        <v>46022</v>
      </c>
    </row>
    <row r="118">
      <c r="B118" t="inlineStr">
        <is>
          <t>Direct Plan</t>
        </is>
      </c>
      <c r="C118" t="inlineStr">
        <is>
          <t>(INR)</t>
        </is>
      </c>
      <c r="D118" t="inlineStr">
        <is>
          <t>(INR)</t>
        </is>
      </c>
    </row>
    <row r="119">
      <c r="B119" t="inlineStr">
        <is>
          <t>Growth</t>
        </is>
      </c>
      <c r="C119" t="n">
        <v>17.56</v>
      </c>
      <c r="D119" t="n">
        <v>17.21</v>
      </c>
    </row>
    <row r="120">
      <c r="B120" t="inlineStr">
        <is>
          <t>IDCW (earlier called Dividend)</t>
        </is>
      </c>
      <c r="C120" t="n">
        <v>15.11</v>
      </c>
      <c r="D120" t="n">
        <v>14.81</v>
      </c>
    </row>
    <row r="121">
      <c r="B121" t="inlineStr">
        <is>
          <t>Regular Plan</t>
        </is>
      </c>
    </row>
    <row r="122">
      <c r="B122" t="inlineStr">
        <is>
          <t>Growth</t>
        </is>
      </c>
      <c r="C122" t="n">
        <v>16.33</v>
      </c>
      <c r="D122" t="n">
        <v>15.98</v>
      </c>
    </row>
    <row r="123">
      <c r="B123" t="inlineStr">
        <is>
          <t>IDCW (earlier called Dividend)</t>
        </is>
      </c>
      <c r="C123" t="n">
        <v>14.52</v>
      </c>
      <c r="D123" t="n">
        <v>14.22</v>
      </c>
    </row>
    <row r="124"/>
    <row r="125">
      <c r="B125" t="inlineStr">
        <is>
          <t>2.   Exposure to derivative instruments in the scheme at the end of the month</t>
        </is>
      </c>
      <c r="D125" t="inlineStr">
        <is>
          <t>NIL</t>
        </is>
      </c>
    </row>
    <row r="126"/>
    <row r="127">
      <c r="B127" t="inlineStr">
        <is>
          <t>3.  Derivatives Transactions in the scheme for the month</t>
        </is>
      </c>
      <c r="D127" t="inlineStr">
        <is>
          <t>NIL</t>
        </is>
      </c>
    </row>
    <row r="128"/>
    <row r="129">
      <c r="B129" t="inlineStr">
        <is>
          <t>4.   Investment in foreign securities/ADRs/GDRs at the end of the month (INR Lacs)</t>
        </is>
      </c>
      <c r="D129" t="inlineStr">
        <is>
          <t>NIL</t>
        </is>
      </c>
    </row>
    <row r="130"/>
    <row r="131">
      <c r="B131" t="inlineStr">
        <is>
          <t>5.   Investment in short term deposits at the end of the month (INR Lacs)</t>
        </is>
      </c>
      <c r="D131" t="inlineStr">
        <is>
          <t>NIL</t>
        </is>
      </c>
    </row>
    <row r="132"/>
    <row r="133">
      <c r="B133" t="inlineStr">
        <is>
          <t>6. Portfolio Turnover Ratio</t>
        </is>
      </c>
      <c r="D133" t="n">
        <v>0.42</v>
      </c>
    </row>
    <row r="134"/>
    <row r="135">
      <c r="B135" t="inlineStr">
        <is>
          <t>7.   Aggregate IDCW (earlier called Dividend) declared during the month</t>
        </is>
      </c>
      <c r="D135" t="inlineStr">
        <is>
          <t>NIL</t>
        </is>
      </c>
    </row>
    <row r="136"/>
    <row r="137">
      <c r="B137" t="inlineStr">
        <is>
          <t>8.   (a) Total Exposure to illiquid securities in the portfolio (INR Lacs)</t>
        </is>
      </c>
      <c r="D137" t="inlineStr">
        <is>
          <t>NIL</t>
        </is>
      </c>
    </row>
    <row r="138">
      <c r="B138" t="inlineStr">
        <is>
          <t xml:space="preserve">     (b) Total Exposure to illiquid securities in the portfolio (% of AUM)</t>
        </is>
      </c>
      <c r="D138" t="inlineStr">
        <is>
          <t>NIL</t>
        </is>
      </c>
    </row>
    <row r="139"/>
    <row r="140">
      <c r="B140" t="inlineStr">
        <is>
          <t>9.   Instances of Fair valuation of securities or Deviation in valuation from what is  provided by valuation agencies</t>
        </is>
      </c>
      <c r="D140" t="inlineStr">
        <is>
          <t>NIL</t>
        </is>
      </c>
    </row>
    <row r="141"/>
    <row r="142">
      <c r="B142" t="inlineStr">
        <is>
          <t>10. Securities in default beyond its maturity date in the portfolio of the scheme</t>
        </is>
      </c>
      <c r="D142" t="inlineStr">
        <is>
          <t>NIL</t>
        </is>
      </c>
    </row>
    <row r="143">
      <c r="B143" t="inlineStr">
        <is>
          <t xml:space="preserve">11. For Performance of the scheme refer - </t>
        </is>
      </c>
      <c r="C143" t="inlineStr">
        <is>
          <t>PGIM India Small Cap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2026-01-30T20:32:41Z</dcterms:created>
  <dcterms:modified xmlns:dcterms="http://purl.org/dc/terms/" xmlns:xsi="http://www.w3.org/2001/XMLSchema-instance" xsi:type="dcterms:W3CDTF">2026-01-30T20:33:53Z</dcterms:modified>
</cp:coreProperties>
</file>