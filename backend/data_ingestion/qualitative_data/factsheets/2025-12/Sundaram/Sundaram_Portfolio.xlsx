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144853dab76e7c7/Documents/"/>
    </mc:Choice>
  </mc:AlternateContent>
  <xr:revisionPtr revIDLastSave="18" documentId="8_{14F2EAAF-612B-493E-BC8E-179E02DB407D}" xr6:coauthVersionLast="47" xr6:coauthVersionMax="47" xr10:uidLastSave="{06E576B0-B4BB-4689-B2B2-5EE9E14BE486}"/>
  <bookViews>
    <workbookView xWindow="-110" yWindow="-110" windowWidth="19420" windowHeight="10300" tabRatio="1000" firstSheet="19" activeTab="22" xr2:uid="{00000000-000D-0000-FFFF-FFFF00000000}"/>
  </bookViews>
  <sheets>
    <sheet name="Capex Opportunities" sheetId="1" r:id="rId1"/>
    <sheet name="Global Brand" sheetId="3" r:id="rId2"/>
    <sheet name="Mid Cap" sheetId="4" r:id="rId3"/>
    <sheet name="Large and Mid Cap" sheetId="5" r:id="rId4"/>
    <sheet name="Small cap" sheetId="6" r:id="rId5"/>
    <sheet name="Aggressive Hybrid" sheetId="7" r:id="rId6"/>
    <sheet name="Arbitrage Fund" sheetId="8" r:id="rId7"/>
    <sheet name="Balanced Advantage" sheetId="9" r:id="rId8"/>
    <sheet name="Dividend Yield" sheetId="10" r:id="rId9"/>
    <sheet name="Equity Savings" sheetId="11" r:id="rId10"/>
    <sheet name="Focused Fund" sheetId="12" r:id="rId11"/>
    <sheet name="Multi Cap Fund" sheetId="13" r:id="rId12"/>
    <sheet name="Tax Saver Fund" sheetId="14" r:id="rId13"/>
    <sheet name="Consumption" sheetId="15" r:id="rId14"/>
    <sheet name="Services" sheetId="16" r:id="rId15"/>
    <sheet name="Value Cap" sheetId="17" r:id="rId16"/>
    <sheet name="Large Cap" sheetId="18" r:id="rId17"/>
    <sheet name="Business Cycle" sheetId="19" r:id="rId18"/>
    <sheet name="FLexi Cap" sheetId="20" r:id="rId19"/>
    <sheet name="Financial Services Fund" sheetId="21" r:id="rId20"/>
    <sheet name="Multi Asset Allocation Fund" sheetId="22" r:id="rId21"/>
    <sheet name="Conservative Hybrid" sheetId="23" r:id="rId22"/>
    <sheet name="Multi factor Fund" sheetId="24"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7" i="23" l="1"/>
  <c r="G85" i="23"/>
  <c r="F85" i="23"/>
  <c r="F144" i="22"/>
  <c r="G144" i="22" s="1"/>
  <c r="G109" i="22"/>
  <c r="F107" i="22"/>
  <c r="F109" i="22" s="1"/>
  <c r="G83" i="22"/>
  <c r="F83" i="22"/>
  <c r="G80" i="22"/>
  <c r="G79" i="22"/>
  <c r="G78" i="22"/>
  <c r="G77" i="22"/>
  <c r="G76" i="22"/>
  <c r="G77" i="18"/>
  <c r="G75" i="18"/>
  <c r="F75" i="18"/>
  <c r="F77" i="18" s="1"/>
  <c r="G58" i="18"/>
  <c r="F58" i="18"/>
  <c r="D150" i="16"/>
  <c r="G77" i="15"/>
  <c r="F77" i="15"/>
  <c r="G75" i="15"/>
  <c r="F75" i="15"/>
  <c r="G58" i="15"/>
  <c r="F58" i="15"/>
  <c r="D134" i="14"/>
  <c r="G68" i="14"/>
  <c r="F68" i="14"/>
  <c r="G60" i="14"/>
  <c r="F60" i="14"/>
  <c r="G85" i="13"/>
  <c r="F85" i="13"/>
  <c r="D151" i="13" s="1"/>
  <c r="G71" i="13"/>
  <c r="F71" i="13"/>
  <c r="F72" i="12"/>
  <c r="G70" i="12"/>
  <c r="G72" i="12" s="1"/>
  <c r="F70" i="12"/>
  <c r="G53" i="12"/>
  <c r="F53" i="12"/>
  <c r="F165" i="11"/>
  <c r="G165" i="11" s="1"/>
  <c r="F135" i="11"/>
  <c r="G133" i="11"/>
  <c r="G135" i="11" s="1"/>
  <c r="F133" i="11"/>
  <c r="G107" i="11"/>
  <c r="F107" i="11"/>
  <c r="G104" i="11"/>
  <c r="G103" i="11"/>
  <c r="G102" i="11"/>
  <c r="G101" i="11"/>
  <c r="G100" i="11"/>
  <c r="G99" i="11"/>
  <c r="G98" i="11"/>
  <c r="G97" i="11"/>
  <c r="G96" i="11"/>
  <c r="G95" i="11"/>
  <c r="G94" i="11"/>
  <c r="G93" i="11"/>
  <c r="G92" i="11"/>
  <c r="G91" i="11"/>
  <c r="G90" i="11"/>
  <c r="G89" i="11"/>
  <c r="G88" i="11"/>
  <c r="G87" i="11"/>
  <c r="G86" i="11"/>
  <c r="G85" i="11"/>
  <c r="G84" i="11"/>
  <c r="D138" i="10"/>
  <c r="F55" i="10"/>
  <c r="F52" i="10"/>
  <c r="F11" i="10"/>
  <c r="F166" i="9"/>
  <c r="F83" i="9"/>
  <c r="F84" i="9" s="1"/>
  <c r="F43" i="9"/>
  <c r="F12" i="9"/>
  <c r="I189" i="8"/>
  <c r="F189" i="8"/>
  <c r="F158" i="8"/>
  <c r="G158" i="8" s="1"/>
  <c r="G106" i="8"/>
  <c r="F106"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J219" i="7"/>
  <c r="F219" i="7"/>
  <c r="F77" i="7"/>
  <c r="F76" i="7"/>
  <c r="G67" i="7"/>
  <c r="F67" i="7"/>
  <c r="D196" i="7" s="1"/>
  <c r="F39" i="7"/>
  <c r="F16" i="7"/>
  <c r="F60" i="7" s="1"/>
  <c r="D149" i="6"/>
  <c r="G138" i="6"/>
  <c r="F138" i="6"/>
  <c r="G91" i="6"/>
  <c r="F91" i="6"/>
  <c r="G118" i="4"/>
  <c r="G116" i="4"/>
  <c r="F116" i="4"/>
  <c r="F118" i="4" s="1"/>
  <c r="G99" i="4"/>
  <c r="F99" i="4"/>
  <c r="D92" i="3"/>
  <c r="D134" i="1"/>
  <c r="F82" i="7" l="1"/>
  <c r="F186" i="7" s="1"/>
  <c r="G233" i="7" s="1"/>
  <c r="F62" i="10"/>
  <c r="F83" i="10" s="1"/>
  <c r="F128" i="10" s="1"/>
  <c r="G52" i="10" s="1"/>
  <c r="F68" i="9"/>
  <c r="F101" i="9" s="1"/>
  <c r="F167" i="9" s="1"/>
  <c r="G94" i="9" l="1"/>
  <c r="G93" i="9"/>
  <c r="G91" i="9"/>
  <c r="G98" i="9"/>
  <c r="G90" i="9"/>
  <c r="G97" i="9"/>
  <c r="G89" i="9"/>
  <c r="G166" i="9"/>
  <c r="G95" i="9"/>
  <c r="G87" i="9"/>
  <c r="G92" i="9"/>
  <c r="G96" i="9"/>
  <c r="G88" i="9"/>
  <c r="G12" i="9"/>
  <c r="G83" i="9"/>
  <c r="G84" i="9" s="1"/>
  <c r="G43" i="9"/>
  <c r="G76" i="7"/>
  <c r="G77" i="7" s="1"/>
  <c r="G16" i="7"/>
  <c r="G39" i="7"/>
  <c r="G11" i="10"/>
  <c r="G55" i="10"/>
  <c r="G127" i="10"/>
  <c r="G99" i="9" l="1"/>
  <c r="G68" i="9"/>
  <c r="G101" i="9" s="1"/>
  <c r="G167" i="9" s="1"/>
  <c r="G62" i="10"/>
  <c r="G83" i="10" s="1"/>
  <c r="G128" i="10" s="1"/>
  <c r="G60" i="7"/>
  <c r="G82" i="7"/>
  <c r="G186" i="7" s="1"/>
</calcChain>
</file>

<file path=xl/sharedStrings.xml><?xml version="1.0" encoding="utf-8"?>
<sst xmlns="http://schemas.openxmlformats.org/spreadsheetml/2006/main" count="6476" uniqueCount="1106">
  <si>
    <t>SUNDARAM MUTUAL FUND</t>
  </si>
  <si>
    <t>Index</t>
  </si>
  <si>
    <t>Sundaram Infrastructure Advantage Fund</t>
  </si>
  <si>
    <t>Monthly Portfolio Statement for the month ended 31 December 2025</t>
  </si>
  <si>
    <t>SL No</t>
  </si>
  <si>
    <t>ISIN Code</t>
  </si>
  <si>
    <t>Name of the instrument</t>
  </si>
  <si>
    <t>Rating / 
Industry</t>
  </si>
  <si>
    <t>Quantity</t>
  </si>
  <si>
    <t>Mkt Value
Rs. in Lacs</t>
  </si>
  <si>
    <t>% of Net Asset</t>
  </si>
  <si>
    <t>YTM (%)</t>
  </si>
  <si>
    <t>A) Equity &amp; Equity Related</t>
  </si>
  <si>
    <t>(a) Listed / awaiting listing on Stock Exchange</t>
  </si>
  <si>
    <t>INE397D01024</t>
  </si>
  <si>
    <t>Bharti Airtel Ltd</t>
  </si>
  <si>
    <t>Telecom - Services</t>
  </si>
  <si>
    <t>INE018A01030</t>
  </si>
  <si>
    <t>Larsen &amp; Toubro Ltd</t>
  </si>
  <si>
    <t>Construction</t>
  </si>
  <si>
    <t>INE002A01018</t>
  </si>
  <si>
    <t>Reliance Industries Ltd</t>
  </si>
  <si>
    <t>Petroleum Products</t>
  </si>
  <si>
    <t>INE733E01010</t>
  </si>
  <si>
    <t>NTPC LTD</t>
  </si>
  <si>
    <t>Power</t>
  </si>
  <si>
    <t>INE481G01011</t>
  </si>
  <si>
    <t>Ultratech Cement Ltd</t>
  </si>
  <si>
    <t>Cement &amp; Cement Products</t>
  </si>
  <si>
    <t>INE263A01024</t>
  </si>
  <si>
    <t>Bharat Electronics Ltd</t>
  </si>
  <si>
    <t>Aerospace &amp; Defense</t>
  </si>
  <si>
    <t>INE029A01011</t>
  </si>
  <si>
    <t>Bharat Petroleum Corporation Ltd</t>
  </si>
  <si>
    <t>INE752E01010</t>
  </si>
  <si>
    <t>Power Grid Corporation of India Ltd</t>
  </si>
  <si>
    <t>INE062A01020</t>
  </si>
  <si>
    <t>State Bank of India</t>
  </si>
  <si>
    <t>Banks</t>
  </si>
  <si>
    <t>INE090A01021</t>
  </si>
  <si>
    <t>ICICI Bank Ltd</t>
  </si>
  <si>
    <t>INE284S01014</t>
  </si>
  <si>
    <t>S.J.S. Enterprises Ltd</t>
  </si>
  <si>
    <t>Auto Components</t>
  </si>
  <si>
    <t>INE220B01022</t>
  </si>
  <si>
    <t>Kalpataru Projects International Ltd</t>
  </si>
  <si>
    <t>INE200A01026</t>
  </si>
  <si>
    <t>GE Vernova T and D India Ltd</t>
  </si>
  <si>
    <t>Electrical Equipment</t>
  </si>
  <si>
    <t>INE245A01021</t>
  </si>
  <si>
    <t>TATA Power Company Ltd</t>
  </si>
  <si>
    <t>INE284A01012</t>
  </si>
  <si>
    <t>ESAB India Ltd</t>
  </si>
  <si>
    <t>Industrial Products</t>
  </si>
  <si>
    <t>INE742F01042</t>
  </si>
  <si>
    <t>Adani Ports and Special Economic Zone Ltd</t>
  </si>
  <si>
    <t>Transport Infrastructure</t>
  </si>
  <si>
    <t>INE298A01020</t>
  </si>
  <si>
    <t>Cummins India Ltd</t>
  </si>
  <si>
    <t>INE342J01019</t>
  </si>
  <si>
    <t>ZF Commercial Vehicle Control Systems I Ltd</t>
  </si>
  <si>
    <t>INE878B01027</t>
  </si>
  <si>
    <t>KEI Industries Ltd</t>
  </si>
  <si>
    <t>INE371P01015</t>
  </si>
  <si>
    <t>Amber Enterprises India Ltd</t>
  </si>
  <si>
    <t>Consumer Durables</t>
  </si>
  <si>
    <t>INE146L01010</t>
  </si>
  <si>
    <t>Kirloskar Oil Engines Ltd</t>
  </si>
  <si>
    <t>INE121J01017</t>
  </si>
  <si>
    <t>Indus Towers Ltd (Prev Bharti Infratel Ltd)</t>
  </si>
  <si>
    <t>INE213A01029</t>
  </si>
  <si>
    <t>Oil &amp; Natural Gas Corporation Ltd</t>
  </si>
  <si>
    <t>Oil</t>
  </si>
  <si>
    <t>INE040H01021</t>
  </si>
  <si>
    <t>Suzlon Energy Ltd</t>
  </si>
  <si>
    <t>INE07Y701011</t>
  </si>
  <si>
    <t>Hitachi Energy India Ltd</t>
  </si>
  <si>
    <t>INE646L01027</t>
  </si>
  <si>
    <t>Interglobe Aviation Ltd</t>
  </si>
  <si>
    <t>Transport Services</t>
  </si>
  <si>
    <t>INE00LO01017</t>
  </si>
  <si>
    <t>Craftsman Automation Ltd</t>
  </si>
  <si>
    <t>INE343G01021</t>
  </si>
  <si>
    <t>Bharti Hexacom Ltd</t>
  </si>
  <si>
    <t>INE999A01023</t>
  </si>
  <si>
    <t>KSB LTD</t>
  </si>
  <si>
    <t>INE813H01021</t>
  </si>
  <si>
    <t>Torrent Power Ltd</t>
  </si>
  <si>
    <t>INE419M01027</t>
  </si>
  <si>
    <t>TD Power Systems Ltd</t>
  </si>
  <si>
    <t>INE823G01014</t>
  </si>
  <si>
    <t>JK Cement Ltd</t>
  </si>
  <si>
    <t>INE129A01019</t>
  </si>
  <si>
    <t>GAIL (India) Ltd</t>
  </si>
  <si>
    <t>Gas</t>
  </si>
  <si>
    <t>INE791I01019</t>
  </si>
  <si>
    <t>Brigade Enterprises Ltd</t>
  </si>
  <si>
    <t>Realty</t>
  </si>
  <si>
    <t>INE148O01028</t>
  </si>
  <si>
    <t>Delhivery Ltd</t>
  </si>
  <si>
    <t>INE003A01024</t>
  </si>
  <si>
    <t>Siemens Ltd</t>
  </si>
  <si>
    <t>INE671H01015</t>
  </si>
  <si>
    <t>Sobha Ltd</t>
  </si>
  <si>
    <t>INE079A01024</t>
  </si>
  <si>
    <t>Ambuja Cements Ltd</t>
  </si>
  <si>
    <t>INE513A01022</t>
  </si>
  <si>
    <t>Schaeffler India Ltd</t>
  </si>
  <si>
    <t>INE257A01026</t>
  </si>
  <si>
    <t>Bharat Heavy Electricals Ltd</t>
  </si>
  <si>
    <t>INE152M01016</t>
  </si>
  <si>
    <t>Triveni Turbine Ltd</t>
  </si>
  <si>
    <t>INE437A01024</t>
  </si>
  <si>
    <t>Apollo Hospitals Enterprise Ltd</t>
  </si>
  <si>
    <t>Healthcare Services</t>
  </si>
  <si>
    <t>INE205B01031</t>
  </si>
  <si>
    <t>Elecon Engineering Company Ltd</t>
  </si>
  <si>
    <t>INE117A01022</t>
  </si>
  <si>
    <t>ABB India Ltd</t>
  </si>
  <si>
    <t>INE811A01020</t>
  </si>
  <si>
    <t>Kirlosakar Pneumatic Company Ltd</t>
  </si>
  <si>
    <t>INE152A01029</t>
  </si>
  <si>
    <t>Thermax Ltd</t>
  </si>
  <si>
    <t>INE111A01025</t>
  </si>
  <si>
    <t>Container Corporation of India Ltd</t>
  </si>
  <si>
    <t>INE926X01010</t>
  </si>
  <si>
    <t>H.G. Infra Engineering Ltd</t>
  </si>
  <si>
    <t>INE749A01030</t>
  </si>
  <si>
    <t>Jindal Steel &amp; Power Ltd</t>
  </si>
  <si>
    <t>Ferrous Metals</t>
  </si>
  <si>
    <t>INE935N01020</t>
  </si>
  <si>
    <t>Dixon Technologies (India) Ltd</t>
  </si>
  <si>
    <t>INE868B01028</t>
  </si>
  <si>
    <t>NCC Ltd</t>
  </si>
  <si>
    <t>INE1NPP01017</t>
  </si>
  <si>
    <t>Siemens Energy India Limited</t>
  </si>
  <si>
    <t>INE074A01025</t>
  </si>
  <si>
    <t>Praj Industries Ltd</t>
  </si>
  <si>
    <t>Industrial Manufacturing</t>
  </si>
  <si>
    <t>Sub Total</t>
  </si>
  <si>
    <t>(b) Overseas Security</t>
  </si>
  <si>
    <t xml:space="preserve">0 </t>
  </si>
  <si>
    <t>(c) Privately Placed / Unlisted</t>
  </si>
  <si>
    <t>INE551A01022</t>
  </si>
  <si>
    <t>Hindustan Dorr Oliver Ltd @</t>
  </si>
  <si>
    <t>Engineering Services</t>
  </si>
  <si>
    <t>#</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</si>
  <si>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</si>
  <si>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</si>
  <si>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</si>
  <si>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</si>
  <si>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</si>
  <si>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</si>
  <si>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</si>
  <si>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</si>
  <si>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</si>
  <si>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</si>
  <si>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</si>
  <si>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</si>
  <si>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</si>
  <si>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</si>
  <si>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</si>
  <si>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</si>
  <si>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</si>
  <si>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</si>
  <si>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</si>
  <si>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</si>
  <si>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</si>
  <si>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</si>
  <si>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</si>
  <si>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</si>
  <si>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</si>
  <si>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</si>
  <si>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</si>
  <si>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</si>
  <si>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</si>
  <si>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</si>
  <si>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</si>
  <si>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</si>
  <si>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</si>
  <si>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</si>
  <si>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</si>
  <si>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</si>
  <si>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</si>
  <si>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</si>
  <si>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</si>
  <si>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</si>
  <si>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</si>
  <si>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</si>
  <si>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</si>
  <si>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</si>
  <si>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</si>
  <si>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</si>
  <si>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</si>
  <si>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Infrastructure TRI</t>
  </si>
  <si>
    <t>Sundaram Global Brand Theme-Equity Active FOF</t>
  </si>
  <si>
    <t xml:space="preserve"> (a) Investments in Foreign Securities - Units of Mutual Funds</t>
  </si>
  <si>
    <t>SG9999013908</t>
  </si>
  <si>
    <t>Sundaram Global Brand Fund - Master Class</t>
  </si>
  <si>
    <t>Direct Plan - Dividend</t>
  </si>
  <si>
    <t>Regular Plan - Dividend</t>
  </si>
  <si>
    <t>d) Dividend declared during the period (Rupees per unit)</t>
  </si>
  <si>
    <t xml:space="preserve">                    MSCI ACWI TRI</t>
  </si>
  <si>
    <t>Sundaram Mid Cap Fund</t>
  </si>
  <si>
    <t>INE774D01024</t>
  </si>
  <si>
    <t>Mahindra &amp; Mahindra Financial Services Ltd</t>
  </si>
  <si>
    <t>Finance</t>
  </si>
  <si>
    <t>INE169A01031</t>
  </si>
  <si>
    <t>Coromandel International Ltd</t>
  </si>
  <si>
    <t>Fertilizers &amp; Agrochemicals</t>
  </si>
  <si>
    <t>INE092T01019</t>
  </si>
  <si>
    <t>IDFC First Bank Ltd</t>
  </si>
  <si>
    <t>INE171A01029</t>
  </si>
  <si>
    <t>The Federal Bank Ltd</t>
  </si>
  <si>
    <t>INE094A01015</t>
  </si>
  <si>
    <t>Hindustan Petroleum Corporation Ltd</t>
  </si>
  <si>
    <t>INE303R01014</t>
  </si>
  <si>
    <t>Kalyan Jewellers India Ltd</t>
  </si>
  <si>
    <t>INE196A01026</t>
  </si>
  <si>
    <t>Marico Ltd</t>
  </si>
  <si>
    <t>Agricultural Food &amp; Other Products</t>
  </si>
  <si>
    <t>INE417T01026</t>
  </si>
  <si>
    <t>PB Fintech Ltd</t>
  </si>
  <si>
    <t>Financial Technology (Fintech)</t>
  </si>
  <si>
    <t>INE211B01039</t>
  </si>
  <si>
    <t>The Phoenix Mills Ltd</t>
  </si>
  <si>
    <t>INE061F01013</t>
  </si>
  <si>
    <t>Fortis Health Care Ltd</t>
  </si>
  <si>
    <t>INE591G01025</t>
  </si>
  <si>
    <t>Coforge Ltd</t>
  </si>
  <si>
    <t>It - Software</t>
  </si>
  <si>
    <t>INE562A01011</t>
  </si>
  <si>
    <t>Indian Bank</t>
  </si>
  <si>
    <t>INE118H01025</t>
  </si>
  <si>
    <t>BSE Ltd</t>
  </si>
  <si>
    <t>Capital Markets</t>
  </si>
  <si>
    <t>INE262H01021</t>
  </si>
  <si>
    <t>Persistent Systems Ltd</t>
  </si>
  <si>
    <t>INE797F01020</t>
  </si>
  <si>
    <t>Jubilant Foodworks Ltd</t>
  </si>
  <si>
    <t>Leisure Services</t>
  </si>
  <si>
    <t>INE326A01037</t>
  </si>
  <si>
    <t>Lupin Ltd</t>
  </si>
  <si>
    <t>Pharmaceuticals &amp; Biotechnology</t>
  </si>
  <si>
    <t>INE949L01017</t>
  </si>
  <si>
    <t>AU Small Finance Bank Ltd</t>
  </si>
  <si>
    <t>INE105A01035</t>
  </si>
  <si>
    <t>TVS Holdings Ltd</t>
  </si>
  <si>
    <t>INE455K01017</t>
  </si>
  <si>
    <t>Polycab India Ltd</t>
  </si>
  <si>
    <t>INE494B01023</t>
  </si>
  <si>
    <t>TVS Motor Company Ltd</t>
  </si>
  <si>
    <t>Automobiles</t>
  </si>
  <si>
    <t>INE466L01038</t>
  </si>
  <si>
    <t>360 ONE WAM Ltd (Prev IIFL Wealth Management Ltd)</t>
  </si>
  <si>
    <t>INE686F01025</t>
  </si>
  <si>
    <t>United Breweries Ltd</t>
  </si>
  <si>
    <t>Beverages</t>
  </si>
  <si>
    <t>INE427F01016</t>
  </si>
  <si>
    <t>Chalet Hotels Ltd</t>
  </si>
  <si>
    <t>INE438A01022</t>
  </si>
  <si>
    <t>Apollo Tyres Ltd</t>
  </si>
  <si>
    <t>INE027H01010</t>
  </si>
  <si>
    <t>Max Healthcare Institute Ltd</t>
  </si>
  <si>
    <t>INE600L01024</t>
  </si>
  <si>
    <t>Dr Lal Path Labs Ltd</t>
  </si>
  <si>
    <t>INE540L01014</t>
  </si>
  <si>
    <t>Alkem Laboratories Ltd</t>
  </si>
  <si>
    <t>INE338I01027</t>
  </si>
  <si>
    <t>Motilal Oswal Financial Services Ltd</t>
  </si>
  <si>
    <t>INE073K01018</t>
  </si>
  <si>
    <t>Sona BLW Precision Forgings Ltd</t>
  </si>
  <si>
    <t>INE010V01017</t>
  </si>
  <si>
    <t>L&amp;T Technology Services Ltd</t>
  </si>
  <si>
    <t>It - Services</t>
  </si>
  <si>
    <t>INE115A01026</t>
  </si>
  <si>
    <t>LIC Housing Finance Ltd</t>
  </si>
  <si>
    <t>INE068V01023</t>
  </si>
  <si>
    <t>Gland Pharma Ltd</t>
  </si>
  <si>
    <t>INE259A01022</t>
  </si>
  <si>
    <t>Colgate Palmolive (India) Ltd</t>
  </si>
  <si>
    <t>Personal Products</t>
  </si>
  <si>
    <t>INE811K01011</t>
  </si>
  <si>
    <t>Prestige Estates Projects Ltd</t>
  </si>
  <si>
    <t>INE405E01023</t>
  </si>
  <si>
    <t>UNO Minda Ltd</t>
  </si>
  <si>
    <t>INE095A01012</t>
  </si>
  <si>
    <t>IndusInd Bank Ltd</t>
  </si>
  <si>
    <t>INE180A01020</t>
  </si>
  <si>
    <t>Max Financial Services Ltd</t>
  </si>
  <si>
    <t>Insurance</t>
  </si>
  <si>
    <t>INE179A01014</t>
  </si>
  <si>
    <t>Procter &amp; Gamble Hygiene and Health Care Ltd</t>
  </si>
  <si>
    <t>INE548C01032</t>
  </si>
  <si>
    <t>Emami Ltd</t>
  </si>
  <si>
    <t>INE702C01027</t>
  </si>
  <si>
    <t>APL Apollo Tubes Ltd</t>
  </si>
  <si>
    <t>INE288B01029</t>
  </si>
  <si>
    <t>Deepak Nitrite Ltd</t>
  </si>
  <si>
    <t>Chemicals &amp; Petrochemicals</t>
  </si>
  <si>
    <t>INE195A01028</t>
  </si>
  <si>
    <t>Supreme Industries Ltd</t>
  </si>
  <si>
    <t>INE634S01028</t>
  </si>
  <si>
    <t>Mankind Pharma Ltd</t>
  </si>
  <si>
    <t>INE093I01010</t>
  </si>
  <si>
    <t>Oberoi Realty Ltd</t>
  </si>
  <si>
    <t>INE848E01016</t>
  </si>
  <si>
    <t>NHPC Ltd</t>
  </si>
  <si>
    <t>INE872J01023</t>
  </si>
  <si>
    <t>Devyani international limited</t>
  </si>
  <si>
    <t>INE0HOQ01053</t>
  </si>
  <si>
    <t>Billionbrains Garage Ventures Ltd</t>
  </si>
  <si>
    <t>INE974X01010</t>
  </si>
  <si>
    <t>Tube Investments of India Ltd</t>
  </si>
  <si>
    <t>INE00R701025</t>
  </si>
  <si>
    <t>Dalmia Cement (Bharat) Ltd.</t>
  </si>
  <si>
    <t>INE603J01030</t>
  </si>
  <si>
    <t>PI Industries Ltd</t>
  </si>
  <si>
    <t>INE246F01010</t>
  </si>
  <si>
    <t>Gujarat State Petronet Ltd</t>
  </si>
  <si>
    <t>INE536A01023</t>
  </si>
  <si>
    <t>Grindwell Norton Ltd</t>
  </si>
  <si>
    <t>INE388Y01029</t>
  </si>
  <si>
    <t>FSN E–Commerce Ventures Ltd(NYKAA)</t>
  </si>
  <si>
    <t>Retailing</t>
  </si>
  <si>
    <t>INE065X01017</t>
  </si>
  <si>
    <t>Indegene Limited</t>
  </si>
  <si>
    <t>INE007A01025</t>
  </si>
  <si>
    <t>CRISIL Ltd</t>
  </si>
  <si>
    <t>INE663F01032</t>
  </si>
  <si>
    <t>Info Edge (India) Ltd</t>
  </si>
  <si>
    <t>INE463A01038</t>
  </si>
  <si>
    <t>Berger Paints (I) Ltd</t>
  </si>
  <si>
    <t>INE010B01027</t>
  </si>
  <si>
    <t>Zydus Lifesciences Ltd</t>
  </si>
  <si>
    <t>INE640A01023</t>
  </si>
  <si>
    <t>SKF India Ltd</t>
  </si>
  <si>
    <t>INE721A01047</t>
  </si>
  <si>
    <t>Shriram Finance Ltd</t>
  </si>
  <si>
    <t>INE346A01027</t>
  </si>
  <si>
    <t>ICICI Prudential Asset Management Company Ltd</t>
  </si>
  <si>
    <t>(e) Non-Convertible Preference Shares</t>
  </si>
  <si>
    <t>INE494B04019</t>
  </si>
  <si>
    <t>TVS Motor Company Ltd 6.00% (Preference Share) 01-Sep-2026**</t>
  </si>
  <si>
    <t>INF173K01GU0</t>
  </si>
  <si>
    <t>Sundaram Liquid Fund - Direct Growth*</t>
  </si>
  <si>
    <t>Tier II Benchmark Riskometer :</t>
  </si>
  <si>
    <t xml:space="preserve">                        Nifty Mid Cap 150 TRI</t>
  </si>
  <si>
    <t xml:space="preserve">                            Nifty Mid Cap 100 TRI</t>
  </si>
  <si>
    <t>Sundaram Large and Mid Cap Fund</t>
  </si>
  <si>
    <t>INE040A01034</t>
  </si>
  <si>
    <t>HDFC Bank Ltd</t>
  </si>
  <si>
    <t>INE238A01034</t>
  </si>
  <si>
    <t>Axis Bank Ltd</t>
  </si>
  <si>
    <t>INE009A01021</t>
  </si>
  <si>
    <t>Infosys Ltd</t>
  </si>
  <si>
    <t>INE237A01028</t>
  </si>
  <si>
    <t>Kotak Mahindra Bank Ltd</t>
  </si>
  <si>
    <t>INE101A01026</t>
  </si>
  <si>
    <t>Mahindra &amp; Mahindra Ltd</t>
  </si>
  <si>
    <t>INE028A01039</t>
  </si>
  <si>
    <t>Bank of Baroda</t>
  </si>
  <si>
    <t>INE745G01035</t>
  </si>
  <si>
    <t>Multi Commodity Exchange of India Ltd</t>
  </si>
  <si>
    <t>INE066F01020</t>
  </si>
  <si>
    <t>Hindustan Aeronautics Ltd</t>
  </si>
  <si>
    <t>INE296A01032</t>
  </si>
  <si>
    <t>Bajaj Finance Ltd</t>
  </si>
  <si>
    <t>INE00WC01027</t>
  </si>
  <si>
    <t>Affle (India) Ltd</t>
  </si>
  <si>
    <t>INE121A01024</t>
  </si>
  <si>
    <t>Cholamandalam Investment and Finance Company Ltd</t>
  </si>
  <si>
    <t>INE044A01036</t>
  </si>
  <si>
    <t>Sun Pharmaceutical Industries Ltd</t>
  </si>
  <si>
    <t>INE758T01015</t>
  </si>
  <si>
    <t>Zomato Ltd</t>
  </si>
  <si>
    <t>INE1TAE01010</t>
  </si>
  <si>
    <t>TATA Motors Ltd</t>
  </si>
  <si>
    <t>Agricultural, Commercial &amp; Construction Vehicles</t>
  </si>
  <si>
    <t>INE042A01014</t>
  </si>
  <si>
    <t>Escorts Kubota Ltd</t>
  </si>
  <si>
    <t>INE324D01010</t>
  </si>
  <si>
    <t>LG Electronics India Ltd</t>
  </si>
  <si>
    <t>Sundaram Liquid Fund - Direct Growth</t>
  </si>
  <si>
    <t xml:space="preserve">           Nifty Large Mid Cap 250 TRI</t>
  </si>
  <si>
    <t>Sundaram Small Cap Fund</t>
  </si>
  <si>
    <t>INE864I01014</t>
  </si>
  <si>
    <t>MTAR Technologies Ltd</t>
  </si>
  <si>
    <t>INE914M01019</t>
  </si>
  <si>
    <t>Aster DM Healthcare Ltd</t>
  </si>
  <si>
    <t>INE0CLI01024</t>
  </si>
  <si>
    <t>Rate Gain Travel Technologies Ltd</t>
  </si>
  <si>
    <t>INE126A01031</t>
  </si>
  <si>
    <t>EID Parry India Ltd</t>
  </si>
  <si>
    <t>Food Products</t>
  </si>
  <si>
    <t>INE429E01023</t>
  </si>
  <si>
    <t>Safari Industries (India) Ltd</t>
  </si>
  <si>
    <t>INE572E01012</t>
  </si>
  <si>
    <t>PNB Housing Finance Ltd</t>
  </si>
  <si>
    <t>INE503A01015</t>
  </si>
  <si>
    <t>DCB Bank Ltd</t>
  </si>
  <si>
    <t>INE551W01018</t>
  </si>
  <si>
    <t>Ujjivan Small Finance Bank Ltd</t>
  </si>
  <si>
    <t>INE149A01033</t>
  </si>
  <si>
    <t>Cholamandalam Financial Holdings Ltd</t>
  </si>
  <si>
    <t>INE679A01013</t>
  </si>
  <si>
    <t>CSB Bank Ltd</t>
  </si>
  <si>
    <t>INE794A01010</t>
  </si>
  <si>
    <t>Neuland Laboratories Ltd</t>
  </si>
  <si>
    <t>INE063P01018</t>
  </si>
  <si>
    <t>Equitas Small Finance Bank Limited</t>
  </si>
  <si>
    <t>INE987B01026</t>
  </si>
  <si>
    <t>Natco Pharma Ltd</t>
  </si>
  <si>
    <t>INE119A01028</t>
  </si>
  <si>
    <t>Balrampur Chini Mills Ltd</t>
  </si>
  <si>
    <t>INE0UOS01011</t>
  </si>
  <si>
    <t>Sanofi Consumer Healthcare India Ltd</t>
  </si>
  <si>
    <t>INE743M01012</t>
  </si>
  <si>
    <t>RHI Magnesita India Ltd</t>
  </si>
  <si>
    <t>INE732I01013</t>
  </si>
  <si>
    <t>Angel One Ltd</t>
  </si>
  <si>
    <t>INE08ZM01014</t>
  </si>
  <si>
    <t>Green Panel Industries Ltd</t>
  </si>
  <si>
    <t>INE456Z01021</t>
  </si>
  <si>
    <t>Medi Assist Healthcare Services Ltd</t>
  </si>
  <si>
    <t>INE177F01017</t>
  </si>
  <si>
    <t>Kovai Medical Center &amp; Hospital Ltd</t>
  </si>
  <si>
    <t>INE011K01018</t>
  </si>
  <si>
    <t>Tega Industries Ltd</t>
  </si>
  <si>
    <t>INE411H01032</t>
  </si>
  <si>
    <t>R Systems International Ltd</t>
  </si>
  <si>
    <t>INE274F01020</t>
  </si>
  <si>
    <t>Westlife Foodworld Ltd</t>
  </si>
  <si>
    <t>INE570A01022</t>
  </si>
  <si>
    <t>Ion Exchange (India) Ltd</t>
  </si>
  <si>
    <t>Other Utilities</t>
  </si>
  <si>
    <t>INE482A01020</t>
  </si>
  <si>
    <t>Ceat Ltd</t>
  </si>
  <si>
    <t>INE136S01016</t>
  </si>
  <si>
    <t>Neogen Chemicals Ltd</t>
  </si>
  <si>
    <t>INE0JA001018</t>
  </si>
  <si>
    <t>Venus Pipes &amp; Tubes Ltd</t>
  </si>
  <si>
    <t>INE00F201020</t>
  </si>
  <si>
    <t>Prudent Corporate Advisory Services Ltd</t>
  </si>
  <si>
    <t>INE602W01027</t>
  </si>
  <si>
    <t>Senco Gold Ltd</t>
  </si>
  <si>
    <t>INE136B01020</t>
  </si>
  <si>
    <t>Cyient Ltd</t>
  </si>
  <si>
    <t>INE340A01012</t>
  </si>
  <si>
    <t>Birla Corporation Ltd</t>
  </si>
  <si>
    <t>INE386D01027</t>
  </si>
  <si>
    <t>Shivalik Bimetal Controls Ltd</t>
  </si>
  <si>
    <t>INE094J01016</t>
  </si>
  <si>
    <t>UTI Asset Management Co Ltd</t>
  </si>
  <si>
    <t>INE142Z01019</t>
  </si>
  <si>
    <t>Orient Electric Ltd</t>
  </si>
  <si>
    <t>INE572A01036</t>
  </si>
  <si>
    <t>JB Chemicals &amp; Pharmaceuticals Ltd</t>
  </si>
  <si>
    <t>INE191H01014</t>
  </si>
  <si>
    <t>PVR INOX Ltd</t>
  </si>
  <si>
    <t>Entertainment</t>
  </si>
  <si>
    <t>INE930H01031</t>
  </si>
  <si>
    <t>K.P.R. Mill Ltd</t>
  </si>
  <si>
    <t>Textiles &amp; Apparels</t>
  </si>
  <si>
    <t>INE120A01034</t>
  </si>
  <si>
    <t>Carborundum Universal Ltd</t>
  </si>
  <si>
    <t>INE845D01014</t>
  </si>
  <si>
    <t>Ganesha Ecosphere Ltd</t>
  </si>
  <si>
    <t>INE2J8701016</t>
  </si>
  <si>
    <t>SKF India (Industrial) Ltd</t>
  </si>
  <si>
    <t>INE02YR01019</t>
  </si>
  <si>
    <t>Electronics Mart India Ltd</t>
  </si>
  <si>
    <t>INE836A01035</t>
  </si>
  <si>
    <t>Birlasoft Ltd</t>
  </si>
  <si>
    <t>INE048G01026</t>
  </si>
  <si>
    <t>Navin Fluorine International Ltd</t>
  </si>
  <si>
    <t>Amber Enterprises India Ltd JAN-2026</t>
  </si>
  <si>
    <t>Stock Future</t>
  </si>
  <si>
    <t>INF903JA1FR6</t>
  </si>
  <si>
    <t>Sundaram Money Market Fund-Direct Plan - Growth*</t>
  </si>
  <si>
    <t>Margin Money For Derivatives</t>
  </si>
  <si>
    <t>Annexure-A</t>
  </si>
  <si>
    <t xml:space="preserve">           Nifty Small Cap 250 TRI</t>
  </si>
  <si>
    <t xml:space="preserve">           Nifty Small Cap 100 TRI</t>
  </si>
  <si>
    <t>Sundaram Aggressive Hybrid Fund</t>
  </si>
  <si>
    <t>YTM (%) *</t>
  </si>
  <si>
    <t>Yield to call date %</t>
  </si>
  <si>
    <t>INE860A01027</t>
  </si>
  <si>
    <t>HCL Technologies Ltd</t>
  </si>
  <si>
    <t>INE041025011</t>
  </si>
  <si>
    <t>Embassy Office Parks (REIT)</t>
  </si>
  <si>
    <t>INE030A01027</t>
  </si>
  <si>
    <t>Hindustan UniLever Ltd</t>
  </si>
  <si>
    <t>Diversified Fmcg</t>
  </si>
  <si>
    <t>INE134E01011</t>
  </si>
  <si>
    <t>Power Finance Corporation Ltd</t>
  </si>
  <si>
    <t>INE192A01025</t>
  </si>
  <si>
    <t>TATA Consumer Products Ltd</t>
  </si>
  <si>
    <t>INE585B01010</t>
  </si>
  <si>
    <t>Maruti Suzuki India Ltd</t>
  </si>
  <si>
    <t>INE885A01032</t>
  </si>
  <si>
    <t>Amara Raja Energy &amp; Mobility Ltd</t>
  </si>
  <si>
    <t>INE917I01010</t>
  </si>
  <si>
    <t>Bajaj Auto Ltd</t>
  </si>
  <si>
    <t>INE0FDU25010</t>
  </si>
  <si>
    <t>Brookfield India Real Estate Trust REIT</t>
  </si>
  <si>
    <t>INE481N01025</t>
  </si>
  <si>
    <t>Home First Finance Company Ltd</t>
  </si>
  <si>
    <t>INE854D01024</t>
  </si>
  <si>
    <t>United Spirits Ltd</t>
  </si>
  <si>
    <t>INE318A01026</t>
  </si>
  <si>
    <t>Pidilite Industries Ltd</t>
  </si>
  <si>
    <t>INE200M01039</t>
  </si>
  <si>
    <t>Varun Beverages Ltd</t>
  </si>
  <si>
    <t>INE849A01020</t>
  </si>
  <si>
    <t>Trent Ltd</t>
  </si>
  <si>
    <t>INE669C01036</t>
  </si>
  <si>
    <t>Tech Mahindra Ltd</t>
  </si>
  <si>
    <t>INE123W01016</t>
  </si>
  <si>
    <t>SBI Life Insurance Company Ltd</t>
  </si>
  <si>
    <t>INE203G01027</t>
  </si>
  <si>
    <t>Indraprastha Gas Ltd</t>
  </si>
  <si>
    <t>INE053A01029</t>
  </si>
  <si>
    <t>The Indian Hotels Company Ltd</t>
  </si>
  <si>
    <t>INE2KCE01013</t>
  </si>
  <si>
    <t>Kwality Wall’s (India) Ltd</t>
  </si>
  <si>
    <t>Other Consumer Services</t>
  </si>
  <si>
    <t>INE852S01026</t>
  </si>
  <si>
    <t>Chennai Super Kings Ltd @</t>
  </si>
  <si>
    <t>(f) Convertible Debenture</t>
  </si>
  <si>
    <t>INE121A08PJ0</t>
  </si>
  <si>
    <t>7.5% Cholamandalam Investment and Company Ltd - 30/09/2026</t>
  </si>
  <si>
    <t>Unrated</t>
  </si>
  <si>
    <t>INE261F08EM1</t>
  </si>
  <si>
    <t>National Bank for Agriculture &amp; Rural Development - 7.53% - 24/03/2028</t>
  </si>
  <si>
    <t>ICRA AAA</t>
  </si>
  <si>
    <t>INE261F08EO7</t>
  </si>
  <si>
    <t>National Bank for Agriculture &amp; Rural Development - 7.48% - 15/09/2028</t>
  </si>
  <si>
    <t>CRISIL AAA</t>
  </si>
  <si>
    <t>INE403D08298</t>
  </si>
  <si>
    <t>Bharti Telecom Ltd - 7.4% - 01/02/2029</t>
  </si>
  <si>
    <t>INE261F08EP4</t>
  </si>
  <si>
    <t>National Bank for Agriculture &amp; Rural Development - 6.66% - 12/10/2028</t>
  </si>
  <si>
    <t>INE121A07RZ4</t>
  </si>
  <si>
    <t>Cholamandalam Investment and Finance Company Ltd - 8.54% - 12/04/2029**</t>
  </si>
  <si>
    <t>ICRA AA+</t>
  </si>
  <si>
    <t>INE296A07SV1</t>
  </si>
  <si>
    <t>Bajaj Finance Ltd - 7.82% - 31/01/2034**</t>
  </si>
  <si>
    <t>INE134E08MB9</t>
  </si>
  <si>
    <t>Power Finance Corporation Ltd - 7.82% - 06/03/2038**</t>
  </si>
  <si>
    <t>INE115A07QH6</t>
  </si>
  <si>
    <t>LIC Housing Finance Ltd - 8.025% - 23/03/2033**</t>
  </si>
  <si>
    <t>INE403D08231</t>
  </si>
  <si>
    <t>Bharti Telecom Ltd - 8.65% - 05/11/2027**</t>
  </si>
  <si>
    <t>INE134E08MX3</t>
  </si>
  <si>
    <t>Power Finance Corporation Ltd - 7.6% - 13/04/2029**</t>
  </si>
  <si>
    <t>INE261F08DV4</t>
  </si>
  <si>
    <t>National Bank for Agriculture &amp; Rural Development - 7.62% - 31/01/2028</t>
  </si>
  <si>
    <t>INE556F08KR0</t>
  </si>
  <si>
    <t>Small Industries Development Bank of India - 7.47% - 05/09/2029**</t>
  </si>
  <si>
    <t>INE040A08955</t>
  </si>
  <si>
    <t>HDFC Bank Ltd - 7.7% - 16/05/2028**</t>
  </si>
  <si>
    <t>INE556F08KM1</t>
  </si>
  <si>
    <t>Small Industries Development Bank of India - 7.79% - 14/05/2027**</t>
  </si>
  <si>
    <t>INE115A07QZ8</t>
  </si>
  <si>
    <t>LIC Housing Finance Ltd - 7.74% - 22/10/2027</t>
  </si>
  <si>
    <t>INE020B08FF1</t>
  </si>
  <si>
    <t>REC LTD - 7.56% - 31/08/2027**</t>
  </si>
  <si>
    <t>INE414G07JQ6</t>
  </si>
  <si>
    <t>Muthoot Finance Ltd - 8.05% - 25/11/2027</t>
  </si>
  <si>
    <t>CRISIL AA+</t>
  </si>
  <si>
    <t>INE721A07RH9</t>
  </si>
  <si>
    <t>Shriram Finance Ltd - 8.75% - 15/06/2026**</t>
  </si>
  <si>
    <t>INE062A08488</t>
  </si>
  <si>
    <t>State Bank of India - 6.93% - 20/10/2035 (20/10/2030)**</t>
  </si>
  <si>
    <t>INE020B08FL9</t>
  </si>
  <si>
    <t>REC LTD - 7.34% - 30/04/2030**</t>
  </si>
  <si>
    <t>INE053F08338</t>
  </si>
  <si>
    <t>Indian Railway Finance Corporation Ltd - 7.68% - 24/11/2026**</t>
  </si>
  <si>
    <t>INE053F08296</t>
  </si>
  <si>
    <t>Indian Railway Finance Corporation Ltd - 7.74% - 15/04/2038**</t>
  </si>
  <si>
    <t>INE134E08MJ2</t>
  </si>
  <si>
    <t>Power Finance Corporation Ltd - 7.77% - 15/04/2028**</t>
  </si>
  <si>
    <t>INE414G07II5</t>
  </si>
  <si>
    <t>Muthoot Finance Ltd - 8.4% - 28/08/2028**</t>
  </si>
  <si>
    <t>INE556F08KS8</t>
  </si>
  <si>
    <t>Small Industries Development Bank of India - 7.34% - 26/02/2029**</t>
  </si>
  <si>
    <t>INE134E08MC7</t>
  </si>
  <si>
    <t>Power Finance Corporation Ltd - 7.77% - 15/07/2026**</t>
  </si>
  <si>
    <t>INE134E08NW3</t>
  </si>
  <si>
    <t>Power Finance Corporation Ltd - 6.73% - 15/10/2027**</t>
  </si>
  <si>
    <t>INE296A07TM8</t>
  </si>
  <si>
    <t>Bajaj Finance Ltd - 7.11% - 10/07/2028**</t>
  </si>
  <si>
    <t>INE115A07PI6</t>
  </si>
  <si>
    <t>LIC Housing Finance Ltd - 6.17% - 03/09/2026**</t>
  </si>
  <si>
    <t>INE572E07258</t>
  </si>
  <si>
    <t>PNB Housing Finance Ltd - 7.28% - 05/06/2028**</t>
  </si>
  <si>
    <t>CARE AA+</t>
  </si>
  <si>
    <t>INE053F08536</t>
  </si>
  <si>
    <t>Indian Railway Finance Corporation Ltd - 01/12/2035**</t>
  </si>
  <si>
    <t>INE572E07183</t>
  </si>
  <si>
    <t>PNB Housing Finance Ltd - 8.15% - 29/07/2027**</t>
  </si>
  <si>
    <t>INE556F08KP4</t>
  </si>
  <si>
    <t>Small Industries Development Bank of India - 7.68% - 10/08/2027**</t>
  </si>
  <si>
    <t>INE477A07415</t>
  </si>
  <si>
    <t>Can Fin Homes Ltd - 8.09% - 04/01/2027**</t>
  </si>
  <si>
    <t>INE756I07EN4</t>
  </si>
  <si>
    <t>HDB Financial Services Ltd - 7.84% - 14/07/2026**</t>
  </si>
  <si>
    <t>INE020B08EI8</t>
  </si>
  <si>
    <t>REC LTD - 7.51% - 31/07/2026**</t>
  </si>
  <si>
    <t>INE020B08EL2</t>
  </si>
  <si>
    <t>REC LTD - 7.44% - 30/04/2026**</t>
  </si>
  <si>
    <t>INE756I07FG5</t>
  </si>
  <si>
    <t>HDB Financial Services Ltd - 7.4091% - 05/06/2028**</t>
  </si>
  <si>
    <t>INE121A07SN8</t>
  </si>
  <si>
    <t>Cholamandalam Investment and Finance Company Ltd - 7.38% - 28/05/2027**</t>
  </si>
  <si>
    <t>INE134E08NU7</t>
  </si>
  <si>
    <t>Power Finance Corporation Ltd - 6.59% - 15/10/2030**</t>
  </si>
  <si>
    <t>IN0020240019</t>
  </si>
  <si>
    <t>7.10% Central Government Securities 08/04/2034*</t>
  </si>
  <si>
    <t>Sovereign</t>
  </si>
  <si>
    <t>IN0020250091</t>
  </si>
  <si>
    <t>6.48% Central Government Securities 06/10/2035</t>
  </si>
  <si>
    <t>IN0020240027</t>
  </si>
  <si>
    <t>7.23% Central Government Securities 15/04/2039*</t>
  </si>
  <si>
    <t>IN0020240126</t>
  </si>
  <si>
    <t>6.79% Central Government Securities 07/10/2034</t>
  </si>
  <si>
    <t>IN0020230077</t>
  </si>
  <si>
    <t>7.18%  Government Securities - 24/07/2037</t>
  </si>
  <si>
    <t>IN0020220011</t>
  </si>
  <si>
    <t>7.10% Central Government Securities 18/04/2029*</t>
  </si>
  <si>
    <t>IN0020230051</t>
  </si>
  <si>
    <t>7.30% Government Securities - 19/06/2053</t>
  </si>
  <si>
    <t>IN0020240035</t>
  </si>
  <si>
    <t>7.34% Central Government Securities 22/04/2064</t>
  </si>
  <si>
    <t>IN0020240076</t>
  </si>
  <si>
    <t>7.02% Central Government Securities 18/06/2031</t>
  </si>
  <si>
    <t>IN0020210160</t>
  </si>
  <si>
    <t>6.22% Central Government Securities_Floating Rate Bond - 04/10/2028 ~</t>
  </si>
  <si>
    <t>IN3120230484</t>
  </si>
  <si>
    <t>7.44% Tamil Nadu State Government Securities -20/03/2034</t>
  </si>
  <si>
    <t>IN1920230100</t>
  </si>
  <si>
    <t>7.72% Karnataka State Government Securities - 06/12/2035</t>
  </si>
  <si>
    <t>INE261F16926</t>
  </si>
  <si>
    <t>National Bank for Agriculture &amp; Rural Development - 04/02/2026</t>
  </si>
  <si>
    <t>CRISIL A1+</t>
  </si>
  <si>
    <t>INE238AD6AN0</t>
  </si>
  <si>
    <t>Axis Bank Ltd - 04/03/2026**</t>
  </si>
  <si>
    <t>INE562A16PZ4</t>
  </si>
  <si>
    <t>Indian Bank - 05/06/2026**</t>
  </si>
  <si>
    <t>INE238AD6AM2</t>
  </si>
  <si>
    <t>Axis Bank Ltd - 04/02/2026**</t>
  </si>
  <si>
    <t>INE556F14LT2</t>
  </si>
  <si>
    <t>Small Industries Development Bank of India - 03/06/2026**</t>
  </si>
  <si>
    <t>Sundaram Money Market Fund-Direct Plan - Growth</t>
  </si>
  <si>
    <t>Cash and Other Net Current Assets^</t>
  </si>
  <si>
    <t>Refer below point i)</t>
  </si>
  <si>
    <t>Direct Plan - Monthly IDCW</t>
  </si>
  <si>
    <t>Regular Plan - Monthly IDCW</t>
  </si>
  <si>
    <t>Individual &amp; HUF</t>
  </si>
  <si>
    <t>Others</t>
  </si>
  <si>
    <t>i) Exposure to securities classified as below investment grade or default as on 31-Dec-2025</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</si>
  <si>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</si>
  <si>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</si>
  <si>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</si>
  <si>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</si>
  <si>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</si>
  <si>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</si>
  <si>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</si>
  <si>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</si>
  <si>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</si>
  <si>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</si>
  <si>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</si>
  <si>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</si>
  <si>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</si>
  <si>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</si>
  <si>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</si>
  <si>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</si>
  <si>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https://www.sundarammutual.com/pdf2/2025/Rationale_for_Valuation/Update_on_Valuation_of_RoadStar_InVIT_Units_V1.pdf</t>
  </si>
  <si>
    <t>https://www.sundarammutual.com/pdf2/2025/Rationale_for_Valuation/Update_on_Valuation_of_RoadStar_InVIT_Units_22_Sep_2025.pdf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</si>
  <si>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</si>
  <si>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</si>
  <si>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</si>
  <si>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</si>
  <si>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</si>
  <si>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</si>
  <si>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</si>
  <si>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</si>
  <si>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</si>
  <si>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to AUM as on 31-Dec-2025</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</si>
  <si>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</si>
  <si>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</si>
  <si>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</si>
  <si>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</si>
  <si>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</si>
  <si>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</si>
  <si>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</si>
  <si>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</si>
  <si>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31-Dec-2025</t>
  </si>
  <si>
    <t>*** in case of semi annual YTM,  it will be annualised </t>
  </si>
  <si>
    <t xml:space="preserve">           CRISIL Hybrid 35 Plus 65 - Aggressive Index</t>
  </si>
  <si>
    <t>Sundaram Arbitrage Fund</t>
  </si>
  <si>
    <t>YTM (%)*</t>
  </si>
  <si>
    <t>INE154A01025</t>
  </si>
  <si>
    <t>ITC Ltd</t>
  </si>
  <si>
    <t>INE205A01025</t>
  </si>
  <si>
    <t>Vedanta Ltd</t>
  </si>
  <si>
    <t>Diversified Metals</t>
  </si>
  <si>
    <t>INE139A01034</t>
  </si>
  <si>
    <t>National Aluminium Company Ltd</t>
  </si>
  <si>
    <t>Non - Ferrous Metals</t>
  </si>
  <si>
    <t>INE038A01020</t>
  </si>
  <si>
    <t>Hindalco Industries Ltd</t>
  </si>
  <si>
    <t>INE158A01026</t>
  </si>
  <si>
    <t>Hero MotoCorp Ltd</t>
  </si>
  <si>
    <t>INE020B01018</t>
  </si>
  <si>
    <t>REC Ltd</t>
  </si>
  <si>
    <t>INE274J01014</t>
  </si>
  <si>
    <t>Oil India Ltd</t>
  </si>
  <si>
    <t>INE059A01026</t>
  </si>
  <si>
    <t>Cipla Ltd</t>
  </si>
  <si>
    <t>INE176B01034</t>
  </si>
  <si>
    <t>Havells India Ltd</t>
  </si>
  <si>
    <t>INE216A01030</t>
  </si>
  <si>
    <t>Britannia Industries Ltd</t>
  </si>
  <si>
    <t>INE121E01018</t>
  </si>
  <si>
    <t>JSW Energy Ltd</t>
  </si>
  <si>
    <t>INE271C01023</t>
  </si>
  <si>
    <t>DLF Ltd</t>
  </si>
  <si>
    <t>INE918I01026</t>
  </si>
  <si>
    <t>Bajaj Finserv Ltd</t>
  </si>
  <si>
    <t>INE976G01028</t>
  </si>
  <si>
    <t>RBL Bank Ltd</t>
  </si>
  <si>
    <t>INE148I01020</t>
  </si>
  <si>
    <t>Sammaan Capital Ltd</t>
  </si>
  <si>
    <t>Sammaan Capital Ltd ( Prv Indiabulls Housing Finance Ltd) JAN-2026</t>
  </si>
  <si>
    <t>RBL Bank Ltd JAN-2026</t>
  </si>
  <si>
    <t>BSE Ltd JAN-2026</t>
  </si>
  <si>
    <t>Bajaj Finserv Ltd JAN-2026</t>
  </si>
  <si>
    <t>DLF Ltd JAN-2026</t>
  </si>
  <si>
    <t>JSW Energy Ltd JAN-2026</t>
  </si>
  <si>
    <t>PNB Housing Finance Ltd JAN-2026</t>
  </si>
  <si>
    <t>Britannia Industries Ltd    JAN-2026</t>
  </si>
  <si>
    <t>Tata Consumer Products Limited JAN-2026</t>
  </si>
  <si>
    <t>Havells India Ltd JAN-2026</t>
  </si>
  <si>
    <t>REC Ltd (Prev : Rural Electrification Corporation Ltd) FEB-2026</t>
  </si>
  <si>
    <t>Maruti Suzuki India Ltd JAN-2026</t>
  </si>
  <si>
    <t>Cipla Ltd JAN-2026</t>
  </si>
  <si>
    <t>REC Ltd (Prev : Rural Electrification Corporation Ltd) JAN-2026</t>
  </si>
  <si>
    <t>Mahindra &amp; Mahindra Ltd JAN-2026</t>
  </si>
  <si>
    <t>Indus Towers Ltd (Prev name Bharti Infratel Ltd) JAN-2026</t>
  </si>
  <si>
    <t>Oil India Ltd FEB-2026</t>
  </si>
  <si>
    <t>Bank of Baroda JAN-2026</t>
  </si>
  <si>
    <t>Adani Ports &amp; SEZ Ltd JAN-2026</t>
  </si>
  <si>
    <t>Power Grid Corporation of India Ltd JAN-2026</t>
  </si>
  <si>
    <t>Angel One Ltd (Prev: Angel Broking Ltd) JAN-2026</t>
  </si>
  <si>
    <t>IndusInd Bank Ltd JAN-2026</t>
  </si>
  <si>
    <t>Indian Hotels Company Ltd JAN-2026</t>
  </si>
  <si>
    <t>Eternal Ltd ( Previously named as Zomato Ltd ) JAN-2026</t>
  </si>
  <si>
    <t>ITC Ltd FEB-2026</t>
  </si>
  <si>
    <t>Bharti Airtel Ltd JAN-2026</t>
  </si>
  <si>
    <t>Max Financial Services Ltd (Prev: Max India Ltd) JAN-2026</t>
  </si>
  <si>
    <t>Hero Motocorp Ltd JAN-2026</t>
  </si>
  <si>
    <t>Gujarat Ambuja Cement Co.Ltd JAN-2026</t>
  </si>
  <si>
    <t>Hindalco Industries Ltd JAN-2026</t>
  </si>
  <si>
    <t>National Aluminium Company Ltd JAN-2026</t>
  </si>
  <si>
    <t>Larsen &amp; Toubro Ltd JAN-2026</t>
  </si>
  <si>
    <t>Kotak Mahindra Bank Ltd JAN-2026</t>
  </si>
  <si>
    <t>State Bank Of India Ltd JAN-2026</t>
  </si>
  <si>
    <t>Vedanta Ltd Pre Sesa Sterlite Ltd (Prvsly Sesa Goa Ltd) JAN-2026</t>
  </si>
  <si>
    <t>Bajaj Finance Ltd JAN-2026</t>
  </si>
  <si>
    <t>Axis Bank Ltd  JAN-2026</t>
  </si>
  <si>
    <t>HDFC Bank Ltd JAN-2026</t>
  </si>
  <si>
    <t>ITC Ltd JAN-2026</t>
  </si>
  <si>
    <t>ICICI Bank Ltd JAN-2026</t>
  </si>
  <si>
    <t>Reliance Industries Ltd JAN-2026</t>
  </si>
  <si>
    <t>IN0020220037</t>
  </si>
  <si>
    <t>7.38% Central Government Securities 20/06/2027*</t>
  </si>
  <si>
    <t>IN002024Z412</t>
  </si>
  <si>
    <t>364 Days - T Bill - 22/01/2026*</t>
  </si>
  <si>
    <t>IN002024Z438</t>
  </si>
  <si>
    <t>364 Days - T Bill - 05/02/2026*</t>
  </si>
  <si>
    <t>IN002025Y214</t>
  </si>
  <si>
    <t>182 Days - T Bill - 19/02/2026*</t>
  </si>
  <si>
    <t>IN002025Z252</t>
  </si>
  <si>
    <t>364 Days - T Bill - 17/09/2026*</t>
  </si>
  <si>
    <t xml:space="preserve">           NIFTY 50 Arbitrage INDEX</t>
  </si>
  <si>
    <t>Sundaram Balanced Advantage Fund</t>
  </si>
  <si>
    <t>INE467B01029</t>
  </si>
  <si>
    <t>Tata Consultancy Services Ltd</t>
  </si>
  <si>
    <t>INE476A01022</t>
  </si>
  <si>
    <t>Canara Bank</t>
  </si>
  <si>
    <t>g) Derivative</t>
  </si>
  <si>
    <t>Canara Bank JAN-2026</t>
  </si>
  <si>
    <t>Multi Commodity Exchange of India Limited JAN-2026</t>
  </si>
  <si>
    <t>Hindustan Aeronautics Ltd FEB-2026</t>
  </si>
  <si>
    <t>TATA Consultancy Services Ltd JAN-2026</t>
  </si>
  <si>
    <t>INE020B08FD6</t>
  </si>
  <si>
    <t>REC LTD - 7.58% - 31/05/2029**</t>
  </si>
  <si>
    <t>INE261F08DX0</t>
  </si>
  <si>
    <t>National Bank for Agriculture &amp; Rural Development - 7.58% - 31/07/2026</t>
  </si>
  <si>
    <t>IN0020230135</t>
  </si>
  <si>
    <t>7.32% Government Securities-13/11/2030*</t>
  </si>
  <si>
    <t>7.38% Central Government Securities 20/06/2027</t>
  </si>
  <si>
    <t>IN0020230036</t>
  </si>
  <si>
    <t>7.17% Government Securities - 17/04/20230</t>
  </si>
  <si>
    <t>-</t>
  </si>
  <si>
    <t xml:space="preserve">           NIFTY 50 Hybrid Composite Debt 50 : 50 INDEX</t>
  </si>
  <si>
    <t>Sundaram Dividend Yield Fund</t>
  </si>
  <si>
    <t>INE522F01014</t>
  </si>
  <si>
    <t>Coal India Ltd</t>
  </si>
  <si>
    <t>Consumable Fuels</t>
  </si>
  <si>
    <t>INE081A01020</t>
  </si>
  <si>
    <t>Tata Steel Ltd</t>
  </si>
  <si>
    <t>INE486A01021</t>
  </si>
  <si>
    <t>CESC Ltd</t>
  </si>
  <si>
    <t>INE172A01027</t>
  </si>
  <si>
    <t>Castrol India Ltd</t>
  </si>
  <si>
    <t>INE214T01019</t>
  </si>
  <si>
    <t>LTIMindtree Ltd</t>
  </si>
  <si>
    <t>INE242A01010</t>
  </si>
  <si>
    <t>Indian Oil Corporation Ltd</t>
  </si>
  <si>
    <t>INE102D01028</t>
  </si>
  <si>
    <t>Godrej Consumer Products Ltd</t>
  </si>
  <si>
    <t>INE356A01018</t>
  </si>
  <si>
    <t>MphasiS Ltd</t>
  </si>
  <si>
    <t>INE0GGX23010</t>
  </si>
  <si>
    <t>Power Grid Infrastructure Investment Trust(InvIT)</t>
  </si>
  <si>
    <t>INE021A01026</t>
  </si>
  <si>
    <t>Asian Paints Ltd</t>
  </si>
  <si>
    <t>INE058A01010</t>
  </si>
  <si>
    <t>Sanofi India Ltd</t>
  </si>
  <si>
    <t>INE462A01022</t>
  </si>
  <si>
    <t>Bayer Cropscience Ltd</t>
  </si>
  <si>
    <t>INE02CF01010</t>
  </si>
  <si>
    <t>Sandur Laminates Ltd @</t>
  </si>
  <si>
    <t>INE759J01022</t>
  </si>
  <si>
    <t>Crystal Cable Industries Ltd @</t>
  </si>
  <si>
    <t>IDIA00069480</t>
  </si>
  <si>
    <t>Tirrihannah Company Ltd @</t>
  </si>
  <si>
    <t>IDIA00069477</t>
  </si>
  <si>
    <t>Minerava Holdings Ltd @</t>
  </si>
  <si>
    <t>Direct Plan - Halfyearly IDCW</t>
  </si>
  <si>
    <t>Regular Plan - Halfyearly IDCW</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</si>
  <si>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</si>
  <si>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</si>
  <si>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</si>
  <si>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</si>
  <si>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</si>
  <si>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</si>
  <si>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</si>
  <si>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</si>
  <si>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 TRI</t>
  </si>
  <si>
    <t xml:space="preserve">           NIFTY Dividend Opportunities 50 TRI</t>
  </si>
  <si>
    <t>Sundaram Equity Savings Fund</t>
  </si>
  <si>
    <t>INE019A01038</t>
  </si>
  <si>
    <t>JSW Steel Ltd</t>
  </si>
  <si>
    <t>INE406A01037</t>
  </si>
  <si>
    <t>Aurobindo Pharma Ltd</t>
  </si>
  <si>
    <t>Hindustan Aeronautics Ltd JAN-2026</t>
  </si>
  <si>
    <t>NTPC Ltd JAN-2026</t>
  </si>
  <si>
    <t>Aurobindo Pharma Ltd-Equ JAN-2026</t>
  </si>
  <si>
    <t>JSW Steel Ltd JAN-2026</t>
  </si>
  <si>
    <t>INE115A07PR7</t>
  </si>
  <si>
    <t>LIC Housing Finance Ltd - 6.65% - 15/02/2027**</t>
  </si>
  <si>
    <t>INE261F08EA6</t>
  </si>
  <si>
    <t>National Bank for Agriculture &amp; Rural Development - 7.5% - 31/08/2026**</t>
  </si>
  <si>
    <t>INE134E08IE1</t>
  </si>
  <si>
    <t>Power Finance Corporation Ltd - 8.03% - 02/05/2026**</t>
  </si>
  <si>
    <t>IN0020230101</t>
  </si>
  <si>
    <t>7.37% Government Securities-23/10/2028*</t>
  </si>
  <si>
    <t>IN0020240050</t>
  </si>
  <si>
    <t>7.04% Central Government Securities 03/06/2029</t>
  </si>
  <si>
    <t xml:space="preserve">                      Nifty Equity Savings TRI</t>
  </si>
  <si>
    <t>Sundaram Focused  Fund</t>
  </si>
  <si>
    <t>INE330T01021</t>
  </si>
  <si>
    <t>Happy Forgings Ltd</t>
  </si>
  <si>
    <t>INE192R01011</t>
  </si>
  <si>
    <t>Avenue Supermarts Ltd</t>
  </si>
  <si>
    <t>INE491A01021</t>
  </si>
  <si>
    <t>City Union Bank Ltd</t>
  </si>
  <si>
    <t>INE03JT01014</t>
  </si>
  <si>
    <t>Go Digit General Insurance Ltd</t>
  </si>
  <si>
    <t>INE089A01031</t>
  </si>
  <si>
    <t>Dr. Reddys Laboratories Ltd</t>
  </si>
  <si>
    <t>INE389H01022</t>
  </si>
  <si>
    <t>KEC International Ltd</t>
  </si>
  <si>
    <t>INE716A01013</t>
  </si>
  <si>
    <t>Whirlpool of India Ltd</t>
  </si>
  <si>
    <t>INE216P01012</t>
  </si>
  <si>
    <t>Aavas Financiers Ltd</t>
  </si>
  <si>
    <t xml:space="preserve">                              Nifty 500 TRI</t>
  </si>
  <si>
    <t xml:space="preserve">           Nifty Large MID CAP 250 TRI</t>
  </si>
  <si>
    <t>Sundaram Multi Cap Fund</t>
  </si>
  <si>
    <t>INE668F01031</t>
  </si>
  <si>
    <t>Jyothy Laboratories Ltd</t>
  </si>
  <si>
    <t>Household Products</t>
  </si>
  <si>
    <t>INE112L01020</t>
  </si>
  <si>
    <t>Metropolis Healthcare Ltd</t>
  </si>
  <si>
    <t>INE0BJS01011</t>
  </si>
  <si>
    <t>Go Fashion (India ) Ltd</t>
  </si>
  <si>
    <t>INE04VU01023</t>
  </si>
  <si>
    <t>Seshaasai Technologies Ltd</t>
  </si>
  <si>
    <t>INE472A01039</t>
  </si>
  <si>
    <t>Blue Star Ltd</t>
  </si>
  <si>
    <t>INE147E01013</t>
  </si>
  <si>
    <t>Crescent Finstock Ltd @</t>
  </si>
  <si>
    <t>IDIA00069356</t>
  </si>
  <si>
    <t>Balmer Lawrie Freight Containers Ltd @</t>
  </si>
  <si>
    <t>INE604A01011</t>
  </si>
  <si>
    <t>Precision Fasteners Ltd @</t>
  </si>
  <si>
    <t>INE406B01019</t>
  </si>
  <si>
    <t>Virtual Dynamics Software Ltd @</t>
  </si>
  <si>
    <t>IDIA00069359</t>
  </si>
  <si>
    <t>Noble Brothers Impex Ltd @</t>
  </si>
  <si>
    <t>INE431E01011</t>
  </si>
  <si>
    <t>Sangam Health Care Products Ltd @</t>
  </si>
  <si>
    <t>Healthcare Equipment &amp; Supplies</t>
  </si>
  <si>
    <t>INE348C01011</t>
  </si>
  <si>
    <t>Mukerian Papers Ltd @</t>
  </si>
  <si>
    <t>Paper, Forest &amp; Jute Products</t>
  </si>
  <si>
    <t>15% Premier Vinyl Ltd</t>
  </si>
  <si>
    <t xml:space="preserve">           Nifty 500 MultiCap 50:25:25 TRI</t>
  </si>
  <si>
    <t>Sundaram ELSS Tax Saver Fund</t>
  </si>
  <si>
    <t>INE451A01017</t>
  </si>
  <si>
    <t>Force Motors Ltd</t>
  </si>
  <si>
    <t>INE692A01016</t>
  </si>
  <si>
    <t>Union Bank of India</t>
  </si>
  <si>
    <t>INE00H001014</t>
  </si>
  <si>
    <t>Swiggy Ltd</t>
  </si>
  <si>
    <t>INE628A01036</t>
  </si>
  <si>
    <t>UPL Ltd</t>
  </si>
  <si>
    <t>INE786A01032</t>
  </si>
  <si>
    <t>JK Lakshmi Cement Ltd</t>
  </si>
  <si>
    <t>18% Jord Engineering Ltd</t>
  </si>
  <si>
    <t xml:space="preserve">                          NIFTY 500 TRI</t>
  </si>
  <si>
    <t>Sundaram Consumption Fund</t>
  </si>
  <si>
    <t>INE280A01028</t>
  </si>
  <si>
    <t>Titan Company Ltd</t>
  </si>
  <si>
    <t>INE239A01024</t>
  </si>
  <si>
    <t>Nestle India Ltd</t>
  </si>
  <si>
    <t>INE118A01012</t>
  </si>
  <si>
    <t>Bajaj Holdings &amp; Investment Ltd</t>
  </si>
  <si>
    <t>INE19RI01016</t>
  </si>
  <si>
    <t>Tenneco Clean Air India Ltd</t>
  </si>
  <si>
    <t xml:space="preserve">           Nifty India Consumption TRI</t>
  </si>
  <si>
    <t>Sundaram Services Fund</t>
  </si>
  <si>
    <t>INE726G01019</t>
  </si>
  <si>
    <t>ICICI Prudential Life Insurance Company Ltd</t>
  </si>
  <si>
    <t>INE806T01020</t>
  </si>
  <si>
    <t>Sapphire Foods India Ltd</t>
  </si>
  <si>
    <t>INE559R01029</t>
  </si>
  <si>
    <t>Landmark Cars Ltd</t>
  </si>
  <si>
    <t>INE545U01014</t>
  </si>
  <si>
    <t>Bandhan Bank Ltd</t>
  </si>
  <si>
    <t>INE285J01028</t>
  </si>
  <si>
    <t>SIS Ltd</t>
  </si>
  <si>
    <t>MU0295S00016</t>
  </si>
  <si>
    <t>Make My Trip Ltd (USD)</t>
  </si>
  <si>
    <t xml:space="preserve">           NIFTY Services Sector TRI</t>
  </si>
  <si>
    <t xml:space="preserve">           NIFTY 500 MULTICAP 50:25:25 TRI</t>
  </si>
  <si>
    <t>Sundaram Value Fund</t>
  </si>
  <si>
    <t>INE404A01024</t>
  </si>
  <si>
    <t>Aditya Birla Sun Life AMC Ltd</t>
  </si>
  <si>
    <t>INE155A01022</t>
  </si>
  <si>
    <t>Tata Motors Passenger Vehicles Ltd</t>
  </si>
  <si>
    <t>INE884B01025</t>
  </si>
  <si>
    <t>Kirloskar Ferrous Ind Ltd</t>
  </si>
  <si>
    <t>INE047A01021</t>
  </si>
  <si>
    <t>Grasim Industries Ltd</t>
  </si>
  <si>
    <t>INE531A01024</t>
  </si>
  <si>
    <t>Kansai Nerolac Paints Ltd</t>
  </si>
  <si>
    <t>INE002S01010</t>
  </si>
  <si>
    <t>Mahanagar Gas Ltd</t>
  </si>
  <si>
    <t>INE176A01028</t>
  </si>
  <si>
    <t>Bata India Ltd</t>
  </si>
  <si>
    <t xml:space="preserve">                       NIFTY 500_TRI</t>
  </si>
  <si>
    <t>Sundaram Large Cap Fund</t>
  </si>
  <si>
    <t xml:space="preserve">               Nifty 100 TRI</t>
  </si>
  <si>
    <t>Sundaram Business Cycle Fund</t>
  </si>
  <si>
    <t>INE410P01011</t>
  </si>
  <si>
    <t>Narayana Hrudayalaya Ltd</t>
  </si>
  <si>
    <t>INE224A01026</t>
  </si>
  <si>
    <t>Greaves Cotton Ltd</t>
  </si>
  <si>
    <t>INE716B01029</t>
  </si>
  <si>
    <t>Tips Music Ltd</t>
  </si>
  <si>
    <t>INE04I401011</t>
  </si>
  <si>
    <t>KPIT Technologies Ltd</t>
  </si>
  <si>
    <t>INE0CAZ01013</t>
  </si>
  <si>
    <t>Urban Company Ltd</t>
  </si>
  <si>
    <t>INE342G01023</t>
  </si>
  <si>
    <t>NIIT Learning Systems Ltd</t>
  </si>
  <si>
    <t xml:space="preserve">                      Nifty_500_ TRI</t>
  </si>
  <si>
    <t>Sundaram Flexi Cap Fund</t>
  </si>
  <si>
    <t xml:space="preserve">                  Nifty 500 TRI</t>
  </si>
  <si>
    <t>Sundaram Financial Services Opportunities Fund</t>
  </si>
  <si>
    <t>INE756I01012</t>
  </si>
  <si>
    <t>HDB Financial Services Ltd</t>
  </si>
  <si>
    <t xml:space="preserve">           Nifty Financial Services TRI</t>
  </si>
  <si>
    <t>Sundaram Multi Asset Allocation Fund</t>
  </si>
  <si>
    <t>Ultra Tech Cement Ltd JAN-2026</t>
  </si>
  <si>
    <t>7.04% Central Government Securities 03/06/2029*</t>
  </si>
  <si>
    <t>7.10% Central Government Securities 08/04/2034</t>
  </si>
  <si>
    <t>IN0020250067</t>
  </si>
  <si>
    <t>6.01% Central Government Securities 21/07/2030</t>
  </si>
  <si>
    <t>IN0020240183</t>
  </si>
  <si>
    <t>6.75% Central Government Securities 23/12/2029</t>
  </si>
  <si>
    <t>7.37% Government Securities-23/10/2028</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</si>
  <si>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</si>
  <si>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</si>
  <si>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</si>
  <si>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</si>
  <si>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</si>
  <si>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</si>
  <si>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</si>
  <si>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</si>
  <si>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</si>
  <si>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</si>
  <si>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NIFTY 500 TRI (65%) + NIFTY Short Duration Debt Index (10%) + Domestic Prices of Gold (25%)</t>
  </si>
  <si>
    <t>Sundaram Conservative Hybrid Fund</t>
  </si>
  <si>
    <t>IN0020250075</t>
  </si>
  <si>
    <t>7.24% Central Government Securities 18/08/2055</t>
  </si>
  <si>
    <t>(b) Corporate Debt Market Development Fund</t>
  </si>
  <si>
    <t>INF0RQ622028</t>
  </si>
  <si>
    <t>Corporate Debt Market Development Fund - Class A2</t>
  </si>
  <si>
    <t>**Non Traded Securities - Wherever applicable</t>
  </si>
  <si>
    <t>Refer below point h)</t>
  </si>
  <si>
    <t>b) Total value and percentage of illiquid equity shares</t>
  </si>
  <si>
    <t>Direct Plan - Quarterly IDCW</t>
  </si>
  <si>
    <t>Regular Plan - Quarterly IDCW</t>
  </si>
  <si>
    <t>Annualised Portfolio YTM %* :</t>
  </si>
  <si>
    <t>Macaulay Duration - only for Debt portion (years)</t>
  </si>
  <si>
    <t>Average Maturity  - only for Debt portion (years)</t>
  </si>
  <si>
    <t>* in case of semi annual YTM,  it will be annualised </t>
  </si>
  <si>
    <t>h) Exposure to securities classified as below investment grade or default as on 31-Dec-2025:-</t>
  </si>
  <si>
    <t>VALUE OF THE SECURITY CONSIDERED 
UNDER NET RECEIVABLES</t>
  </si>
  <si>
    <t>INE202B07654</t>
  </si>
  <si>
    <t xml:space="preserve">11.55% Prev 11.45%-Dewan Housing Finance Corp Ltd-12/09/2019  </t>
  </si>
  <si>
    <t>TOTAL AMOUNT INCLUDING INTEREST DUE TO AND RECOVERED BY THE SCHEME</t>
  </si>
  <si>
    <t>Amount Recovered (Rs. In Lacs) 30th Sep 2021</t>
  </si>
  <si>
    <t>Further amount received on 31/08/2024  (Rs. In Lacs)</t>
  </si>
  <si>
    <t xml:space="preserve">Total settlement till date  ( Rs . In Lacs ) </t>
  </si>
  <si>
    <t>Interest Accrued till 3rd June 2019
(Rs. in Lacs)</t>
  </si>
  <si>
    <t>Interest not accrued due to category by rating agency as default till maturity (Rs. in Lacs)</t>
  </si>
  <si>
    <t xml:space="preserve">11.55%_Prev 11.45%-Dewan Housing Finance Corp Ltd-12/09/2019  </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</si>
  <si>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</si>
  <si>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</si>
  <si>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</si>
  <si>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CRISIL Hybrid 85 Plus 15 - Conservative Index</t>
  </si>
  <si>
    <t>Sundaram Multi-Factor Fund</t>
  </si>
  <si>
    <t>INE414G01012</t>
  </si>
  <si>
    <t>Muthoot Finance Ltd</t>
  </si>
  <si>
    <t>INE267A01025</t>
  </si>
  <si>
    <t>Hindustan Zinc Ltd</t>
  </si>
  <si>
    <t>INE075A01022</t>
  </si>
  <si>
    <t>Wipro Ltd</t>
  </si>
  <si>
    <t>INE589A01014</t>
  </si>
  <si>
    <t>Neyveli Lignite Corporation Ltd</t>
  </si>
  <si>
    <t>INE347G01014</t>
  </si>
  <si>
    <t>Petronet LNG Ltd</t>
  </si>
  <si>
    <t>INE947Q01028</t>
  </si>
  <si>
    <t>Laurus Labs Ltd</t>
  </si>
  <si>
    <t>INE935A01035</t>
  </si>
  <si>
    <t>GlenMark Pharmaceuticals Ltd</t>
  </si>
  <si>
    <t>INE066A01021</t>
  </si>
  <si>
    <t>Eicher Motors Ltd</t>
  </si>
  <si>
    <t>INE674K01013</t>
  </si>
  <si>
    <t>Aditya Birla Capital Ltd</t>
  </si>
  <si>
    <t>INE498L01015</t>
  </si>
  <si>
    <t>L &amp; T Finance Ltd</t>
  </si>
  <si>
    <t>INE982J01020</t>
  </si>
  <si>
    <t>One 97 Communications Ltd</t>
  </si>
  <si>
    <t>INE0V6F01027</t>
  </si>
  <si>
    <t>Hyundai Motor India Ltd</t>
  </si>
  <si>
    <t>INE913H01037</t>
  </si>
  <si>
    <t>Endurance Technologies Ltd</t>
  </si>
  <si>
    <t>INE647A01010</t>
  </si>
  <si>
    <t>SRF Ltd</t>
  </si>
  <si>
    <t>INE944F01028</t>
  </si>
  <si>
    <t>Radico Khaitan Ltd</t>
  </si>
  <si>
    <t>INE159A01016</t>
  </si>
  <si>
    <t>GlaxoSmithKline Pharmaceuticals Ltd</t>
  </si>
  <si>
    <t>INE361B01024</t>
  </si>
  <si>
    <t>Divis Laboratories Ltd</t>
  </si>
  <si>
    <t>INE260B01028</t>
  </si>
  <si>
    <t>Godfrey Phillips India Ltd</t>
  </si>
  <si>
    <t>Cigarettes &amp; Tobacco Products</t>
  </si>
  <si>
    <t>INE584A01023</t>
  </si>
  <si>
    <t>NMDC Ltd</t>
  </si>
  <si>
    <t>Minerals &amp; Mining</t>
  </si>
  <si>
    <t>INE844O01030</t>
  </si>
  <si>
    <t>Gujarat Gas Co Ltd</t>
  </si>
  <si>
    <t>INE031A01017</t>
  </si>
  <si>
    <t>Housing &amp; Urban Development Corporation Ltd</t>
  </si>
  <si>
    <t>INE670K01029</t>
  </si>
  <si>
    <t>Lodha Developers Ltd</t>
  </si>
  <si>
    <t>INE084A01016</t>
  </si>
  <si>
    <t>Bank of India</t>
  </si>
  <si>
    <t>INE012A01025</t>
  </si>
  <si>
    <t>ACC Ltd</t>
  </si>
  <si>
    <t>INE918Z01012</t>
  </si>
  <si>
    <t>Kaynes Technology India Ltd</t>
  </si>
  <si>
    <t>INE208A01029</t>
  </si>
  <si>
    <t>Ashok Leyland Ltd</t>
  </si>
  <si>
    <t>ASHOKLEYNSEJAN2026FUT</t>
  </si>
  <si>
    <t xml:space="preserve">                     BSE 200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</si>
</sst>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6"/>
  <sheetViews>
    <sheetView workbookViewId="0"/>
  </sheetViews>
  <sheetFormatPr defaultRowHeight="14.5" x14ac:dyDescent="0.35"/>
  <sheetData>
    <row r="1" spans="1:9" x14ac:dyDescent="0.35">
      <c r="A1" t="s">
        <v>0</v>
      </c>
      <c r="I1" t="s">
        <v>1</v>
      </c>
    </row>
    <row r="2" spans="1:9" x14ac:dyDescent="0.35">
      <c r="A2" t="s">
        <v>2</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14</v>
      </c>
      <c r="C7" t="s">
        <v>15</v>
      </c>
      <c r="D7" t="s">
        <v>16</v>
      </c>
      <c r="E7">
        <v>415000</v>
      </c>
      <c r="F7">
        <v>8738.24</v>
      </c>
      <c r="G7">
        <v>9.2233430000000005E-2</v>
      </c>
    </row>
    <row r="8" spans="1:9" x14ac:dyDescent="0.35">
      <c r="A8">
        <v>2</v>
      </c>
      <c r="B8" t="s">
        <v>17</v>
      </c>
      <c r="C8" t="s">
        <v>18</v>
      </c>
      <c r="D8" t="s">
        <v>19</v>
      </c>
      <c r="E8">
        <v>210000</v>
      </c>
      <c r="F8">
        <v>8575.35</v>
      </c>
      <c r="G8">
        <v>9.05141E-2</v>
      </c>
    </row>
    <row r="9" spans="1:9" x14ac:dyDescent="0.35">
      <c r="A9">
        <v>3</v>
      </c>
      <c r="B9" t="s">
        <v>20</v>
      </c>
      <c r="C9" t="s">
        <v>21</v>
      </c>
      <c r="D9" t="s">
        <v>22</v>
      </c>
      <c r="E9">
        <v>510000</v>
      </c>
      <c r="F9">
        <v>8009.04</v>
      </c>
      <c r="G9">
        <v>8.4536609999999998E-2</v>
      </c>
    </row>
    <row r="10" spans="1:9" x14ac:dyDescent="0.35">
      <c r="A10">
        <v>4</v>
      </c>
      <c r="B10" t="s">
        <v>23</v>
      </c>
      <c r="C10" t="s">
        <v>24</v>
      </c>
      <c r="D10" t="s">
        <v>25</v>
      </c>
      <c r="E10">
        <v>1340000</v>
      </c>
      <c r="F10">
        <v>4415.97</v>
      </c>
      <c r="G10">
        <v>4.6611220000000002E-2</v>
      </c>
    </row>
    <row r="11" spans="1:9" x14ac:dyDescent="0.35">
      <c r="A11">
        <v>5</v>
      </c>
      <c r="B11" t="s">
        <v>26</v>
      </c>
      <c r="C11" t="s">
        <v>27</v>
      </c>
      <c r="D11" t="s">
        <v>28</v>
      </c>
      <c r="E11">
        <v>28000</v>
      </c>
      <c r="F11">
        <v>3299.52</v>
      </c>
      <c r="G11">
        <v>3.4826929999999999E-2</v>
      </c>
    </row>
    <row r="12" spans="1:9" x14ac:dyDescent="0.35">
      <c r="A12">
        <v>6</v>
      </c>
      <c r="B12" t="s">
        <v>29</v>
      </c>
      <c r="C12" t="s">
        <v>30</v>
      </c>
      <c r="D12" t="s">
        <v>31</v>
      </c>
      <c r="E12">
        <v>675000</v>
      </c>
      <c r="F12">
        <v>2697.3</v>
      </c>
      <c r="G12">
        <v>2.84704E-2</v>
      </c>
    </row>
    <row r="13" spans="1:9" x14ac:dyDescent="0.35">
      <c r="A13">
        <v>7</v>
      </c>
      <c r="B13" t="s">
        <v>32</v>
      </c>
      <c r="C13" t="s">
        <v>33</v>
      </c>
      <c r="D13" t="s">
        <v>22</v>
      </c>
      <c r="E13">
        <v>575000</v>
      </c>
      <c r="F13">
        <v>2208</v>
      </c>
      <c r="G13">
        <v>2.330577E-2</v>
      </c>
    </row>
    <row r="14" spans="1:9" x14ac:dyDescent="0.35">
      <c r="A14">
        <v>8</v>
      </c>
      <c r="B14" t="s">
        <v>34</v>
      </c>
      <c r="C14" t="s">
        <v>35</v>
      </c>
      <c r="D14" t="s">
        <v>25</v>
      </c>
      <c r="E14">
        <v>800000</v>
      </c>
      <c r="F14">
        <v>2116.8000000000002</v>
      </c>
      <c r="G14">
        <v>2.2343140000000001E-2</v>
      </c>
    </row>
    <row r="15" spans="1:9" x14ac:dyDescent="0.35">
      <c r="A15">
        <v>9</v>
      </c>
      <c r="B15" t="s">
        <v>36</v>
      </c>
      <c r="C15" t="s">
        <v>37</v>
      </c>
      <c r="D15" t="s">
        <v>38</v>
      </c>
      <c r="E15">
        <v>200000</v>
      </c>
      <c r="F15">
        <v>1964.4</v>
      </c>
      <c r="G15">
        <v>2.0734539999999999E-2</v>
      </c>
    </row>
    <row r="16" spans="1:9" x14ac:dyDescent="0.35">
      <c r="A16">
        <v>10</v>
      </c>
      <c r="B16" t="s">
        <v>39</v>
      </c>
      <c r="C16" t="s">
        <v>40</v>
      </c>
      <c r="D16" t="s">
        <v>38</v>
      </c>
      <c r="E16">
        <v>145000</v>
      </c>
      <c r="F16">
        <v>1947.2049999999999</v>
      </c>
      <c r="G16">
        <v>2.0553040000000002E-2</v>
      </c>
    </row>
    <row r="17" spans="1:7" x14ac:dyDescent="0.35">
      <c r="A17">
        <v>11</v>
      </c>
      <c r="B17" t="s">
        <v>41</v>
      </c>
      <c r="C17" t="s">
        <v>42</v>
      </c>
      <c r="D17" t="s">
        <v>43</v>
      </c>
      <c r="E17">
        <v>100000</v>
      </c>
      <c r="F17">
        <v>1699.5</v>
      </c>
      <c r="G17">
        <v>1.793848E-2</v>
      </c>
    </row>
    <row r="18" spans="1:7" x14ac:dyDescent="0.35">
      <c r="A18">
        <v>12</v>
      </c>
      <c r="B18" t="s">
        <v>44</v>
      </c>
      <c r="C18" t="s">
        <v>45</v>
      </c>
      <c r="D18" t="s">
        <v>19</v>
      </c>
      <c r="E18">
        <v>138000</v>
      </c>
      <c r="F18">
        <v>1659.3119999999999</v>
      </c>
      <c r="G18">
        <v>1.7514289999999998E-2</v>
      </c>
    </row>
    <row r="19" spans="1:7" x14ac:dyDescent="0.35">
      <c r="A19">
        <v>13</v>
      </c>
      <c r="B19" t="s">
        <v>46</v>
      </c>
      <c r="C19" t="s">
        <v>47</v>
      </c>
      <c r="D19" t="s">
        <v>48</v>
      </c>
      <c r="E19">
        <v>51000</v>
      </c>
      <c r="F19">
        <v>1597.575</v>
      </c>
      <c r="G19">
        <v>1.6862640000000002E-2</v>
      </c>
    </row>
    <row r="20" spans="1:7" x14ac:dyDescent="0.35">
      <c r="A20">
        <v>14</v>
      </c>
      <c r="B20" t="s">
        <v>49</v>
      </c>
      <c r="C20" t="s">
        <v>50</v>
      </c>
      <c r="D20" t="s">
        <v>25</v>
      </c>
      <c r="E20">
        <v>415000</v>
      </c>
      <c r="F20">
        <v>1575.34</v>
      </c>
      <c r="G20">
        <v>1.6627949999999999E-2</v>
      </c>
    </row>
    <row r="21" spans="1:7" x14ac:dyDescent="0.35">
      <c r="A21">
        <v>15</v>
      </c>
      <c r="B21" t="s">
        <v>51</v>
      </c>
      <c r="C21" t="s">
        <v>52</v>
      </c>
      <c r="D21" t="s">
        <v>53</v>
      </c>
      <c r="E21">
        <v>25000</v>
      </c>
      <c r="F21">
        <v>1522.75</v>
      </c>
      <c r="G21">
        <v>1.607285E-2</v>
      </c>
    </row>
    <row r="22" spans="1:7" x14ac:dyDescent="0.35">
      <c r="A22">
        <v>16</v>
      </c>
      <c r="B22" t="s">
        <v>54</v>
      </c>
      <c r="C22" t="s">
        <v>55</v>
      </c>
      <c r="D22" t="s">
        <v>56</v>
      </c>
      <c r="E22">
        <v>100000</v>
      </c>
      <c r="F22">
        <v>1469.8</v>
      </c>
      <c r="G22">
        <v>1.551396E-2</v>
      </c>
    </row>
    <row r="23" spans="1:7" x14ac:dyDescent="0.35">
      <c r="A23">
        <v>17</v>
      </c>
      <c r="B23" t="s">
        <v>57</v>
      </c>
      <c r="C23" t="s">
        <v>58</v>
      </c>
      <c r="D23" t="s">
        <v>53</v>
      </c>
      <c r="E23">
        <v>33000</v>
      </c>
      <c r="F23">
        <v>1463.3520000000001</v>
      </c>
      <c r="G23">
        <v>1.54459E-2</v>
      </c>
    </row>
    <row r="24" spans="1:7" x14ac:dyDescent="0.35">
      <c r="A24">
        <v>18</v>
      </c>
      <c r="B24" t="s">
        <v>59</v>
      </c>
      <c r="C24" t="s">
        <v>60</v>
      </c>
      <c r="D24" t="s">
        <v>43</v>
      </c>
      <c r="E24">
        <v>9500</v>
      </c>
      <c r="F24">
        <v>1413.41</v>
      </c>
      <c r="G24">
        <v>1.491875E-2</v>
      </c>
    </row>
    <row r="25" spans="1:7" x14ac:dyDescent="0.35">
      <c r="A25">
        <v>19</v>
      </c>
      <c r="B25" t="s">
        <v>61</v>
      </c>
      <c r="C25" t="s">
        <v>62</v>
      </c>
      <c r="D25" t="s">
        <v>53</v>
      </c>
      <c r="E25">
        <v>31000</v>
      </c>
      <c r="F25">
        <v>1382.662</v>
      </c>
      <c r="G25">
        <v>1.45942E-2</v>
      </c>
    </row>
    <row r="26" spans="1:7" x14ac:dyDescent="0.35">
      <c r="A26">
        <v>20</v>
      </c>
      <c r="B26" t="s">
        <v>63</v>
      </c>
      <c r="C26" t="s">
        <v>64</v>
      </c>
      <c r="D26" t="s">
        <v>65</v>
      </c>
      <c r="E26">
        <v>21500</v>
      </c>
      <c r="F26">
        <v>1373.2049999999999</v>
      </c>
      <c r="G26">
        <v>1.4494379999999999E-2</v>
      </c>
    </row>
    <row r="27" spans="1:7" x14ac:dyDescent="0.35">
      <c r="A27">
        <v>21</v>
      </c>
      <c r="B27" t="s">
        <v>66</v>
      </c>
      <c r="C27" t="s">
        <v>67</v>
      </c>
      <c r="D27" t="s">
        <v>53</v>
      </c>
      <c r="E27">
        <v>112000</v>
      </c>
      <c r="F27">
        <v>1365.056</v>
      </c>
      <c r="G27">
        <v>1.440837E-2</v>
      </c>
    </row>
    <row r="28" spans="1:7" x14ac:dyDescent="0.35">
      <c r="A28">
        <v>22</v>
      </c>
      <c r="B28" t="s">
        <v>68</v>
      </c>
      <c r="C28" t="s">
        <v>69</v>
      </c>
      <c r="D28" t="s">
        <v>16</v>
      </c>
      <c r="E28">
        <v>325000</v>
      </c>
      <c r="F28">
        <v>1360.9375</v>
      </c>
      <c r="G28">
        <v>1.43649E-2</v>
      </c>
    </row>
    <row r="29" spans="1:7" x14ac:dyDescent="0.35">
      <c r="A29">
        <v>23</v>
      </c>
      <c r="B29" t="s">
        <v>70</v>
      </c>
      <c r="C29" t="s">
        <v>71</v>
      </c>
      <c r="D29" t="s">
        <v>72</v>
      </c>
      <c r="E29">
        <v>550000</v>
      </c>
      <c r="F29">
        <v>1322.09</v>
      </c>
      <c r="G29">
        <v>1.3954859999999999E-2</v>
      </c>
    </row>
    <row r="30" spans="1:7" x14ac:dyDescent="0.35">
      <c r="A30">
        <v>24</v>
      </c>
      <c r="B30" t="s">
        <v>73</v>
      </c>
      <c r="C30" t="s">
        <v>74</v>
      </c>
      <c r="D30" t="s">
        <v>48</v>
      </c>
      <c r="E30">
        <v>2500000</v>
      </c>
      <c r="F30">
        <v>1316.75</v>
      </c>
      <c r="G30">
        <v>1.3898489999999999E-2</v>
      </c>
    </row>
    <row r="31" spans="1:7" x14ac:dyDescent="0.35">
      <c r="A31">
        <v>25</v>
      </c>
      <c r="B31" t="s">
        <v>75</v>
      </c>
      <c r="C31" t="s">
        <v>76</v>
      </c>
      <c r="D31" t="s">
        <v>48</v>
      </c>
      <c r="E31">
        <v>7000</v>
      </c>
      <c r="F31">
        <v>1281.7</v>
      </c>
      <c r="G31">
        <v>1.352854E-2</v>
      </c>
    </row>
    <row r="32" spans="1:7" x14ac:dyDescent="0.35">
      <c r="A32">
        <v>26</v>
      </c>
      <c r="B32" t="s">
        <v>77</v>
      </c>
      <c r="C32" t="s">
        <v>78</v>
      </c>
      <c r="D32" t="s">
        <v>79</v>
      </c>
      <c r="E32">
        <v>25000</v>
      </c>
      <c r="F32">
        <v>1264.875</v>
      </c>
      <c r="G32">
        <v>1.335094E-2</v>
      </c>
    </row>
    <row r="33" spans="1:7" x14ac:dyDescent="0.35">
      <c r="A33">
        <v>27</v>
      </c>
      <c r="B33" t="s">
        <v>80</v>
      </c>
      <c r="C33" t="s">
        <v>81</v>
      </c>
      <c r="D33" t="s">
        <v>43</v>
      </c>
      <c r="E33">
        <v>16000</v>
      </c>
      <c r="F33">
        <v>1230.32</v>
      </c>
      <c r="G33">
        <v>1.298621E-2</v>
      </c>
    </row>
    <row r="34" spans="1:7" x14ac:dyDescent="0.35">
      <c r="A34">
        <v>28</v>
      </c>
      <c r="B34" t="s">
        <v>82</v>
      </c>
      <c r="C34" t="s">
        <v>83</v>
      </c>
      <c r="D34" t="s">
        <v>16</v>
      </c>
      <c r="E34">
        <v>65000</v>
      </c>
      <c r="F34">
        <v>1184.105</v>
      </c>
      <c r="G34">
        <v>1.249841E-2</v>
      </c>
    </row>
    <row r="35" spans="1:7" x14ac:dyDescent="0.35">
      <c r="A35">
        <v>29</v>
      </c>
      <c r="B35" t="s">
        <v>84</v>
      </c>
      <c r="C35" t="s">
        <v>85</v>
      </c>
      <c r="D35" t="s">
        <v>53</v>
      </c>
      <c r="E35">
        <v>155000</v>
      </c>
      <c r="F35">
        <v>1169.8625</v>
      </c>
      <c r="G35">
        <v>1.2348069999999999E-2</v>
      </c>
    </row>
    <row r="36" spans="1:7" x14ac:dyDescent="0.35">
      <c r="A36">
        <v>30</v>
      </c>
      <c r="B36" t="s">
        <v>86</v>
      </c>
      <c r="C36" t="s">
        <v>87</v>
      </c>
      <c r="D36" t="s">
        <v>25</v>
      </c>
      <c r="E36">
        <v>88000</v>
      </c>
      <c r="F36">
        <v>1149.896</v>
      </c>
      <c r="G36">
        <v>1.213732E-2</v>
      </c>
    </row>
    <row r="37" spans="1:7" x14ac:dyDescent="0.35">
      <c r="A37">
        <v>31</v>
      </c>
      <c r="B37" t="s">
        <v>88</v>
      </c>
      <c r="C37" t="s">
        <v>89</v>
      </c>
      <c r="D37" t="s">
        <v>48</v>
      </c>
      <c r="E37">
        <v>160000</v>
      </c>
      <c r="F37">
        <v>1123.28</v>
      </c>
      <c r="G37">
        <v>1.185639E-2</v>
      </c>
    </row>
    <row r="38" spans="1:7" x14ac:dyDescent="0.35">
      <c r="A38">
        <v>32</v>
      </c>
      <c r="B38" t="s">
        <v>90</v>
      </c>
      <c r="C38" t="s">
        <v>91</v>
      </c>
      <c r="D38" t="s">
        <v>28</v>
      </c>
      <c r="E38">
        <v>20000</v>
      </c>
      <c r="F38">
        <v>1106.2</v>
      </c>
      <c r="G38">
        <v>1.167611E-2</v>
      </c>
    </row>
    <row r="39" spans="1:7" x14ac:dyDescent="0.35">
      <c r="A39">
        <v>33</v>
      </c>
      <c r="B39" t="s">
        <v>92</v>
      </c>
      <c r="C39" t="s">
        <v>93</v>
      </c>
      <c r="D39" t="s">
        <v>94</v>
      </c>
      <c r="E39">
        <v>625000</v>
      </c>
      <c r="F39">
        <v>1076</v>
      </c>
      <c r="G39">
        <v>1.135734E-2</v>
      </c>
    </row>
    <row r="40" spans="1:7" x14ac:dyDescent="0.35">
      <c r="A40">
        <v>34</v>
      </c>
      <c r="B40" t="s">
        <v>95</v>
      </c>
      <c r="C40" t="s">
        <v>96</v>
      </c>
      <c r="D40" t="s">
        <v>97</v>
      </c>
      <c r="E40">
        <v>120000</v>
      </c>
      <c r="F40">
        <v>1062</v>
      </c>
      <c r="G40">
        <v>1.120957E-2</v>
      </c>
    </row>
    <row r="41" spans="1:7" x14ac:dyDescent="0.35">
      <c r="A41">
        <v>35</v>
      </c>
      <c r="B41" t="s">
        <v>98</v>
      </c>
      <c r="C41" t="s">
        <v>99</v>
      </c>
      <c r="D41" t="s">
        <v>79</v>
      </c>
      <c r="E41">
        <v>260000</v>
      </c>
      <c r="F41">
        <v>1050.01</v>
      </c>
      <c r="G41">
        <v>1.1083010000000001E-2</v>
      </c>
    </row>
    <row r="42" spans="1:7" x14ac:dyDescent="0.35">
      <c r="A42">
        <v>36</v>
      </c>
      <c r="B42" t="s">
        <v>100</v>
      </c>
      <c r="C42" t="s">
        <v>101</v>
      </c>
      <c r="D42" t="s">
        <v>48</v>
      </c>
      <c r="E42">
        <v>33000</v>
      </c>
      <c r="F42">
        <v>1010.889</v>
      </c>
      <c r="G42">
        <v>1.067008E-2</v>
      </c>
    </row>
    <row r="43" spans="1:7" x14ac:dyDescent="0.35">
      <c r="A43">
        <v>37</v>
      </c>
      <c r="B43" t="s">
        <v>102</v>
      </c>
      <c r="C43" t="s">
        <v>103</v>
      </c>
      <c r="D43" t="s">
        <v>97</v>
      </c>
      <c r="E43">
        <v>67000</v>
      </c>
      <c r="F43">
        <v>977.73099999999999</v>
      </c>
      <c r="G43">
        <v>1.03201E-2</v>
      </c>
    </row>
    <row r="44" spans="1:7" x14ac:dyDescent="0.35">
      <c r="A44">
        <v>38</v>
      </c>
      <c r="B44" t="s">
        <v>104</v>
      </c>
      <c r="C44" t="s">
        <v>105</v>
      </c>
      <c r="D44" t="s">
        <v>28</v>
      </c>
      <c r="E44">
        <v>175000</v>
      </c>
      <c r="F44">
        <v>973.61249999999995</v>
      </c>
      <c r="G44">
        <v>1.027663E-2</v>
      </c>
    </row>
    <row r="45" spans="1:7" x14ac:dyDescent="0.35">
      <c r="A45">
        <v>39</v>
      </c>
      <c r="B45" t="s">
        <v>106</v>
      </c>
      <c r="C45" t="s">
        <v>107</v>
      </c>
      <c r="D45" t="s">
        <v>43</v>
      </c>
      <c r="E45">
        <v>25000</v>
      </c>
      <c r="F45">
        <v>969.75</v>
      </c>
      <c r="G45">
        <v>1.0235859999999999E-2</v>
      </c>
    </row>
    <row r="46" spans="1:7" x14ac:dyDescent="0.35">
      <c r="A46">
        <v>40</v>
      </c>
      <c r="B46" t="s">
        <v>108</v>
      </c>
      <c r="C46" t="s">
        <v>109</v>
      </c>
      <c r="D46" t="s">
        <v>48</v>
      </c>
      <c r="E46">
        <v>325000</v>
      </c>
      <c r="F46">
        <v>934.21249999999998</v>
      </c>
      <c r="G46">
        <v>9.8607499999999997E-3</v>
      </c>
    </row>
    <row r="47" spans="1:7" x14ac:dyDescent="0.35">
      <c r="A47">
        <v>41</v>
      </c>
      <c r="B47" t="s">
        <v>110</v>
      </c>
      <c r="C47" t="s">
        <v>111</v>
      </c>
      <c r="D47" t="s">
        <v>48</v>
      </c>
      <c r="E47">
        <v>171524</v>
      </c>
      <c r="F47">
        <v>923.22793000000001</v>
      </c>
      <c r="G47">
        <v>9.7448099999999996E-3</v>
      </c>
    </row>
    <row r="48" spans="1:7" x14ac:dyDescent="0.35">
      <c r="A48">
        <v>42</v>
      </c>
      <c r="B48" t="s">
        <v>112</v>
      </c>
      <c r="C48" t="s">
        <v>113</v>
      </c>
      <c r="D48" t="s">
        <v>114</v>
      </c>
      <c r="E48">
        <v>12500</v>
      </c>
      <c r="F48">
        <v>880.3125</v>
      </c>
      <c r="G48">
        <v>9.2918299999999992E-3</v>
      </c>
    </row>
    <row r="49" spans="1:7" x14ac:dyDescent="0.35">
      <c r="A49">
        <v>43</v>
      </c>
      <c r="B49" t="s">
        <v>115</v>
      </c>
      <c r="C49" t="s">
        <v>116</v>
      </c>
      <c r="D49" t="s">
        <v>48</v>
      </c>
      <c r="E49">
        <v>175000</v>
      </c>
      <c r="F49">
        <v>842.53750000000002</v>
      </c>
      <c r="G49">
        <v>8.8931099999999992E-3</v>
      </c>
    </row>
    <row r="50" spans="1:7" x14ac:dyDescent="0.35">
      <c r="A50">
        <v>44</v>
      </c>
      <c r="B50" t="s">
        <v>117</v>
      </c>
      <c r="C50" t="s">
        <v>118</v>
      </c>
      <c r="D50" t="s">
        <v>48</v>
      </c>
      <c r="E50">
        <v>16000</v>
      </c>
      <c r="F50">
        <v>827.2</v>
      </c>
      <c r="G50">
        <v>8.7312199999999996E-3</v>
      </c>
    </row>
    <row r="51" spans="1:7" x14ac:dyDescent="0.35">
      <c r="A51">
        <v>45</v>
      </c>
      <c r="B51" t="s">
        <v>119</v>
      </c>
      <c r="C51" t="s">
        <v>120</v>
      </c>
      <c r="D51" t="s">
        <v>53</v>
      </c>
      <c r="E51">
        <v>60000</v>
      </c>
      <c r="F51">
        <v>635.88</v>
      </c>
      <c r="G51">
        <v>6.7118100000000003E-3</v>
      </c>
    </row>
    <row r="52" spans="1:7" x14ac:dyDescent="0.35">
      <c r="A52">
        <v>46</v>
      </c>
      <c r="B52" t="s">
        <v>121</v>
      </c>
      <c r="C52" t="s">
        <v>122</v>
      </c>
      <c r="D52" t="s">
        <v>48</v>
      </c>
      <c r="E52">
        <v>20000</v>
      </c>
      <c r="F52">
        <v>604.52</v>
      </c>
      <c r="G52">
        <v>6.3807999999999998E-3</v>
      </c>
    </row>
    <row r="53" spans="1:7" x14ac:dyDescent="0.35">
      <c r="A53">
        <v>47</v>
      </c>
      <c r="B53" t="s">
        <v>123</v>
      </c>
      <c r="C53" t="s">
        <v>124</v>
      </c>
      <c r="D53" t="s">
        <v>79</v>
      </c>
      <c r="E53">
        <v>112500</v>
      </c>
      <c r="F53">
        <v>590.56875000000002</v>
      </c>
      <c r="G53">
        <v>6.2335400000000001E-3</v>
      </c>
    </row>
    <row r="54" spans="1:7" x14ac:dyDescent="0.35">
      <c r="A54">
        <v>48</v>
      </c>
      <c r="B54" t="s">
        <v>125</v>
      </c>
      <c r="C54" t="s">
        <v>126</v>
      </c>
      <c r="D54" t="s">
        <v>19</v>
      </c>
      <c r="E54">
        <v>70000</v>
      </c>
      <c r="F54">
        <v>527.73</v>
      </c>
      <c r="G54">
        <v>5.5702700000000004E-3</v>
      </c>
    </row>
    <row r="55" spans="1:7" x14ac:dyDescent="0.35">
      <c r="A55">
        <v>49</v>
      </c>
      <c r="B55" t="s">
        <v>127</v>
      </c>
      <c r="C55" t="s">
        <v>128</v>
      </c>
      <c r="D55" t="s">
        <v>129</v>
      </c>
      <c r="E55">
        <v>50000</v>
      </c>
      <c r="F55">
        <v>526.9</v>
      </c>
      <c r="G55">
        <v>5.5615100000000004E-3</v>
      </c>
    </row>
    <row r="56" spans="1:7" x14ac:dyDescent="0.35">
      <c r="A56">
        <v>50</v>
      </c>
      <c r="B56" t="s">
        <v>130</v>
      </c>
      <c r="C56" t="s">
        <v>131</v>
      </c>
      <c r="D56" t="s">
        <v>65</v>
      </c>
      <c r="E56">
        <v>4000</v>
      </c>
      <c r="F56">
        <v>484.08</v>
      </c>
      <c r="G56">
        <v>5.1095400000000001E-3</v>
      </c>
    </row>
    <row r="57" spans="1:7" x14ac:dyDescent="0.35">
      <c r="A57">
        <v>51</v>
      </c>
      <c r="B57" t="s">
        <v>132</v>
      </c>
      <c r="C57" t="s">
        <v>133</v>
      </c>
      <c r="D57" t="s">
        <v>19</v>
      </c>
      <c r="E57">
        <v>300000</v>
      </c>
      <c r="F57">
        <v>481.32</v>
      </c>
      <c r="G57">
        <v>5.0803999999999997E-3</v>
      </c>
    </row>
    <row r="58" spans="1:7" x14ac:dyDescent="0.35">
      <c r="A58">
        <v>52</v>
      </c>
      <c r="B58" t="s">
        <v>134</v>
      </c>
      <c r="C58" t="s">
        <v>135</v>
      </c>
      <c r="D58" t="s">
        <v>48</v>
      </c>
      <c r="E58">
        <v>18000</v>
      </c>
      <c r="F58">
        <v>460.81799999999998</v>
      </c>
      <c r="G58">
        <v>4.8640000000000003E-3</v>
      </c>
    </row>
    <row r="59" spans="1:7" x14ac:dyDescent="0.35">
      <c r="A59">
        <v>53</v>
      </c>
      <c r="B59" t="s">
        <v>136</v>
      </c>
      <c r="C59" t="s">
        <v>137</v>
      </c>
      <c r="D59" t="s">
        <v>138</v>
      </c>
      <c r="E59">
        <v>115000</v>
      </c>
      <c r="F59">
        <v>370.99</v>
      </c>
      <c r="G59">
        <v>3.9158600000000002E-3</v>
      </c>
    </row>
    <row r="60" spans="1:7" x14ac:dyDescent="0.35">
      <c r="C60" t="s">
        <v>139</v>
      </c>
      <c r="F60">
        <v>90214.092691188998</v>
      </c>
      <c r="G60">
        <v>0.95222322999999998</v>
      </c>
    </row>
    <row r="62" spans="1:7" x14ac:dyDescent="0.35">
      <c r="C62" t="s">
        <v>140</v>
      </c>
    </row>
    <row r="63" spans="1:7" x14ac:dyDescent="0.35">
      <c r="C63" t="s">
        <v>139</v>
      </c>
      <c r="F63" t="s">
        <v>141</v>
      </c>
      <c r="G63">
        <v>0</v>
      </c>
    </row>
    <row r="65" spans="1:7" x14ac:dyDescent="0.35">
      <c r="C65" t="s">
        <v>142</v>
      </c>
    </row>
    <row r="66" spans="1:7" x14ac:dyDescent="0.35">
      <c r="A66">
        <v>1</v>
      </c>
      <c r="B66" t="s">
        <v>143</v>
      </c>
      <c r="C66" t="s">
        <v>144</v>
      </c>
      <c r="D66" t="s">
        <v>145</v>
      </c>
      <c r="E66">
        <v>559425</v>
      </c>
      <c r="F66">
        <v>1.1189000000000001E-5</v>
      </c>
      <c r="G66" t="s">
        <v>146</v>
      </c>
    </row>
    <row r="67" spans="1:7" x14ac:dyDescent="0.35">
      <c r="C67" t="s">
        <v>139</v>
      </c>
      <c r="F67" t="s">
        <v>141</v>
      </c>
      <c r="G67">
        <v>0</v>
      </c>
    </row>
    <row r="69" spans="1:7" x14ac:dyDescent="0.35">
      <c r="C69" t="s">
        <v>147</v>
      </c>
    </row>
    <row r="70" spans="1:7" x14ac:dyDescent="0.35">
      <c r="C70" t="s">
        <v>139</v>
      </c>
      <c r="F70" t="s">
        <v>141</v>
      </c>
      <c r="G70">
        <v>0</v>
      </c>
    </row>
    <row r="72" spans="1:7" x14ac:dyDescent="0.35">
      <c r="C72" t="s">
        <v>148</v>
      </c>
    </row>
    <row r="73" spans="1:7" x14ac:dyDescent="0.35">
      <c r="C73" t="s">
        <v>139</v>
      </c>
      <c r="F73" t="s">
        <v>141</v>
      </c>
      <c r="G73">
        <v>0</v>
      </c>
    </row>
    <row r="75" spans="1:7" x14ac:dyDescent="0.35">
      <c r="C75" t="s">
        <v>149</v>
      </c>
    </row>
    <row r="76" spans="1:7" x14ac:dyDescent="0.35">
      <c r="C76" t="s">
        <v>139</v>
      </c>
      <c r="F76" t="s">
        <v>141</v>
      </c>
      <c r="G76">
        <v>0</v>
      </c>
    </row>
    <row r="78" spans="1:7" x14ac:dyDescent="0.35">
      <c r="C78" t="s">
        <v>150</v>
      </c>
      <c r="F78">
        <v>90214.092691188998</v>
      </c>
      <c r="G78">
        <v>0.95222322999999998</v>
      </c>
    </row>
    <row r="80" spans="1:7" x14ac:dyDescent="0.35">
      <c r="C80" t="s">
        <v>151</v>
      </c>
    </row>
    <row r="81" spans="3:7" x14ac:dyDescent="0.35">
      <c r="C81" t="s">
        <v>13</v>
      </c>
    </row>
    <row r="82" spans="3:7" x14ac:dyDescent="0.35">
      <c r="C82" t="s">
        <v>139</v>
      </c>
      <c r="F82" t="s">
        <v>141</v>
      </c>
      <c r="G82">
        <v>0</v>
      </c>
    </row>
    <row r="84" spans="3:7" x14ac:dyDescent="0.35">
      <c r="C84" t="s">
        <v>152</v>
      </c>
    </row>
    <row r="85" spans="3:7" x14ac:dyDescent="0.35">
      <c r="C85" t="s">
        <v>139</v>
      </c>
      <c r="F85" t="s">
        <v>141</v>
      </c>
      <c r="G85">
        <v>0</v>
      </c>
    </row>
    <row r="87" spans="3:7" x14ac:dyDescent="0.35">
      <c r="C87" t="s">
        <v>153</v>
      </c>
    </row>
    <row r="88" spans="3:7" x14ac:dyDescent="0.35">
      <c r="C88" t="s">
        <v>139</v>
      </c>
      <c r="F88" t="s">
        <v>141</v>
      </c>
      <c r="G88">
        <v>0</v>
      </c>
    </row>
    <row r="90" spans="3:7" x14ac:dyDescent="0.35">
      <c r="C90" t="s">
        <v>154</v>
      </c>
    </row>
    <row r="91" spans="3:7" x14ac:dyDescent="0.35">
      <c r="C91" t="s">
        <v>139</v>
      </c>
      <c r="F91" t="s">
        <v>141</v>
      </c>
      <c r="G91">
        <v>0</v>
      </c>
    </row>
    <row r="93" spans="3:7" x14ac:dyDescent="0.35">
      <c r="C93" t="s">
        <v>155</v>
      </c>
      <c r="F93">
        <v>0</v>
      </c>
      <c r="G93">
        <v>0</v>
      </c>
    </row>
    <row r="95" spans="3:7" x14ac:dyDescent="0.35">
      <c r="C95" t="s">
        <v>156</v>
      </c>
    </row>
    <row r="96" spans="3:7" x14ac:dyDescent="0.35">
      <c r="C96" t="s">
        <v>157</v>
      </c>
    </row>
    <row r="97" spans="1:8" x14ac:dyDescent="0.35">
      <c r="C97" t="s">
        <v>139</v>
      </c>
      <c r="F97" t="s">
        <v>141</v>
      </c>
      <c r="G97">
        <v>0</v>
      </c>
    </row>
    <row r="99" spans="1:8" x14ac:dyDescent="0.35">
      <c r="C99" t="s">
        <v>158</v>
      </c>
    </row>
    <row r="100" spans="1:8" x14ac:dyDescent="0.35">
      <c r="C100" t="s">
        <v>139</v>
      </c>
      <c r="F100" t="s">
        <v>141</v>
      </c>
      <c r="G100">
        <v>0</v>
      </c>
    </row>
    <row r="102" spans="1:8" x14ac:dyDescent="0.35">
      <c r="C102" t="s">
        <v>159</v>
      </c>
    </row>
    <row r="103" spans="1:8" x14ac:dyDescent="0.35">
      <c r="C103" t="s">
        <v>139</v>
      </c>
      <c r="F103" t="s">
        <v>141</v>
      </c>
      <c r="G103">
        <v>0</v>
      </c>
    </row>
    <row r="105" spans="1:8" x14ac:dyDescent="0.35">
      <c r="C105" t="s">
        <v>160</v>
      </c>
    </row>
    <row r="106" spans="1:8" x14ac:dyDescent="0.35">
      <c r="A106">
        <v>1</v>
      </c>
      <c r="C106" t="s">
        <v>161</v>
      </c>
      <c r="F106">
        <v>3880.3758199839999</v>
      </c>
      <c r="G106">
        <v>4.095795E-2</v>
      </c>
      <c r="H106">
        <v>5.42</v>
      </c>
    </row>
    <row r="107" spans="1:8" x14ac:dyDescent="0.35">
      <c r="C107" t="s">
        <v>139</v>
      </c>
      <c r="F107">
        <v>3880.3758199839999</v>
      </c>
      <c r="G107">
        <v>4.095795E-2</v>
      </c>
    </row>
    <row r="109" spans="1:8" x14ac:dyDescent="0.35">
      <c r="C109" t="s">
        <v>162</v>
      </c>
      <c r="F109">
        <v>3880.3758199839999</v>
      </c>
      <c r="G109">
        <v>4.095795E-2</v>
      </c>
    </row>
    <row r="111" spans="1:8" x14ac:dyDescent="0.35">
      <c r="C111" t="s">
        <v>163</v>
      </c>
    </row>
    <row r="112" spans="1:8" x14ac:dyDescent="0.35">
      <c r="C112" t="s">
        <v>164</v>
      </c>
    </row>
    <row r="113" spans="2:7" x14ac:dyDescent="0.35">
      <c r="C113" t="s">
        <v>139</v>
      </c>
      <c r="F113" t="s">
        <v>141</v>
      </c>
      <c r="G113">
        <v>0</v>
      </c>
    </row>
    <row r="115" spans="2:7" x14ac:dyDescent="0.35">
      <c r="C115" t="s">
        <v>165</v>
      </c>
    </row>
    <row r="116" spans="2:7" x14ac:dyDescent="0.35">
      <c r="C116" t="s">
        <v>166</v>
      </c>
    </row>
    <row r="117" spans="2:7" x14ac:dyDescent="0.35">
      <c r="C117" t="s">
        <v>139</v>
      </c>
      <c r="F117" t="s">
        <v>141</v>
      </c>
      <c r="G117">
        <v>0</v>
      </c>
    </row>
    <row r="119" spans="2:7" x14ac:dyDescent="0.35">
      <c r="C119" t="s">
        <v>167</v>
      </c>
    </row>
    <row r="120" spans="2:7" x14ac:dyDescent="0.35">
      <c r="C120" t="s">
        <v>139</v>
      </c>
      <c r="F120" t="s">
        <v>141</v>
      </c>
      <c r="G120">
        <v>0</v>
      </c>
    </row>
    <row r="123" spans="2:7" x14ac:dyDescent="0.35">
      <c r="C123" t="s">
        <v>168</v>
      </c>
      <c r="F123">
        <v>646.02212362</v>
      </c>
      <c r="G123">
        <v>6.8188600000000004E-3</v>
      </c>
    </row>
    <row r="124" spans="2:7" x14ac:dyDescent="0.35">
      <c r="C124" t="s">
        <v>169</v>
      </c>
      <c r="F124">
        <v>94740.490634792994</v>
      </c>
      <c r="G124">
        <v>1.00000004</v>
      </c>
    </row>
    <row r="126" spans="2:7" x14ac:dyDescent="0.35">
      <c r="B126" t="s">
        <v>170</v>
      </c>
    </row>
    <row r="127" spans="2:7" x14ac:dyDescent="0.35">
      <c r="B127" t="s">
        <v>171</v>
      </c>
    </row>
    <row r="128" spans="2:7" x14ac:dyDescent="0.35">
      <c r="B128" t="s">
        <v>172</v>
      </c>
    </row>
    <row r="129" spans="2:4" x14ac:dyDescent="0.35">
      <c r="B129" t="s">
        <v>173</v>
      </c>
    </row>
    <row r="130" spans="2:4" x14ac:dyDescent="0.35">
      <c r="B130" t="s">
        <v>174</v>
      </c>
    </row>
    <row r="132" spans="2:4" x14ac:dyDescent="0.35">
      <c r="B132" t="s">
        <v>175</v>
      </c>
    </row>
    <row r="133" spans="2:4" x14ac:dyDescent="0.35">
      <c r="B133" t="s">
        <v>176</v>
      </c>
      <c r="D133" t="s">
        <v>177</v>
      </c>
    </row>
    <row r="134" spans="2:4" x14ac:dyDescent="0.35">
      <c r="B134" t="s">
        <v>178</v>
      </c>
      <c r="D134" t="str">
        <f>"Rs. "&amp;TEXT(F69,"0.00")&amp;" lacs/ "&amp;IF(ROUND((G69*100),2) = 0,"#",(TEXT((G69*100),"0.00")&amp;"%"))</f>
        <v>Rs. 0.00 lacs/ #</v>
      </c>
    </row>
    <row r="135" spans="2:4" x14ac:dyDescent="0.35">
      <c r="B135" t="s">
        <v>179</v>
      </c>
    </row>
    <row r="136" spans="2:4" x14ac:dyDescent="0.35">
      <c r="C136" t="s">
        <v>180</v>
      </c>
      <c r="D136" t="s">
        <v>181</v>
      </c>
    </row>
    <row r="137" spans="2:4" x14ac:dyDescent="0.35">
      <c r="B137" t="s">
        <v>182</v>
      </c>
      <c r="C137" s="1">
        <v>45991</v>
      </c>
      <c r="D137" s="1">
        <v>46022</v>
      </c>
    </row>
    <row r="138" spans="2:4" x14ac:dyDescent="0.35">
      <c r="B138" t="s">
        <v>183</v>
      </c>
      <c r="C138">
        <v>104.63330000000001</v>
      </c>
      <c r="D138">
        <v>103.6795</v>
      </c>
    </row>
    <row r="139" spans="2:4" x14ac:dyDescent="0.35">
      <c r="B139" t="s">
        <v>184</v>
      </c>
      <c r="C139">
        <v>60.244900000000001</v>
      </c>
      <c r="D139">
        <v>59.695700000000002</v>
      </c>
    </row>
    <row r="140" spans="2:4" x14ac:dyDescent="0.35">
      <c r="B140" t="s">
        <v>185</v>
      </c>
      <c r="C140">
        <v>97.731499999999997</v>
      </c>
      <c r="D140">
        <v>96.792100000000005</v>
      </c>
    </row>
    <row r="141" spans="2:4" x14ac:dyDescent="0.35">
      <c r="B141" t="s">
        <v>186</v>
      </c>
      <c r="C141">
        <v>55.969900000000003</v>
      </c>
      <c r="D141">
        <v>55.432000000000002</v>
      </c>
    </row>
    <row r="143" spans="2:4" x14ac:dyDescent="0.35">
      <c r="B143" t="s">
        <v>187</v>
      </c>
      <c r="D143" t="s">
        <v>177</v>
      </c>
    </row>
    <row r="145" spans="2:4" x14ac:dyDescent="0.35">
      <c r="B145" t="s">
        <v>188</v>
      </c>
      <c r="D145" t="s">
        <v>177</v>
      </c>
    </row>
    <row r="146" spans="2:4" x14ac:dyDescent="0.35">
      <c r="B146" t="s">
        <v>189</v>
      </c>
      <c r="D146" t="s">
        <v>177</v>
      </c>
    </row>
    <row r="147" spans="2:4" x14ac:dyDescent="0.35">
      <c r="B147" t="s">
        <v>190</v>
      </c>
      <c r="D147" t="s">
        <v>177</v>
      </c>
    </row>
    <row r="148" spans="2:4" x14ac:dyDescent="0.35">
      <c r="B148" t="s">
        <v>191</v>
      </c>
      <c r="D148">
        <v>0.2638113798205789</v>
      </c>
    </row>
    <row r="150" spans="2:4" x14ac:dyDescent="0.35">
      <c r="B150" t="s">
        <v>192</v>
      </c>
    </row>
    <row r="155" spans="2:4" x14ac:dyDescent="0.35">
      <c r="B155" t="s">
        <v>193</v>
      </c>
    </row>
    <row r="156" spans="2:4" x14ac:dyDescent="0.35">
      <c r="B156" t="s">
        <v>194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2"/>
  <sheetViews>
    <sheetView workbookViewId="0"/>
  </sheetViews>
  <sheetFormatPr defaultRowHeight="14.5" x14ac:dyDescent="0.35"/>
  <sheetData>
    <row r="1" spans="1:8" x14ac:dyDescent="0.35">
      <c r="A1" t="s">
        <v>0</v>
      </c>
    </row>
    <row r="2" spans="1:8" x14ac:dyDescent="0.35">
      <c r="A2" t="s">
        <v>195</v>
      </c>
    </row>
    <row r="3" spans="1:8" x14ac:dyDescent="0.35">
      <c r="A3" t="s">
        <v>3</v>
      </c>
    </row>
    <row r="4" spans="1:8" x14ac:dyDescent="0.35">
      <c r="A4" t="s">
        <v>4</v>
      </c>
      <c r="B4" t="s">
        <v>5</v>
      </c>
      <c r="C4" t="s">
        <v>6</v>
      </c>
      <c r="D4" t="s">
        <v>7</v>
      </c>
      <c r="E4" t="s">
        <v>8</v>
      </c>
      <c r="F4" t="s">
        <v>9</v>
      </c>
      <c r="G4" t="s">
        <v>10</v>
      </c>
      <c r="H4" t="s">
        <v>11</v>
      </c>
    </row>
    <row r="5" spans="1:8" x14ac:dyDescent="0.35">
      <c r="C5" t="s">
        <v>12</v>
      </c>
    </row>
    <row r="6" spans="1:8" x14ac:dyDescent="0.35">
      <c r="C6" t="s">
        <v>13</v>
      </c>
    </row>
    <row r="7" spans="1:8" x14ac:dyDescent="0.35">
      <c r="C7" t="s">
        <v>139</v>
      </c>
      <c r="F7" t="s">
        <v>141</v>
      </c>
      <c r="G7">
        <v>0</v>
      </c>
    </row>
    <row r="9" spans="1:8" x14ac:dyDescent="0.35">
      <c r="C9" t="s">
        <v>140</v>
      </c>
    </row>
    <row r="10" spans="1:8" x14ac:dyDescent="0.35">
      <c r="C10" t="s">
        <v>139</v>
      </c>
      <c r="F10" t="s">
        <v>141</v>
      </c>
      <c r="G10">
        <v>0</v>
      </c>
    </row>
    <row r="12" spans="1:8" x14ac:dyDescent="0.35">
      <c r="C12" t="s">
        <v>142</v>
      </c>
    </row>
    <row r="13" spans="1:8" x14ac:dyDescent="0.35">
      <c r="C13" t="s">
        <v>139</v>
      </c>
      <c r="F13" t="s">
        <v>141</v>
      </c>
      <c r="G13">
        <v>0</v>
      </c>
    </row>
    <row r="15" spans="1:8" x14ac:dyDescent="0.35">
      <c r="C15" t="s">
        <v>147</v>
      </c>
    </row>
    <row r="16" spans="1:8" x14ac:dyDescent="0.35">
      <c r="C16" t="s">
        <v>139</v>
      </c>
      <c r="F16" t="s">
        <v>141</v>
      </c>
      <c r="G16">
        <v>0</v>
      </c>
    </row>
    <row r="18" spans="3:7" x14ac:dyDescent="0.35">
      <c r="C18" t="s">
        <v>148</v>
      </c>
    </row>
    <row r="19" spans="3:7" x14ac:dyDescent="0.35">
      <c r="C19" t="s">
        <v>139</v>
      </c>
      <c r="F19" t="s">
        <v>141</v>
      </c>
      <c r="G19">
        <v>0</v>
      </c>
    </row>
    <row r="21" spans="3:7" x14ac:dyDescent="0.35">
      <c r="C21" t="s">
        <v>149</v>
      </c>
    </row>
    <row r="22" spans="3:7" x14ac:dyDescent="0.35">
      <c r="C22" t="s">
        <v>139</v>
      </c>
      <c r="F22" t="s">
        <v>141</v>
      </c>
      <c r="G22">
        <v>0</v>
      </c>
    </row>
    <row r="24" spans="3:7" x14ac:dyDescent="0.35">
      <c r="C24" t="s">
        <v>150</v>
      </c>
      <c r="F24">
        <v>0</v>
      </c>
      <c r="G24">
        <v>0</v>
      </c>
    </row>
    <row r="26" spans="3:7" x14ac:dyDescent="0.35">
      <c r="C26" t="s">
        <v>151</v>
      </c>
    </row>
    <row r="27" spans="3:7" x14ac:dyDescent="0.35">
      <c r="C27" t="s">
        <v>13</v>
      </c>
    </row>
    <row r="28" spans="3:7" x14ac:dyDescent="0.35">
      <c r="C28" t="s">
        <v>139</v>
      </c>
      <c r="F28" t="s">
        <v>141</v>
      </c>
      <c r="G28">
        <v>0</v>
      </c>
    </row>
    <row r="30" spans="3:7" x14ac:dyDescent="0.35">
      <c r="C30" t="s">
        <v>152</v>
      </c>
    </row>
    <row r="31" spans="3:7" x14ac:dyDescent="0.35">
      <c r="C31" t="s">
        <v>139</v>
      </c>
      <c r="F31" t="s">
        <v>141</v>
      </c>
      <c r="G31">
        <v>0</v>
      </c>
    </row>
    <row r="33" spans="3:7" x14ac:dyDescent="0.35">
      <c r="C33" t="s">
        <v>153</v>
      </c>
    </row>
    <row r="34" spans="3:7" x14ac:dyDescent="0.35">
      <c r="C34" t="s">
        <v>139</v>
      </c>
      <c r="F34" t="s">
        <v>141</v>
      </c>
      <c r="G34">
        <v>0</v>
      </c>
    </row>
    <row r="36" spans="3:7" x14ac:dyDescent="0.35">
      <c r="C36" t="s">
        <v>154</v>
      </c>
    </row>
    <row r="37" spans="3:7" x14ac:dyDescent="0.35">
      <c r="C37" t="s">
        <v>139</v>
      </c>
      <c r="F37" t="s">
        <v>141</v>
      </c>
      <c r="G37">
        <v>0</v>
      </c>
    </row>
    <row r="39" spans="3:7" x14ac:dyDescent="0.35">
      <c r="C39" t="s">
        <v>155</v>
      </c>
      <c r="F39">
        <v>0</v>
      </c>
      <c r="G39">
        <v>0</v>
      </c>
    </row>
    <row r="41" spans="3:7" x14ac:dyDescent="0.35">
      <c r="C41" t="s">
        <v>156</v>
      </c>
    </row>
    <row r="42" spans="3:7" x14ac:dyDescent="0.35">
      <c r="C42" t="s">
        <v>157</v>
      </c>
    </row>
    <row r="43" spans="3:7" x14ac:dyDescent="0.35">
      <c r="C43" t="s">
        <v>139</v>
      </c>
      <c r="F43" t="s">
        <v>141</v>
      </c>
      <c r="G43">
        <v>0</v>
      </c>
    </row>
    <row r="45" spans="3:7" x14ac:dyDescent="0.35">
      <c r="C45" t="s">
        <v>158</v>
      </c>
    </row>
    <row r="46" spans="3:7" x14ac:dyDescent="0.35">
      <c r="C46" t="s">
        <v>139</v>
      </c>
      <c r="F46" t="s">
        <v>141</v>
      </c>
      <c r="G46">
        <v>0</v>
      </c>
    </row>
    <row r="48" spans="3:7" x14ac:dyDescent="0.35">
      <c r="C48" t="s">
        <v>159</v>
      </c>
    </row>
    <row r="49" spans="1:8" x14ac:dyDescent="0.35">
      <c r="C49" t="s">
        <v>139</v>
      </c>
      <c r="F49" t="s">
        <v>141</v>
      </c>
      <c r="G49">
        <v>0</v>
      </c>
    </row>
    <row r="51" spans="1:8" x14ac:dyDescent="0.35">
      <c r="C51" t="s">
        <v>160</v>
      </c>
    </row>
    <row r="52" spans="1:8" x14ac:dyDescent="0.35">
      <c r="A52">
        <v>1</v>
      </c>
      <c r="C52" t="s">
        <v>161</v>
      </c>
      <c r="F52">
        <v>492.10710999999998</v>
      </c>
      <c r="G52">
        <v>3.1447709999999997E-2</v>
      </c>
      <c r="H52">
        <v>5.42</v>
      </c>
    </row>
    <row r="53" spans="1:8" x14ac:dyDescent="0.35">
      <c r="C53" t="s">
        <v>139</v>
      </c>
      <c r="F53">
        <v>492.10710999999998</v>
      </c>
      <c r="G53">
        <v>3.1447709999999997E-2</v>
      </c>
    </row>
    <row r="55" spans="1:8" x14ac:dyDescent="0.35">
      <c r="C55" t="s">
        <v>162</v>
      </c>
      <c r="F55">
        <v>492.10710999999998</v>
      </c>
      <c r="G55">
        <v>3.1447709999999997E-2</v>
      </c>
    </row>
    <row r="57" spans="1:8" x14ac:dyDescent="0.35">
      <c r="C57" t="s">
        <v>163</v>
      </c>
    </row>
    <row r="58" spans="1:8" x14ac:dyDescent="0.35">
      <c r="C58" t="s">
        <v>196</v>
      </c>
    </row>
    <row r="59" spans="1:8" x14ac:dyDescent="0.35">
      <c r="A59">
        <v>1</v>
      </c>
      <c r="B59" t="s">
        <v>197</v>
      </c>
      <c r="C59" t="s">
        <v>198</v>
      </c>
      <c r="E59">
        <v>9147275.5120000001</v>
      </c>
      <c r="F59">
        <v>15241.31755034</v>
      </c>
      <c r="G59">
        <v>0.97398401000000001</v>
      </c>
    </row>
    <row r="60" spans="1:8" x14ac:dyDescent="0.35">
      <c r="C60" t="s">
        <v>139</v>
      </c>
      <c r="F60">
        <v>15241.31755034</v>
      </c>
      <c r="G60">
        <v>0.97398401000000001</v>
      </c>
    </row>
    <row r="62" spans="1:8" x14ac:dyDescent="0.35">
      <c r="C62" t="s">
        <v>165</v>
      </c>
    </row>
    <row r="63" spans="1:8" x14ac:dyDescent="0.35">
      <c r="C63" t="s">
        <v>166</v>
      </c>
    </row>
    <row r="64" spans="1:8" x14ac:dyDescent="0.35">
      <c r="C64" t="s">
        <v>139</v>
      </c>
      <c r="F64" t="s">
        <v>141</v>
      </c>
      <c r="G64">
        <v>0</v>
      </c>
    </row>
    <row r="66" spans="2:7" x14ac:dyDescent="0.35">
      <c r="C66" t="s">
        <v>167</v>
      </c>
    </row>
    <row r="67" spans="2:7" x14ac:dyDescent="0.35">
      <c r="C67" t="s">
        <v>139</v>
      </c>
      <c r="F67" t="s">
        <v>141</v>
      </c>
      <c r="G67">
        <v>0</v>
      </c>
    </row>
    <row r="69" spans="2:7" x14ac:dyDescent="0.35">
      <c r="C69" t="s">
        <v>168</v>
      </c>
      <c r="F69">
        <v>-84.997778080000003</v>
      </c>
      <c r="G69">
        <v>-5.4317100000000002E-3</v>
      </c>
    </row>
    <row r="70" spans="2:7" x14ac:dyDescent="0.35">
      <c r="C70" t="s">
        <v>169</v>
      </c>
      <c r="F70">
        <v>15648.426882260001</v>
      </c>
      <c r="G70">
        <v>1.0000000099999999</v>
      </c>
    </row>
    <row r="72" spans="2:7" x14ac:dyDescent="0.35">
      <c r="B72" t="s">
        <v>170</v>
      </c>
    </row>
    <row r="73" spans="2:7" x14ac:dyDescent="0.35">
      <c r="B73" t="s">
        <v>171</v>
      </c>
    </row>
    <row r="74" spans="2:7" x14ac:dyDescent="0.35">
      <c r="B74" t="s">
        <v>172</v>
      </c>
    </row>
    <row r="75" spans="2:7" x14ac:dyDescent="0.35">
      <c r="B75" t="s">
        <v>173</v>
      </c>
    </row>
    <row r="76" spans="2:7" x14ac:dyDescent="0.35">
      <c r="B76" t="s">
        <v>174</v>
      </c>
    </row>
    <row r="78" spans="2:7" x14ac:dyDescent="0.35">
      <c r="B78" t="s">
        <v>175</v>
      </c>
    </row>
    <row r="79" spans="2:7" x14ac:dyDescent="0.35">
      <c r="B79" t="s">
        <v>176</v>
      </c>
      <c r="D79" t="s">
        <v>177</v>
      </c>
    </row>
    <row r="80" spans="2:7" x14ac:dyDescent="0.35">
      <c r="B80" t="s">
        <v>178</v>
      </c>
      <c r="D80" t="s">
        <v>177</v>
      </c>
    </row>
    <row r="81" spans="2:4" x14ac:dyDescent="0.35">
      <c r="B81" t="s">
        <v>179</v>
      </c>
    </row>
    <row r="82" spans="2:4" x14ac:dyDescent="0.35">
      <c r="C82" t="s">
        <v>180</v>
      </c>
      <c r="D82" t="s">
        <v>181</v>
      </c>
    </row>
    <row r="83" spans="2:4" x14ac:dyDescent="0.35">
      <c r="B83" t="s">
        <v>182</v>
      </c>
      <c r="C83" s="1">
        <v>45991</v>
      </c>
      <c r="D83" s="1">
        <v>46022</v>
      </c>
    </row>
    <row r="84" spans="2:4" x14ac:dyDescent="0.35">
      <c r="B84" t="s">
        <v>183</v>
      </c>
      <c r="C84">
        <v>43.168799999999997</v>
      </c>
      <c r="D84">
        <v>44.051099999999998</v>
      </c>
    </row>
    <row r="85" spans="2:4" x14ac:dyDescent="0.35">
      <c r="B85" t="s">
        <v>199</v>
      </c>
      <c r="C85">
        <v>36.228900000000003</v>
      </c>
      <c r="D85">
        <v>36.969299999999997</v>
      </c>
    </row>
    <row r="86" spans="2:4" x14ac:dyDescent="0.35">
      <c r="B86" t="s">
        <v>185</v>
      </c>
      <c r="C86">
        <v>39.2928</v>
      </c>
      <c r="D86">
        <v>40.0655</v>
      </c>
    </row>
    <row r="87" spans="2:4" x14ac:dyDescent="0.35">
      <c r="B87" t="s">
        <v>200</v>
      </c>
      <c r="C87">
        <v>31.7636</v>
      </c>
      <c r="D87">
        <v>32.388199999999998</v>
      </c>
    </row>
    <row r="89" spans="2:4" x14ac:dyDescent="0.35">
      <c r="B89" t="s">
        <v>201</v>
      </c>
      <c r="D89" t="s">
        <v>177</v>
      </c>
    </row>
    <row r="91" spans="2:4" x14ac:dyDescent="0.35">
      <c r="B91" t="s">
        <v>188</v>
      </c>
      <c r="D91" t="s">
        <v>177</v>
      </c>
    </row>
    <row r="92" spans="2:4" x14ac:dyDescent="0.35">
      <c r="B92" t="s">
        <v>189</v>
      </c>
      <c r="D92" t="str">
        <f>"Rs. "&amp;TEXT(F60,"0,000.00")&amp;" Lacs"</f>
        <v>Rs. 15,241.32 Lacs</v>
      </c>
    </row>
    <row r="93" spans="2:4" x14ac:dyDescent="0.35">
      <c r="B93" t="s">
        <v>190</v>
      </c>
      <c r="D93" t="s">
        <v>177</v>
      </c>
    </row>
    <row r="94" spans="2:4" x14ac:dyDescent="0.35">
      <c r="B94" t="s">
        <v>191</v>
      </c>
      <c r="D94">
        <v>0</v>
      </c>
    </row>
    <row r="96" spans="2:4" x14ac:dyDescent="0.35">
      <c r="B96" t="s">
        <v>192</v>
      </c>
    </row>
    <row r="101" spans="2:2" x14ac:dyDescent="0.35">
      <c r="B101" t="s">
        <v>193</v>
      </c>
    </row>
    <row r="102" spans="2:2" x14ac:dyDescent="0.35">
      <c r="B102" t="s">
        <v>202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0"/>
  <sheetViews>
    <sheetView workbookViewId="0"/>
  </sheetViews>
  <sheetFormatPr defaultRowHeight="14.5" x14ac:dyDescent="0.35"/>
  <sheetData>
    <row r="1" spans="1:9" x14ac:dyDescent="0.35">
      <c r="A1" t="s">
        <v>0</v>
      </c>
      <c r="I1" t="s">
        <v>1</v>
      </c>
    </row>
    <row r="2" spans="1:9" x14ac:dyDescent="0.35">
      <c r="A2" t="s">
        <v>203</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57</v>
      </c>
      <c r="C7" t="s">
        <v>58</v>
      </c>
      <c r="D7" t="s">
        <v>53</v>
      </c>
      <c r="E7">
        <v>1157021</v>
      </c>
      <c r="F7">
        <v>51306.939224000002</v>
      </c>
      <c r="G7">
        <v>3.8597279999999998E-2</v>
      </c>
    </row>
    <row r="8" spans="1:9" x14ac:dyDescent="0.35">
      <c r="A8">
        <v>2</v>
      </c>
      <c r="B8" t="s">
        <v>204</v>
      </c>
      <c r="C8" t="s">
        <v>205</v>
      </c>
      <c r="D8" t="s">
        <v>206</v>
      </c>
      <c r="E8">
        <v>11544032</v>
      </c>
      <c r="F8">
        <v>46522.448960000002</v>
      </c>
      <c r="G8">
        <v>3.499799E-2</v>
      </c>
    </row>
    <row r="9" spans="1:9" x14ac:dyDescent="0.35">
      <c r="A9">
        <v>3</v>
      </c>
      <c r="B9" t="s">
        <v>207</v>
      </c>
      <c r="C9" t="s">
        <v>208</v>
      </c>
      <c r="D9" t="s">
        <v>209</v>
      </c>
      <c r="E9">
        <v>1730022</v>
      </c>
      <c r="F9">
        <v>39209.218608000003</v>
      </c>
      <c r="G9">
        <v>2.9496379999999999E-2</v>
      </c>
    </row>
    <row r="10" spans="1:9" x14ac:dyDescent="0.35">
      <c r="A10">
        <v>4</v>
      </c>
      <c r="B10" t="s">
        <v>46</v>
      </c>
      <c r="C10" t="s">
        <v>47</v>
      </c>
      <c r="D10" t="s">
        <v>48</v>
      </c>
      <c r="E10">
        <v>1158576</v>
      </c>
      <c r="F10">
        <v>36292.393199999999</v>
      </c>
      <c r="G10">
        <v>2.7302110000000001E-2</v>
      </c>
    </row>
    <row r="11" spans="1:9" x14ac:dyDescent="0.35">
      <c r="A11">
        <v>5</v>
      </c>
      <c r="B11" t="s">
        <v>210</v>
      </c>
      <c r="C11" t="s">
        <v>211</v>
      </c>
      <c r="D11" t="s">
        <v>38</v>
      </c>
      <c r="E11">
        <v>37978844</v>
      </c>
      <c r="F11">
        <v>32513.688348399999</v>
      </c>
      <c r="G11">
        <v>2.4459459999999999E-2</v>
      </c>
    </row>
    <row r="12" spans="1:9" x14ac:dyDescent="0.35">
      <c r="A12">
        <v>6</v>
      </c>
      <c r="B12" t="s">
        <v>212</v>
      </c>
      <c r="C12" t="s">
        <v>213</v>
      </c>
      <c r="D12" t="s">
        <v>38</v>
      </c>
      <c r="E12">
        <v>11865970</v>
      </c>
      <c r="F12">
        <v>31694.005870000001</v>
      </c>
      <c r="G12">
        <v>2.3842820000000001E-2</v>
      </c>
    </row>
    <row r="13" spans="1:9" x14ac:dyDescent="0.35">
      <c r="A13">
        <v>7</v>
      </c>
      <c r="B13" t="s">
        <v>214</v>
      </c>
      <c r="C13" t="s">
        <v>215</v>
      </c>
      <c r="D13" t="s">
        <v>22</v>
      </c>
      <c r="E13">
        <v>6144382</v>
      </c>
      <c r="F13">
        <v>30663.538370999999</v>
      </c>
      <c r="G13">
        <v>2.306762E-2</v>
      </c>
    </row>
    <row r="14" spans="1:9" x14ac:dyDescent="0.35">
      <c r="A14">
        <v>8</v>
      </c>
      <c r="B14" t="s">
        <v>216</v>
      </c>
      <c r="C14" t="s">
        <v>217</v>
      </c>
      <c r="D14" t="s">
        <v>65</v>
      </c>
      <c r="E14">
        <v>5916197</v>
      </c>
      <c r="F14">
        <v>28714.262139499999</v>
      </c>
      <c r="G14">
        <v>2.1601220000000001E-2</v>
      </c>
    </row>
    <row r="15" spans="1:9" x14ac:dyDescent="0.35">
      <c r="A15">
        <v>9</v>
      </c>
      <c r="B15" t="s">
        <v>218</v>
      </c>
      <c r="C15" t="s">
        <v>219</v>
      </c>
      <c r="D15" t="s">
        <v>220</v>
      </c>
      <c r="E15">
        <v>3663821</v>
      </c>
      <c r="F15">
        <v>27500.640426000002</v>
      </c>
      <c r="G15">
        <v>2.0688229999999998E-2</v>
      </c>
    </row>
    <row r="16" spans="1:9" x14ac:dyDescent="0.35">
      <c r="A16">
        <v>10</v>
      </c>
      <c r="B16" t="s">
        <v>221</v>
      </c>
      <c r="C16" t="s">
        <v>222</v>
      </c>
      <c r="D16" t="s">
        <v>223</v>
      </c>
      <c r="E16">
        <v>1468580</v>
      </c>
      <c r="F16">
        <v>26810.396479999999</v>
      </c>
      <c r="G16">
        <v>2.0168970000000001E-2</v>
      </c>
    </row>
    <row r="17" spans="1:7" x14ac:dyDescent="0.35">
      <c r="A17">
        <v>11</v>
      </c>
      <c r="B17" t="s">
        <v>224</v>
      </c>
      <c r="C17" t="s">
        <v>225</v>
      </c>
      <c r="D17" t="s">
        <v>97</v>
      </c>
      <c r="E17">
        <v>1427022</v>
      </c>
      <c r="F17">
        <v>26449.852770000001</v>
      </c>
      <c r="G17">
        <v>1.9897740000000001E-2</v>
      </c>
    </row>
    <row r="18" spans="1:7" x14ac:dyDescent="0.35">
      <c r="A18">
        <v>12</v>
      </c>
      <c r="B18" t="s">
        <v>226</v>
      </c>
      <c r="C18" t="s">
        <v>227</v>
      </c>
      <c r="D18" t="s">
        <v>114</v>
      </c>
      <c r="E18">
        <v>2960435</v>
      </c>
      <c r="F18">
        <v>26170.2454</v>
      </c>
      <c r="G18">
        <v>1.9687400000000001E-2</v>
      </c>
    </row>
    <row r="19" spans="1:7" x14ac:dyDescent="0.35">
      <c r="A19">
        <v>13</v>
      </c>
      <c r="B19" t="s">
        <v>228</v>
      </c>
      <c r="C19" t="s">
        <v>229</v>
      </c>
      <c r="D19" t="s">
        <v>230</v>
      </c>
      <c r="E19">
        <v>1550036</v>
      </c>
      <c r="F19">
        <v>25777.098679999999</v>
      </c>
      <c r="G19">
        <v>1.9391640000000002E-2</v>
      </c>
    </row>
    <row r="20" spans="1:7" x14ac:dyDescent="0.35">
      <c r="A20">
        <v>14</v>
      </c>
      <c r="B20" t="s">
        <v>231</v>
      </c>
      <c r="C20" t="s">
        <v>232</v>
      </c>
      <c r="D20" t="s">
        <v>38</v>
      </c>
      <c r="E20">
        <v>3010123</v>
      </c>
      <c r="F20">
        <v>25202.254817500001</v>
      </c>
      <c r="G20">
        <v>1.8959199999999999E-2</v>
      </c>
    </row>
    <row r="21" spans="1:7" x14ac:dyDescent="0.35">
      <c r="A21">
        <v>15</v>
      </c>
      <c r="B21" t="s">
        <v>127</v>
      </c>
      <c r="C21" t="s">
        <v>128</v>
      </c>
      <c r="D21" t="s">
        <v>129</v>
      </c>
      <c r="E21">
        <v>2380218</v>
      </c>
      <c r="F21">
        <v>25082.737283999999</v>
      </c>
      <c r="G21">
        <v>1.886929E-2</v>
      </c>
    </row>
    <row r="22" spans="1:7" x14ac:dyDescent="0.35">
      <c r="A22">
        <v>16</v>
      </c>
      <c r="B22" t="s">
        <v>233</v>
      </c>
      <c r="C22" t="s">
        <v>234</v>
      </c>
      <c r="D22" t="s">
        <v>235</v>
      </c>
      <c r="E22">
        <v>945165</v>
      </c>
      <c r="F22">
        <v>24878.633129999998</v>
      </c>
      <c r="G22">
        <v>1.8715740000000002E-2</v>
      </c>
    </row>
    <row r="23" spans="1:7" x14ac:dyDescent="0.35">
      <c r="A23">
        <v>17</v>
      </c>
      <c r="B23" t="s">
        <v>236</v>
      </c>
      <c r="C23" t="s">
        <v>237</v>
      </c>
      <c r="D23" t="s">
        <v>230</v>
      </c>
      <c r="E23">
        <v>386560</v>
      </c>
      <c r="F23">
        <v>24245.0432</v>
      </c>
      <c r="G23">
        <v>1.8239109999999999E-2</v>
      </c>
    </row>
    <row r="24" spans="1:7" x14ac:dyDescent="0.35">
      <c r="A24">
        <v>18</v>
      </c>
      <c r="B24" t="s">
        <v>238</v>
      </c>
      <c r="C24" t="s">
        <v>239</v>
      </c>
      <c r="D24" t="s">
        <v>240</v>
      </c>
      <c r="E24">
        <v>4211599</v>
      </c>
      <c r="F24">
        <v>23525.992013999999</v>
      </c>
      <c r="G24">
        <v>1.7698180000000001E-2</v>
      </c>
    </row>
    <row r="25" spans="1:7" x14ac:dyDescent="0.35">
      <c r="A25">
        <v>19</v>
      </c>
      <c r="B25" t="s">
        <v>241</v>
      </c>
      <c r="C25" t="s">
        <v>242</v>
      </c>
      <c r="D25" t="s">
        <v>243</v>
      </c>
      <c r="E25">
        <v>1050069</v>
      </c>
      <c r="F25">
        <v>22151.205555</v>
      </c>
      <c r="G25">
        <v>1.666395E-2</v>
      </c>
    </row>
    <row r="26" spans="1:7" x14ac:dyDescent="0.35">
      <c r="A26">
        <v>20</v>
      </c>
      <c r="B26" t="s">
        <v>244</v>
      </c>
      <c r="C26" t="s">
        <v>245</v>
      </c>
      <c r="D26" t="s">
        <v>38</v>
      </c>
      <c r="E26">
        <v>2127274</v>
      </c>
      <c r="F26">
        <v>21155.73993</v>
      </c>
      <c r="G26">
        <v>1.5915080000000002E-2</v>
      </c>
    </row>
    <row r="27" spans="1:7" x14ac:dyDescent="0.35">
      <c r="A27">
        <v>21</v>
      </c>
      <c r="B27" t="s">
        <v>90</v>
      </c>
      <c r="C27" t="s">
        <v>91</v>
      </c>
      <c r="D27" t="s">
        <v>28</v>
      </c>
      <c r="E27">
        <v>381313</v>
      </c>
      <c r="F27">
        <v>21090.422030000002</v>
      </c>
      <c r="G27">
        <v>1.5865939999999999E-2</v>
      </c>
    </row>
    <row r="28" spans="1:7" x14ac:dyDescent="0.35">
      <c r="A28">
        <v>22</v>
      </c>
      <c r="B28" t="s">
        <v>246</v>
      </c>
      <c r="C28" t="s">
        <v>247</v>
      </c>
      <c r="D28" t="s">
        <v>206</v>
      </c>
      <c r="E28">
        <v>149775</v>
      </c>
      <c r="F28">
        <v>20638.994999999999</v>
      </c>
      <c r="G28">
        <v>1.552634E-2</v>
      </c>
    </row>
    <row r="29" spans="1:7" x14ac:dyDescent="0.35">
      <c r="A29">
        <v>23</v>
      </c>
      <c r="B29" t="s">
        <v>248</v>
      </c>
      <c r="C29" t="s">
        <v>249</v>
      </c>
      <c r="D29" t="s">
        <v>53</v>
      </c>
      <c r="E29">
        <v>266819</v>
      </c>
      <c r="F29">
        <v>20328.939610000001</v>
      </c>
      <c r="G29">
        <v>1.5293090000000001E-2</v>
      </c>
    </row>
    <row r="30" spans="1:7" x14ac:dyDescent="0.35">
      <c r="A30">
        <v>24</v>
      </c>
      <c r="B30" t="s">
        <v>98</v>
      </c>
      <c r="C30" t="s">
        <v>99</v>
      </c>
      <c r="D30" t="s">
        <v>79</v>
      </c>
      <c r="E30">
        <v>5002614</v>
      </c>
      <c r="F30">
        <v>20203.056638999999</v>
      </c>
      <c r="G30">
        <v>1.5198390000000001E-2</v>
      </c>
    </row>
    <row r="31" spans="1:7" x14ac:dyDescent="0.35">
      <c r="A31">
        <v>25</v>
      </c>
      <c r="B31" t="s">
        <v>29</v>
      </c>
      <c r="C31" t="s">
        <v>30</v>
      </c>
      <c r="D31" t="s">
        <v>31</v>
      </c>
      <c r="E31">
        <v>5030754</v>
      </c>
      <c r="F31">
        <v>20102.892983999998</v>
      </c>
      <c r="G31">
        <v>1.5123040000000001E-2</v>
      </c>
    </row>
    <row r="32" spans="1:7" x14ac:dyDescent="0.35">
      <c r="A32">
        <v>26</v>
      </c>
      <c r="B32" t="s">
        <v>59</v>
      </c>
      <c r="C32" t="s">
        <v>60</v>
      </c>
      <c r="D32" t="s">
        <v>43</v>
      </c>
      <c r="E32">
        <v>129597</v>
      </c>
      <c r="F32">
        <v>19281.44166</v>
      </c>
      <c r="G32">
        <v>1.450508E-2</v>
      </c>
    </row>
    <row r="33" spans="1:7" x14ac:dyDescent="0.35">
      <c r="A33">
        <v>27</v>
      </c>
      <c r="B33" t="s">
        <v>250</v>
      </c>
      <c r="C33" t="s">
        <v>251</v>
      </c>
      <c r="D33" t="s">
        <v>252</v>
      </c>
      <c r="E33">
        <v>465740</v>
      </c>
      <c r="F33">
        <v>17324.596519999999</v>
      </c>
      <c r="G33">
        <v>1.303298E-2</v>
      </c>
    </row>
    <row r="34" spans="1:7" x14ac:dyDescent="0.35">
      <c r="A34">
        <v>28</v>
      </c>
      <c r="B34" t="s">
        <v>130</v>
      </c>
      <c r="C34" t="s">
        <v>131</v>
      </c>
      <c r="D34" t="s">
        <v>65</v>
      </c>
      <c r="E34">
        <v>137030</v>
      </c>
      <c r="F34">
        <v>16583.370599999998</v>
      </c>
      <c r="G34">
        <v>1.247537E-2</v>
      </c>
    </row>
    <row r="35" spans="1:7" x14ac:dyDescent="0.35">
      <c r="A35">
        <v>29</v>
      </c>
      <c r="B35" t="s">
        <v>253</v>
      </c>
      <c r="C35" t="s">
        <v>254</v>
      </c>
      <c r="D35" t="s">
        <v>235</v>
      </c>
      <c r="E35">
        <v>1389558</v>
      </c>
      <c r="F35">
        <v>16535.7402</v>
      </c>
      <c r="G35">
        <v>1.2439540000000001E-2</v>
      </c>
    </row>
    <row r="36" spans="1:7" x14ac:dyDescent="0.35">
      <c r="A36">
        <v>30</v>
      </c>
      <c r="B36" t="s">
        <v>255</v>
      </c>
      <c r="C36" t="s">
        <v>256</v>
      </c>
      <c r="D36" t="s">
        <v>257</v>
      </c>
      <c r="E36">
        <v>1018291</v>
      </c>
      <c r="F36">
        <v>16513.625146999999</v>
      </c>
      <c r="G36">
        <v>1.2422900000000001E-2</v>
      </c>
    </row>
    <row r="37" spans="1:7" x14ac:dyDescent="0.35">
      <c r="A37">
        <v>31</v>
      </c>
      <c r="B37" t="s">
        <v>68</v>
      </c>
      <c r="C37" t="s">
        <v>69</v>
      </c>
      <c r="D37" t="s">
        <v>16</v>
      </c>
      <c r="E37">
        <v>3918843</v>
      </c>
      <c r="F37">
        <v>16410.155062500002</v>
      </c>
      <c r="G37">
        <v>1.234506E-2</v>
      </c>
    </row>
    <row r="38" spans="1:7" x14ac:dyDescent="0.35">
      <c r="A38">
        <v>32</v>
      </c>
      <c r="B38" t="s">
        <v>258</v>
      </c>
      <c r="C38" t="s">
        <v>259</v>
      </c>
      <c r="D38" t="s">
        <v>240</v>
      </c>
      <c r="E38">
        <v>1863350</v>
      </c>
      <c r="F38">
        <v>16221.393425</v>
      </c>
      <c r="G38">
        <v>1.220306E-2</v>
      </c>
    </row>
    <row r="39" spans="1:7" x14ac:dyDescent="0.35">
      <c r="A39">
        <v>33</v>
      </c>
      <c r="B39" t="s">
        <v>260</v>
      </c>
      <c r="C39" t="s">
        <v>261</v>
      </c>
      <c r="D39" t="s">
        <v>43</v>
      </c>
      <c r="E39">
        <v>3193313</v>
      </c>
      <c r="F39">
        <v>15966.565000000001</v>
      </c>
      <c r="G39">
        <v>1.201136E-2</v>
      </c>
    </row>
    <row r="40" spans="1:7" x14ac:dyDescent="0.35">
      <c r="A40">
        <v>34</v>
      </c>
      <c r="B40" t="s">
        <v>262</v>
      </c>
      <c r="C40" t="s">
        <v>263</v>
      </c>
      <c r="D40" t="s">
        <v>114</v>
      </c>
      <c r="E40">
        <v>1503545</v>
      </c>
      <c r="F40">
        <v>15713.548795000001</v>
      </c>
      <c r="G40">
        <v>1.182102E-2</v>
      </c>
    </row>
    <row r="41" spans="1:7" x14ac:dyDescent="0.35">
      <c r="A41">
        <v>35</v>
      </c>
      <c r="B41" t="s">
        <v>264</v>
      </c>
      <c r="C41" t="s">
        <v>265</v>
      </c>
      <c r="D41" t="s">
        <v>114</v>
      </c>
      <c r="E41">
        <v>1054917</v>
      </c>
      <c r="F41">
        <v>15640.199441999999</v>
      </c>
      <c r="G41">
        <v>1.176584E-2</v>
      </c>
    </row>
    <row r="42" spans="1:7" x14ac:dyDescent="0.35">
      <c r="A42">
        <v>36</v>
      </c>
      <c r="B42" t="s">
        <v>266</v>
      </c>
      <c r="C42" t="s">
        <v>267</v>
      </c>
      <c r="D42" t="s">
        <v>243</v>
      </c>
      <c r="E42">
        <v>275425</v>
      </c>
      <c r="F42">
        <v>15166.277625000001</v>
      </c>
      <c r="G42">
        <v>1.1409320000000001E-2</v>
      </c>
    </row>
    <row r="43" spans="1:7" x14ac:dyDescent="0.35">
      <c r="A43">
        <v>37</v>
      </c>
      <c r="B43" t="s">
        <v>268</v>
      </c>
      <c r="C43" t="s">
        <v>269</v>
      </c>
      <c r="D43" t="s">
        <v>235</v>
      </c>
      <c r="E43">
        <v>1767907</v>
      </c>
      <c r="F43">
        <v>15128.8641525</v>
      </c>
      <c r="G43">
        <v>1.1381169999999999E-2</v>
      </c>
    </row>
    <row r="44" spans="1:7" x14ac:dyDescent="0.35">
      <c r="A44">
        <v>38</v>
      </c>
      <c r="B44" t="s">
        <v>73</v>
      </c>
      <c r="C44" t="s">
        <v>74</v>
      </c>
      <c r="D44" t="s">
        <v>48</v>
      </c>
      <c r="E44">
        <v>28534528</v>
      </c>
      <c r="F44">
        <v>15029.135897599999</v>
      </c>
      <c r="G44">
        <v>1.1306149999999999E-2</v>
      </c>
    </row>
    <row r="45" spans="1:7" x14ac:dyDescent="0.35">
      <c r="A45">
        <v>39</v>
      </c>
      <c r="B45" t="s">
        <v>270</v>
      </c>
      <c r="C45" t="s">
        <v>271</v>
      </c>
      <c r="D45" t="s">
        <v>43</v>
      </c>
      <c r="E45">
        <v>3129017</v>
      </c>
      <c r="F45">
        <v>15000.507498000001</v>
      </c>
      <c r="G45">
        <v>1.128461E-2</v>
      </c>
    </row>
    <row r="46" spans="1:7" x14ac:dyDescent="0.35">
      <c r="A46">
        <v>40</v>
      </c>
      <c r="B46" t="s">
        <v>272</v>
      </c>
      <c r="C46" t="s">
        <v>273</v>
      </c>
      <c r="D46" t="s">
        <v>274</v>
      </c>
      <c r="E46">
        <v>328327</v>
      </c>
      <c r="F46">
        <v>14650.607394000001</v>
      </c>
      <c r="G46">
        <v>1.1021390000000001E-2</v>
      </c>
    </row>
    <row r="47" spans="1:7" x14ac:dyDescent="0.35">
      <c r="A47">
        <v>41</v>
      </c>
      <c r="B47" t="s">
        <v>275</v>
      </c>
      <c r="C47" t="s">
        <v>276</v>
      </c>
      <c r="D47" t="s">
        <v>206</v>
      </c>
      <c r="E47">
        <v>2651690</v>
      </c>
      <c r="F47">
        <v>14307.193395</v>
      </c>
      <c r="G47">
        <v>1.076304E-2</v>
      </c>
    </row>
    <row r="48" spans="1:7" x14ac:dyDescent="0.35">
      <c r="A48">
        <v>42</v>
      </c>
      <c r="B48" t="s">
        <v>277</v>
      </c>
      <c r="C48" t="s">
        <v>278</v>
      </c>
      <c r="D48" t="s">
        <v>243</v>
      </c>
      <c r="E48">
        <v>818271</v>
      </c>
      <c r="F48">
        <v>14090.626619999999</v>
      </c>
      <c r="G48">
        <v>1.0600119999999999E-2</v>
      </c>
    </row>
    <row r="49" spans="1:7" x14ac:dyDescent="0.35">
      <c r="A49">
        <v>43</v>
      </c>
      <c r="B49" t="s">
        <v>279</v>
      </c>
      <c r="C49" t="s">
        <v>280</v>
      </c>
      <c r="D49" t="s">
        <v>281</v>
      </c>
      <c r="E49">
        <v>670277</v>
      </c>
      <c r="F49">
        <v>13912.939689000001</v>
      </c>
      <c r="G49">
        <v>1.046645E-2</v>
      </c>
    </row>
    <row r="50" spans="1:7" x14ac:dyDescent="0.35">
      <c r="A50">
        <v>44</v>
      </c>
      <c r="B50" t="s">
        <v>86</v>
      </c>
      <c r="C50" t="s">
        <v>87</v>
      </c>
      <c r="D50" t="s">
        <v>25</v>
      </c>
      <c r="E50">
        <v>1037368</v>
      </c>
      <c r="F50">
        <v>13555.287656</v>
      </c>
      <c r="G50">
        <v>1.0197400000000001E-2</v>
      </c>
    </row>
    <row r="51" spans="1:7" x14ac:dyDescent="0.35">
      <c r="A51">
        <v>45</v>
      </c>
      <c r="B51" t="s">
        <v>282</v>
      </c>
      <c r="C51" t="s">
        <v>283</v>
      </c>
      <c r="D51" t="s">
        <v>97</v>
      </c>
      <c r="E51">
        <v>835464</v>
      </c>
      <c r="F51">
        <v>13323.979872</v>
      </c>
      <c r="G51">
        <v>1.002339E-2</v>
      </c>
    </row>
    <row r="52" spans="1:7" x14ac:dyDescent="0.35">
      <c r="A52">
        <v>46</v>
      </c>
      <c r="B52" t="s">
        <v>284</v>
      </c>
      <c r="C52" t="s">
        <v>285</v>
      </c>
      <c r="D52" t="s">
        <v>43</v>
      </c>
      <c r="E52">
        <v>1024721</v>
      </c>
      <c r="F52">
        <v>13175.862617999999</v>
      </c>
      <c r="G52">
        <v>9.9119599999999992E-3</v>
      </c>
    </row>
    <row r="53" spans="1:7" x14ac:dyDescent="0.35">
      <c r="A53">
        <v>47</v>
      </c>
      <c r="B53" t="s">
        <v>286</v>
      </c>
      <c r="C53" t="s">
        <v>287</v>
      </c>
      <c r="D53" t="s">
        <v>38</v>
      </c>
      <c r="E53">
        <v>1520389</v>
      </c>
      <c r="F53">
        <v>13139.201738</v>
      </c>
      <c r="G53">
        <v>9.8843799999999999E-3</v>
      </c>
    </row>
    <row r="54" spans="1:7" x14ac:dyDescent="0.35">
      <c r="A54">
        <v>48</v>
      </c>
      <c r="B54" t="s">
        <v>288</v>
      </c>
      <c r="C54" t="s">
        <v>289</v>
      </c>
      <c r="D54" t="s">
        <v>290</v>
      </c>
      <c r="E54">
        <v>782298</v>
      </c>
      <c r="F54">
        <v>13078.457963999999</v>
      </c>
      <c r="G54">
        <v>9.8386900000000006E-3</v>
      </c>
    </row>
    <row r="55" spans="1:7" x14ac:dyDescent="0.35">
      <c r="A55">
        <v>49</v>
      </c>
      <c r="B55" t="s">
        <v>291</v>
      </c>
      <c r="C55" t="s">
        <v>292</v>
      </c>
      <c r="D55" t="s">
        <v>281</v>
      </c>
      <c r="E55">
        <v>97729</v>
      </c>
      <c r="F55">
        <v>12676.42859</v>
      </c>
      <c r="G55">
        <v>9.5362499999999996E-3</v>
      </c>
    </row>
    <row r="56" spans="1:7" x14ac:dyDescent="0.35">
      <c r="A56">
        <v>50</v>
      </c>
      <c r="B56" t="s">
        <v>293</v>
      </c>
      <c r="C56" t="s">
        <v>294</v>
      </c>
      <c r="D56" t="s">
        <v>281</v>
      </c>
      <c r="E56">
        <v>2364891</v>
      </c>
      <c r="F56">
        <v>12500.813826</v>
      </c>
      <c r="G56">
        <v>9.4041400000000001E-3</v>
      </c>
    </row>
    <row r="57" spans="1:7" x14ac:dyDescent="0.35">
      <c r="A57">
        <v>51</v>
      </c>
      <c r="B57" t="s">
        <v>295</v>
      </c>
      <c r="C57" t="s">
        <v>296</v>
      </c>
      <c r="D57" t="s">
        <v>53</v>
      </c>
      <c r="E57">
        <v>631409</v>
      </c>
      <c r="F57">
        <v>12085.16826</v>
      </c>
      <c r="G57">
        <v>9.0914499999999992E-3</v>
      </c>
    </row>
    <row r="58" spans="1:7" x14ac:dyDescent="0.35">
      <c r="A58">
        <v>52</v>
      </c>
      <c r="B58" t="s">
        <v>297</v>
      </c>
      <c r="C58" t="s">
        <v>298</v>
      </c>
      <c r="D58" t="s">
        <v>299</v>
      </c>
      <c r="E58">
        <v>687834</v>
      </c>
      <c r="F58">
        <v>11911.221378</v>
      </c>
      <c r="G58">
        <v>8.9606000000000009E-3</v>
      </c>
    </row>
    <row r="59" spans="1:7" x14ac:dyDescent="0.35">
      <c r="A59">
        <v>53</v>
      </c>
      <c r="B59" t="s">
        <v>300</v>
      </c>
      <c r="C59" t="s">
        <v>301</v>
      </c>
      <c r="D59" t="s">
        <v>53</v>
      </c>
      <c r="E59">
        <v>347384</v>
      </c>
      <c r="F59">
        <v>11650.564592000001</v>
      </c>
      <c r="G59">
        <v>8.7645099999999997E-3</v>
      </c>
    </row>
    <row r="60" spans="1:7" x14ac:dyDescent="0.35">
      <c r="A60">
        <v>54</v>
      </c>
      <c r="B60" t="s">
        <v>302</v>
      </c>
      <c r="C60" t="s">
        <v>303</v>
      </c>
      <c r="D60" t="s">
        <v>243</v>
      </c>
      <c r="E60">
        <v>515555</v>
      </c>
      <c r="F60">
        <v>11324.165575000001</v>
      </c>
      <c r="G60">
        <v>8.5189600000000008E-3</v>
      </c>
    </row>
    <row r="61" spans="1:7" x14ac:dyDescent="0.35">
      <c r="A61">
        <v>55</v>
      </c>
      <c r="B61" t="s">
        <v>304</v>
      </c>
      <c r="C61" t="s">
        <v>305</v>
      </c>
      <c r="D61" t="s">
        <v>97</v>
      </c>
      <c r="E61">
        <v>644655</v>
      </c>
      <c r="F61">
        <v>10769.60643</v>
      </c>
      <c r="G61">
        <v>8.1017799999999994E-3</v>
      </c>
    </row>
    <row r="62" spans="1:7" x14ac:dyDescent="0.35">
      <c r="A62">
        <v>56</v>
      </c>
      <c r="B62" t="s">
        <v>306</v>
      </c>
      <c r="C62" t="s">
        <v>307</v>
      </c>
      <c r="D62" t="s">
        <v>25</v>
      </c>
      <c r="E62">
        <v>13548970</v>
      </c>
      <c r="F62">
        <v>10733.494033999999</v>
      </c>
      <c r="G62">
        <v>8.0746099999999994E-3</v>
      </c>
    </row>
    <row r="63" spans="1:7" x14ac:dyDescent="0.35">
      <c r="A63">
        <v>57</v>
      </c>
      <c r="B63" t="s">
        <v>82</v>
      </c>
      <c r="C63" t="s">
        <v>83</v>
      </c>
      <c r="D63" t="s">
        <v>16</v>
      </c>
      <c r="E63">
        <v>583736</v>
      </c>
      <c r="F63">
        <v>10633.918712000001</v>
      </c>
      <c r="G63">
        <v>7.9997000000000002E-3</v>
      </c>
    </row>
    <row r="64" spans="1:7" x14ac:dyDescent="0.35">
      <c r="A64">
        <v>58</v>
      </c>
      <c r="B64" t="s">
        <v>308</v>
      </c>
      <c r="C64" t="s">
        <v>309</v>
      </c>
      <c r="D64" t="s">
        <v>240</v>
      </c>
      <c r="E64">
        <v>6919293</v>
      </c>
      <c r="F64">
        <v>10237.093993500001</v>
      </c>
      <c r="G64">
        <v>7.7011800000000002E-3</v>
      </c>
    </row>
    <row r="65" spans="1:7" x14ac:dyDescent="0.35">
      <c r="A65">
        <v>59</v>
      </c>
      <c r="B65" t="s">
        <v>106</v>
      </c>
      <c r="C65" t="s">
        <v>107</v>
      </c>
      <c r="D65" t="s">
        <v>43</v>
      </c>
      <c r="E65">
        <v>251355</v>
      </c>
      <c r="F65">
        <v>9750.0604500000009</v>
      </c>
      <c r="G65">
        <v>7.3347899999999999E-3</v>
      </c>
    </row>
    <row r="66" spans="1:7" x14ac:dyDescent="0.35">
      <c r="A66">
        <v>60</v>
      </c>
      <c r="B66" t="s">
        <v>63</v>
      </c>
      <c r="C66" t="s">
        <v>64</v>
      </c>
      <c r="D66" t="s">
        <v>65</v>
      </c>
      <c r="E66">
        <v>144264</v>
      </c>
      <c r="F66">
        <v>9214.1416800000006</v>
      </c>
      <c r="G66">
        <v>6.9316300000000003E-3</v>
      </c>
    </row>
    <row r="67" spans="1:7" x14ac:dyDescent="0.35">
      <c r="A67">
        <v>61</v>
      </c>
      <c r="B67" t="s">
        <v>310</v>
      </c>
      <c r="C67" t="s">
        <v>311</v>
      </c>
      <c r="D67" t="s">
        <v>235</v>
      </c>
      <c r="E67">
        <v>5648615</v>
      </c>
      <c r="F67">
        <v>8821.4420454999999</v>
      </c>
      <c r="G67">
        <v>6.63621E-3</v>
      </c>
    </row>
    <row r="68" spans="1:7" x14ac:dyDescent="0.35">
      <c r="A68">
        <v>62</v>
      </c>
      <c r="B68" t="s">
        <v>312</v>
      </c>
      <c r="C68" t="s">
        <v>313</v>
      </c>
      <c r="D68" t="s">
        <v>43</v>
      </c>
      <c r="E68">
        <v>330524</v>
      </c>
      <c r="F68">
        <v>8640.2278839999999</v>
      </c>
      <c r="G68">
        <v>6.4998900000000004E-3</v>
      </c>
    </row>
    <row r="69" spans="1:7" x14ac:dyDescent="0.35">
      <c r="A69">
        <v>63</v>
      </c>
      <c r="B69" t="s">
        <v>314</v>
      </c>
      <c r="C69" t="s">
        <v>315</v>
      </c>
      <c r="D69" t="s">
        <v>28</v>
      </c>
      <c r="E69">
        <v>392082</v>
      </c>
      <c r="F69">
        <v>8354.8753379999998</v>
      </c>
      <c r="G69">
        <v>6.2852200000000002E-3</v>
      </c>
    </row>
    <row r="70" spans="1:7" x14ac:dyDescent="0.35">
      <c r="A70">
        <v>64</v>
      </c>
      <c r="B70" t="s">
        <v>316</v>
      </c>
      <c r="C70" t="s">
        <v>317</v>
      </c>
      <c r="D70" t="s">
        <v>209</v>
      </c>
      <c r="E70">
        <v>255227</v>
      </c>
      <c r="F70">
        <v>8264.760714</v>
      </c>
      <c r="G70">
        <v>6.2174300000000004E-3</v>
      </c>
    </row>
    <row r="71" spans="1:7" x14ac:dyDescent="0.35">
      <c r="A71">
        <v>65</v>
      </c>
      <c r="B71" t="s">
        <v>318</v>
      </c>
      <c r="C71" t="s">
        <v>319</v>
      </c>
      <c r="D71" t="s">
        <v>94</v>
      </c>
      <c r="E71">
        <v>2694794</v>
      </c>
      <c r="F71">
        <v>8252.8066249999993</v>
      </c>
      <c r="G71">
        <v>6.20844E-3</v>
      </c>
    </row>
    <row r="72" spans="1:7" x14ac:dyDescent="0.35">
      <c r="A72">
        <v>66</v>
      </c>
      <c r="B72" t="s">
        <v>320</v>
      </c>
      <c r="C72" t="s">
        <v>321</v>
      </c>
      <c r="D72" t="s">
        <v>53</v>
      </c>
      <c r="E72">
        <v>510448</v>
      </c>
      <c r="F72">
        <v>7983.9171679999999</v>
      </c>
      <c r="G72">
        <v>6.00616E-3</v>
      </c>
    </row>
    <row r="73" spans="1:7" x14ac:dyDescent="0.35">
      <c r="A73">
        <v>67</v>
      </c>
      <c r="B73" t="s">
        <v>322</v>
      </c>
      <c r="C73" t="s">
        <v>323</v>
      </c>
      <c r="D73" t="s">
        <v>324</v>
      </c>
      <c r="E73">
        <v>2900780</v>
      </c>
      <c r="F73">
        <v>7691.4181699999999</v>
      </c>
      <c r="G73">
        <v>5.7861099999999997E-3</v>
      </c>
    </row>
    <row r="74" spans="1:7" x14ac:dyDescent="0.35">
      <c r="A74">
        <v>68</v>
      </c>
      <c r="B74" t="s">
        <v>325</v>
      </c>
      <c r="C74" t="s">
        <v>326</v>
      </c>
      <c r="D74" t="s">
        <v>114</v>
      </c>
      <c r="E74">
        <v>1354233</v>
      </c>
      <c r="F74">
        <v>7048.1056484999999</v>
      </c>
      <c r="G74">
        <v>5.3021600000000002E-3</v>
      </c>
    </row>
    <row r="75" spans="1:7" x14ac:dyDescent="0.35">
      <c r="A75">
        <v>69</v>
      </c>
      <c r="B75" t="s">
        <v>327</v>
      </c>
      <c r="C75" t="s">
        <v>328</v>
      </c>
      <c r="D75" t="s">
        <v>206</v>
      </c>
      <c r="E75">
        <v>158014</v>
      </c>
      <c r="F75">
        <v>6828.7330240000001</v>
      </c>
      <c r="G75">
        <v>5.1371300000000002E-3</v>
      </c>
    </row>
    <row r="76" spans="1:7" x14ac:dyDescent="0.35">
      <c r="A76">
        <v>70</v>
      </c>
      <c r="B76" t="s">
        <v>329</v>
      </c>
      <c r="C76" t="s">
        <v>330</v>
      </c>
      <c r="D76" t="s">
        <v>324</v>
      </c>
      <c r="E76">
        <v>372319</v>
      </c>
      <c r="F76">
        <v>4965.2461839999996</v>
      </c>
      <c r="G76">
        <v>3.7352599999999998E-3</v>
      </c>
    </row>
    <row r="77" spans="1:7" x14ac:dyDescent="0.35">
      <c r="A77">
        <v>71</v>
      </c>
      <c r="B77" t="s">
        <v>331</v>
      </c>
      <c r="C77" t="s">
        <v>332</v>
      </c>
      <c r="D77" t="s">
        <v>65</v>
      </c>
      <c r="E77">
        <v>895823</v>
      </c>
      <c r="F77">
        <v>4806.5383064999996</v>
      </c>
      <c r="G77">
        <v>3.6158700000000002E-3</v>
      </c>
    </row>
    <row r="78" spans="1:7" x14ac:dyDescent="0.35">
      <c r="A78">
        <v>72</v>
      </c>
      <c r="B78" t="s">
        <v>333</v>
      </c>
      <c r="C78" t="s">
        <v>334</v>
      </c>
      <c r="D78" t="s">
        <v>243</v>
      </c>
      <c r="E78">
        <v>291992</v>
      </c>
      <c r="F78">
        <v>2669.8288520000001</v>
      </c>
      <c r="G78">
        <v>2.0084600000000001E-3</v>
      </c>
    </row>
    <row r="79" spans="1:7" x14ac:dyDescent="0.35">
      <c r="A79">
        <v>73</v>
      </c>
      <c r="B79" t="s">
        <v>335</v>
      </c>
      <c r="C79" t="s">
        <v>336</v>
      </c>
      <c r="D79" t="s">
        <v>43</v>
      </c>
      <c r="E79">
        <v>73938</v>
      </c>
      <c r="F79">
        <v>1368.666318</v>
      </c>
      <c r="G79">
        <v>1.02962E-3</v>
      </c>
    </row>
    <row r="80" spans="1:7" x14ac:dyDescent="0.35">
      <c r="A80">
        <v>74</v>
      </c>
      <c r="B80" t="s">
        <v>337</v>
      </c>
      <c r="C80" t="s">
        <v>338</v>
      </c>
      <c r="D80" t="s">
        <v>206</v>
      </c>
      <c r="E80">
        <v>103727</v>
      </c>
      <c r="F80">
        <v>1033.3283739999999</v>
      </c>
      <c r="G80">
        <v>7.7735E-4</v>
      </c>
    </row>
    <row r="81" spans="1:7" x14ac:dyDescent="0.35">
      <c r="A81">
        <v>75</v>
      </c>
      <c r="B81" t="s">
        <v>339</v>
      </c>
      <c r="C81" t="s">
        <v>340</v>
      </c>
      <c r="D81" t="s">
        <v>235</v>
      </c>
      <c r="E81">
        <v>19351</v>
      </c>
      <c r="F81">
        <v>514.94946100000004</v>
      </c>
      <c r="G81">
        <v>3.8738999999999999E-4</v>
      </c>
    </row>
    <row r="82" spans="1:7" x14ac:dyDescent="0.35">
      <c r="C82" t="s">
        <v>139</v>
      </c>
      <c r="F82">
        <v>1268711.740274</v>
      </c>
      <c r="G82">
        <v>0.95442879000000003</v>
      </c>
    </row>
    <row r="84" spans="1:7" x14ac:dyDescent="0.35">
      <c r="C84" t="s">
        <v>140</v>
      </c>
    </row>
    <row r="85" spans="1:7" x14ac:dyDescent="0.35">
      <c r="C85" t="s">
        <v>139</v>
      </c>
      <c r="F85" t="s">
        <v>141</v>
      </c>
      <c r="G85">
        <v>0</v>
      </c>
    </row>
    <row r="87" spans="1:7" x14ac:dyDescent="0.35">
      <c r="C87" t="s">
        <v>142</v>
      </c>
    </row>
    <row r="88" spans="1:7" x14ac:dyDescent="0.35">
      <c r="C88" t="s">
        <v>139</v>
      </c>
      <c r="F88" t="s">
        <v>141</v>
      </c>
      <c r="G88">
        <v>0</v>
      </c>
    </row>
    <row r="90" spans="1:7" x14ac:dyDescent="0.35">
      <c r="C90" t="s">
        <v>147</v>
      </c>
    </row>
    <row r="91" spans="1:7" x14ac:dyDescent="0.35">
      <c r="C91" t="s">
        <v>139</v>
      </c>
      <c r="F91" t="s">
        <v>141</v>
      </c>
      <c r="G91">
        <v>0</v>
      </c>
    </row>
    <row r="93" spans="1:7" x14ac:dyDescent="0.35">
      <c r="C93" t="s">
        <v>148</v>
      </c>
    </row>
    <row r="94" spans="1:7" x14ac:dyDescent="0.35">
      <c r="C94" t="s">
        <v>139</v>
      </c>
      <c r="F94" t="s">
        <v>141</v>
      </c>
      <c r="G94">
        <v>0</v>
      </c>
    </row>
    <row r="96" spans="1:7" x14ac:dyDescent="0.35">
      <c r="C96" t="s">
        <v>149</v>
      </c>
    </row>
    <row r="97" spans="3:7" x14ac:dyDescent="0.35">
      <c r="C97" t="s">
        <v>139</v>
      </c>
      <c r="F97" t="s">
        <v>141</v>
      </c>
      <c r="G97">
        <v>0</v>
      </c>
    </row>
    <row r="99" spans="3:7" x14ac:dyDescent="0.35">
      <c r="C99" t="s">
        <v>150</v>
      </c>
      <c r="F99">
        <f>F82</f>
        <v>1268711.740274</v>
      </c>
      <c r="G99">
        <f>G82</f>
        <v>0.95442879000000003</v>
      </c>
    </row>
    <row r="101" spans="3:7" x14ac:dyDescent="0.35">
      <c r="C101" t="s">
        <v>151</v>
      </c>
    </row>
    <row r="102" spans="3:7" x14ac:dyDescent="0.35">
      <c r="C102" t="s">
        <v>13</v>
      </c>
    </row>
    <row r="103" spans="3:7" x14ac:dyDescent="0.35">
      <c r="C103" t="s">
        <v>139</v>
      </c>
      <c r="F103" t="s">
        <v>141</v>
      </c>
      <c r="G103">
        <v>0</v>
      </c>
    </row>
    <row r="105" spans="3:7" x14ac:dyDescent="0.35">
      <c r="C105" t="s">
        <v>152</v>
      </c>
    </row>
    <row r="106" spans="3:7" x14ac:dyDescent="0.35">
      <c r="C106" t="s">
        <v>139</v>
      </c>
      <c r="F106" t="s">
        <v>141</v>
      </c>
      <c r="G106">
        <v>0</v>
      </c>
    </row>
    <row r="108" spans="3:7" x14ac:dyDescent="0.35">
      <c r="C108" t="s">
        <v>153</v>
      </c>
    </row>
    <row r="109" spans="3:7" x14ac:dyDescent="0.35">
      <c r="C109" t="s">
        <v>139</v>
      </c>
      <c r="F109" t="s">
        <v>141</v>
      </c>
      <c r="G109">
        <v>0</v>
      </c>
    </row>
    <row r="111" spans="3:7" x14ac:dyDescent="0.35">
      <c r="C111" t="s">
        <v>154</v>
      </c>
    </row>
    <row r="112" spans="3:7" x14ac:dyDescent="0.35">
      <c r="C112" t="s">
        <v>139</v>
      </c>
      <c r="F112" t="s">
        <v>141</v>
      </c>
      <c r="G112">
        <v>0</v>
      </c>
    </row>
    <row r="114" spans="1:8" x14ac:dyDescent="0.35">
      <c r="C114" t="s">
        <v>341</v>
      </c>
    </row>
    <row r="115" spans="1:8" x14ac:dyDescent="0.35">
      <c r="A115">
        <v>1</v>
      </c>
      <c r="B115" t="s">
        <v>342</v>
      </c>
      <c r="C115" t="s">
        <v>343</v>
      </c>
      <c r="D115" t="s">
        <v>252</v>
      </c>
      <c r="E115">
        <v>1862960</v>
      </c>
      <c r="F115">
        <v>189.76110560000001</v>
      </c>
      <c r="G115">
        <v>1.4275E-4</v>
      </c>
      <c r="H115">
        <v>6.1050000000000004</v>
      </c>
    </row>
    <row r="116" spans="1:8" x14ac:dyDescent="0.35">
      <c r="C116" t="s">
        <v>139</v>
      </c>
      <c r="F116">
        <f>F115</f>
        <v>189.76110560000001</v>
      </c>
      <c r="G116">
        <f>G115</f>
        <v>1.4275E-4</v>
      </c>
    </row>
    <row r="118" spans="1:8" x14ac:dyDescent="0.35">
      <c r="C118" t="s">
        <v>155</v>
      </c>
      <c r="F118">
        <f>F116</f>
        <v>189.76110560000001</v>
      </c>
      <c r="G118">
        <f>G116</f>
        <v>1.4275E-4</v>
      </c>
    </row>
    <row r="120" spans="1:8" x14ac:dyDescent="0.35">
      <c r="C120" t="s">
        <v>156</v>
      </c>
    </row>
    <row r="121" spans="1:8" x14ac:dyDescent="0.35">
      <c r="C121" t="s">
        <v>157</v>
      </c>
    </row>
    <row r="122" spans="1:8" x14ac:dyDescent="0.35">
      <c r="C122" t="s">
        <v>139</v>
      </c>
      <c r="F122" t="s">
        <v>141</v>
      </c>
      <c r="G122">
        <v>0</v>
      </c>
    </row>
    <row r="124" spans="1:8" x14ac:dyDescent="0.35">
      <c r="C124" t="s">
        <v>158</v>
      </c>
    </row>
    <row r="125" spans="1:8" x14ac:dyDescent="0.35">
      <c r="C125" t="s">
        <v>139</v>
      </c>
      <c r="F125" t="s">
        <v>141</v>
      </c>
      <c r="G125">
        <v>0</v>
      </c>
    </row>
    <row r="127" spans="1:8" x14ac:dyDescent="0.35">
      <c r="C127" t="s">
        <v>159</v>
      </c>
    </row>
    <row r="128" spans="1:8" x14ac:dyDescent="0.35">
      <c r="C128" t="s">
        <v>139</v>
      </c>
      <c r="F128" t="s">
        <v>141</v>
      </c>
      <c r="G128">
        <v>0</v>
      </c>
    </row>
    <row r="130" spans="1:8" x14ac:dyDescent="0.35">
      <c r="C130" t="s">
        <v>160</v>
      </c>
    </row>
    <row r="131" spans="1:8" x14ac:dyDescent="0.35">
      <c r="A131">
        <v>1</v>
      </c>
      <c r="C131" t="s">
        <v>161</v>
      </c>
      <c r="F131">
        <v>49383.145152097997</v>
      </c>
      <c r="G131">
        <v>3.7150040000000002E-2</v>
      </c>
      <c r="H131">
        <v>5.42</v>
      </c>
    </row>
    <row r="132" spans="1:8" x14ac:dyDescent="0.35">
      <c r="C132" t="s">
        <v>139</v>
      </c>
      <c r="F132">
        <v>49383.145152097997</v>
      </c>
      <c r="G132">
        <v>3.7150040000000002E-2</v>
      </c>
    </row>
    <row r="134" spans="1:8" x14ac:dyDescent="0.35">
      <c r="C134" t="s">
        <v>162</v>
      </c>
      <c r="F134">
        <v>49383.145152097997</v>
      </c>
      <c r="G134">
        <v>3.7150040000000002E-2</v>
      </c>
    </row>
    <row r="136" spans="1:8" x14ac:dyDescent="0.35">
      <c r="C136" t="s">
        <v>163</v>
      </c>
    </row>
    <row r="137" spans="1:8" x14ac:dyDescent="0.35">
      <c r="C137" t="s">
        <v>164</v>
      </c>
    </row>
    <row r="138" spans="1:8" x14ac:dyDescent="0.35">
      <c r="A138">
        <v>1</v>
      </c>
      <c r="B138" t="s">
        <v>344</v>
      </c>
      <c r="C138" t="s">
        <v>345</v>
      </c>
      <c r="E138">
        <v>231364.02650000001</v>
      </c>
      <c r="F138">
        <v>5550.3137919139999</v>
      </c>
      <c r="G138">
        <v>4.1754000000000001E-3</v>
      </c>
    </row>
    <row r="139" spans="1:8" x14ac:dyDescent="0.35">
      <c r="C139" t="s">
        <v>139</v>
      </c>
      <c r="F139">
        <v>5550.3137919139999</v>
      </c>
      <c r="G139">
        <v>4.1754000000000001E-3</v>
      </c>
    </row>
    <row r="141" spans="1:8" x14ac:dyDescent="0.35">
      <c r="C141" t="s">
        <v>165</v>
      </c>
    </row>
    <row r="142" spans="1:8" x14ac:dyDescent="0.35">
      <c r="C142" t="s">
        <v>166</v>
      </c>
    </row>
    <row r="143" spans="1:8" x14ac:dyDescent="0.35">
      <c r="C143" t="s">
        <v>139</v>
      </c>
      <c r="F143" t="s">
        <v>141</v>
      </c>
      <c r="G143">
        <v>0</v>
      </c>
    </row>
    <row r="145" spans="2:7" x14ac:dyDescent="0.35">
      <c r="C145" t="s">
        <v>167</v>
      </c>
    </row>
    <row r="146" spans="2:7" x14ac:dyDescent="0.35">
      <c r="C146" t="s">
        <v>139</v>
      </c>
      <c r="F146" t="s">
        <v>141</v>
      </c>
      <c r="G146">
        <v>0</v>
      </c>
    </row>
    <row r="148" spans="2:7" x14ac:dyDescent="0.35">
      <c r="C148" t="s">
        <v>168</v>
      </c>
      <c r="F148">
        <v>5454.1150491899998</v>
      </c>
      <c r="G148">
        <v>4.1030299999999997E-3</v>
      </c>
    </row>
    <row r="149" spans="2:7" x14ac:dyDescent="0.35">
      <c r="C149" t="s">
        <v>169</v>
      </c>
      <c r="F149">
        <v>1329289.0753728021</v>
      </c>
      <c r="G149">
        <v>1.0000000099999999</v>
      </c>
    </row>
    <row r="151" spans="2:7" x14ac:dyDescent="0.35">
      <c r="B151" t="s">
        <v>170</v>
      </c>
    </row>
    <row r="152" spans="2:7" x14ac:dyDescent="0.35">
      <c r="B152" t="s">
        <v>171</v>
      </c>
    </row>
    <row r="153" spans="2:7" x14ac:dyDescent="0.35">
      <c r="B153" t="s">
        <v>172</v>
      </c>
    </row>
    <row r="154" spans="2:7" x14ac:dyDescent="0.35">
      <c r="B154" t="s">
        <v>173</v>
      </c>
    </row>
    <row r="155" spans="2:7" x14ac:dyDescent="0.35">
      <c r="B155" t="s">
        <v>174</v>
      </c>
    </row>
    <row r="157" spans="2:7" x14ac:dyDescent="0.35">
      <c r="B157" t="s">
        <v>175</v>
      </c>
    </row>
    <row r="158" spans="2:7" x14ac:dyDescent="0.35">
      <c r="B158" t="s">
        <v>176</v>
      </c>
      <c r="D158" t="s">
        <v>177</v>
      </c>
    </row>
    <row r="159" spans="2:7" x14ac:dyDescent="0.35">
      <c r="B159" t="s">
        <v>178</v>
      </c>
      <c r="D159" t="s">
        <v>177</v>
      </c>
    </row>
    <row r="160" spans="2:7" x14ac:dyDescent="0.35">
      <c r="B160" t="s">
        <v>179</v>
      </c>
    </row>
    <row r="161" spans="2:4" x14ac:dyDescent="0.35">
      <c r="C161" t="s">
        <v>180</v>
      </c>
      <c r="D161" t="s">
        <v>181</v>
      </c>
    </row>
    <row r="162" spans="2:4" x14ac:dyDescent="0.35">
      <c r="B162" t="s">
        <v>182</v>
      </c>
      <c r="C162" s="1">
        <v>45991</v>
      </c>
      <c r="D162" s="1">
        <v>46022</v>
      </c>
    </row>
    <row r="163" spans="2:4" x14ac:dyDescent="0.35">
      <c r="B163" t="s">
        <v>183</v>
      </c>
      <c r="C163">
        <v>1582.8538000000001</v>
      </c>
      <c r="D163">
        <v>1574.0657000000001</v>
      </c>
    </row>
    <row r="164" spans="2:4" x14ac:dyDescent="0.35">
      <c r="B164" t="s">
        <v>184</v>
      </c>
      <c r="C164">
        <v>74.326499999999996</v>
      </c>
      <c r="D164">
        <v>73.913799999999995</v>
      </c>
    </row>
    <row r="165" spans="2:4" x14ac:dyDescent="0.35">
      <c r="B165" t="s">
        <v>185</v>
      </c>
      <c r="C165">
        <v>1445.2626</v>
      </c>
      <c r="D165">
        <v>1436.2199000000001</v>
      </c>
    </row>
    <row r="166" spans="2:4" x14ac:dyDescent="0.35">
      <c r="B166" t="s">
        <v>186</v>
      </c>
      <c r="C166">
        <v>66.897099999999995</v>
      </c>
      <c r="D166">
        <v>66.478499999999997</v>
      </c>
    </row>
    <row r="168" spans="2:4" x14ac:dyDescent="0.35">
      <c r="B168" t="s">
        <v>187</v>
      </c>
      <c r="D168" t="s">
        <v>177</v>
      </c>
    </row>
    <row r="170" spans="2:4" x14ac:dyDescent="0.35">
      <c r="B170" t="s">
        <v>188</v>
      </c>
      <c r="D170" t="s">
        <v>177</v>
      </c>
    </row>
    <row r="171" spans="2:4" x14ac:dyDescent="0.35">
      <c r="B171" t="s">
        <v>189</v>
      </c>
      <c r="D171" t="s">
        <v>177</v>
      </c>
    </row>
    <row r="172" spans="2:4" x14ac:dyDescent="0.35">
      <c r="B172" t="s">
        <v>190</v>
      </c>
      <c r="D172" t="s">
        <v>177</v>
      </c>
    </row>
    <row r="173" spans="2:4" x14ac:dyDescent="0.35">
      <c r="B173" t="s">
        <v>191</v>
      </c>
      <c r="D173">
        <v>0.54660550808538078</v>
      </c>
    </row>
    <row r="175" spans="2:4" x14ac:dyDescent="0.35">
      <c r="B175" t="s">
        <v>192</v>
      </c>
    </row>
    <row r="179" spans="2:4" x14ac:dyDescent="0.35">
      <c r="B179" t="s">
        <v>193</v>
      </c>
      <c r="D179" t="s">
        <v>346</v>
      </c>
    </row>
    <row r="180" spans="2:4" x14ac:dyDescent="0.35">
      <c r="B180" t="s">
        <v>347</v>
      </c>
      <c r="D180" t="s">
        <v>348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80"/>
  <sheetViews>
    <sheetView workbookViewId="0"/>
  </sheetViews>
  <sheetFormatPr defaultRowHeight="14.5" x14ac:dyDescent="0.35"/>
  <sheetData>
    <row r="1" spans="1:9" x14ac:dyDescent="0.35">
      <c r="A1" t="s">
        <v>0</v>
      </c>
      <c r="I1" t="s">
        <v>1</v>
      </c>
    </row>
    <row r="2" spans="1:9" x14ac:dyDescent="0.35">
      <c r="A2" t="s">
        <v>349</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4000000</v>
      </c>
      <c r="F7">
        <v>39648</v>
      </c>
      <c r="G7">
        <v>5.6748090000000001E-2</v>
      </c>
    </row>
    <row r="8" spans="1:9" x14ac:dyDescent="0.35">
      <c r="A8">
        <v>2</v>
      </c>
      <c r="B8" t="s">
        <v>20</v>
      </c>
      <c r="C8" t="s">
        <v>21</v>
      </c>
      <c r="D8" t="s">
        <v>22</v>
      </c>
      <c r="E8">
        <v>2000000</v>
      </c>
      <c r="F8">
        <v>31408</v>
      </c>
      <c r="G8">
        <v>4.49542E-2</v>
      </c>
    </row>
    <row r="9" spans="1:9" x14ac:dyDescent="0.35">
      <c r="A9">
        <v>3</v>
      </c>
      <c r="B9" t="s">
        <v>36</v>
      </c>
      <c r="C9" t="s">
        <v>37</v>
      </c>
      <c r="D9" t="s">
        <v>38</v>
      </c>
      <c r="E9">
        <v>2375000</v>
      </c>
      <c r="F9">
        <v>23327.25</v>
      </c>
      <c r="G9">
        <v>3.338824E-2</v>
      </c>
    </row>
    <row r="10" spans="1:9" x14ac:dyDescent="0.35">
      <c r="A10">
        <v>4</v>
      </c>
      <c r="B10" t="s">
        <v>352</v>
      </c>
      <c r="C10" t="s">
        <v>353</v>
      </c>
      <c r="D10" t="s">
        <v>38</v>
      </c>
      <c r="E10">
        <v>1550000</v>
      </c>
      <c r="F10">
        <v>19675.7</v>
      </c>
      <c r="G10">
        <v>2.8161780000000001E-2</v>
      </c>
    </row>
    <row r="11" spans="1:9" x14ac:dyDescent="0.35">
      <c r="A11">
        <v>5</v>
      </c>
      <c r="B11" t="s">
        <v>354</v>
      </c>
      <c r="C11" t="s">
        <v>355</v>
      </c>
      <c r="D11" t="s">
        <v>230</v>
      </c>
      <c r="E11">
        <v>1202142</v>
      </c>
      <c r="F11">
        <v>19419.401868000001</v>
      </c>
      <c r="G11">
        <v>2.7794949999999999E-2</v>
      </c>
    </row>
    <row r="12" spans="1:9" x14ac:dyDescent="0.35">
      <c r="A12">
        <v>6</v>
      </c>
      <c r="B12" t="s">
        <v>14</v>
      </c>
      <c r="C12" t="s">
        <v>15</v>
      </c>
      <c r="D12" t="s">
        <v>16</v>
      </c>
      <c r="E12">
        <v>900000</v>
      </c>
      <c r="F12">
        <v>18950.400000000001</v>
      </c>
      <c r="G12">
        <v>2.7123660000000001E-2</v>
      </c>
    </row>
    <row r="13" spans="1:9" x14ac:dyDescent="0.35">
      <c r="A13">
        <v>7</v>
      </c>
      <c r="B13" t="s">
        <v>39</v>
      </c>
      <c r="C13" t="s">
        <v>40</v>
      </c>
      <c r="D13" t="s">
        <v>38</v>
      </c>
      <c r="E13">
        <v>1350000</v>
      </c>
      <c r="F13">
        <v>18129.150000000001</v>
      </c>
      <c r="G13">
        <v>2.5948209999999999E-2</v>
      </c>
    </row>
    <row r="14" spans="1:9" x14ac:dyDescent="0.35">
      <c r="A14">
        <v>8</v>
      </c>
      <c r="B14" t="s">
        <v>204</v>
      </c>
      <c r="C14" t="s">
        <v>205</v>
      </c>
      <c r="D14" t="s">
        <v>206</v>
      </c>
      <c r="E14">
        <v>3977000</v>
      </c>
      <c r="F14">
        <v>16027.31</v>
      </c>
      <c r="G14">
        <v>2.2939850000000001E-2</v>
      </c>
    </row>
    <row r="15" spans="1:9" x14ac:dyDescent="0.35">
      <c r="A15">
        <v>9</v>
      </c>
      <c r="B15" t="s">
        <v>356</v>
      </c>
      <c r="C15" t="s">
        <v>357</v>
      </c>
      <c r="D15" t="s">
        <v>38</v>
      </c>
      <c r="E15">
        <v>700000</v>
      </c>
      <c r="F15">
        <v>15407.7</v>
      </c>
      <c r="G15">
        <v>2.2053010000000001E-2</v>
      </c>
    </row>
    <row r="16" spans="1:9" x14ac:dyDescent="0.35">
      <c r="A16">
        <v>10</v>
      </c>
      <c r="B16" t="s">
        <v>17</v>
      </c>
      <c r="C16" t="s">
        <v>18</v>
      </c>
      <c r="D16" t="s">
        <v>19</v>
      </c>
      <c r="E16">
        <v>350000</v>
      </c>
      <c r="F16">
        <v>14292.25</v>
      </c>
      <c r="G16">
        <v>2.0456459999999999E-2</v>
      </c>
    </row>
    <row r="17" spans="1:7" x14ac:dyDescent="0.35">
      <c r="A17">
        <v>11</v>
      </c>
      <c r="B17" t="s">
        <v>57</v>
      </c>
      <c r="C17" t="s">
        <v>58</v>
      </c>
      <c r="D17" t="s">
        <v>53</v>
      </c>
      <c r="E17">
        <v>300000</v>
      </c>
      <c r="F17">
        <v>13303.2</v>
      </c>
      <c r="G17">
        <v>1.904084E-2</v>
      </c>
    </row>
    <row r="18" spans="1:7" x14ac:dyDescent="0.35">
      <c r="A18">
        <v>12</v>
      </c>
      <c r="B18" t="s">
        <v>266</v>
      </c>
      <c r="C18" t="s">
        <v>267</v>
      </c>
      <c r="D18" t="s">
        <v>243</v>
      </c>
      <c r="E18">
        <v>240000</v>
      </c>
      <c r="F18">
        <v>13215.6</v>
      </c>
      <c r="G18">
        <v>1.8915459999999999E-2</v>
      </c>
    </row>
    <row r="19" spans="1:7" x14ac:dyDescent="0.35">
      <c r="A19">
        <v>13</v>
      </c>
      <c r="B19" t="s">
        <v>358</v>
      </c>
      <c r="C19" t="s">
        <v>359</v>
      </c>
      <c r="D19" t="s">
        <v>252</v>
      </c>
      <c r="E19">
        <v>350000</v>
      </c>
      <c r="F19">
        <v>12982.2</v>
      </c>
      <c r="G19">
        <v>1.858139E-2</v>
      </c>
    </row>
    <row r="20" spans="1:7" x14ac:dyDescent="0.35">
      <c r="A20">
        <v>14</v>
      </c>
      <c r="B20" t="s">
        <v>284</v>
      </c>
      <c r="C20" t="s">
        <v>285</v>
      </c>
      <c r="D20" t="s">
        <v>43</v>
      </c>
      <c r="E20">
        <v>1000000</v>
      </c>
      <c r="F20">
        <v>12858</v>
      </c>
      <c r="G20">
        <v>1.8403630000000001E-2</v>
      </c>
    </row>
    <row r="21" spans="1:7" x14ac:dyDescent="0.35">
      <c r="A21">
        <v>15</v>
      </c>
      <c r="B21" t="s">
        <v>63</v>
      </c>
      <c r="C21" t="s">
        <v>64</v>
      </c>
      <c r="D21" t="s">
        <v>65</v>
      </c>
      <c r="E21">
        <v>200000</v>
      </c>
      <c r="F21">
        <v>12774</v>
      </c>
      <c r="G21">
        <v>1.8283399999999998E-2</v>
      </c>
    </row>
    <row r="22" spans="1:7" x14ac:dyDescent="0.35">
      <c r="A22">
        <v>16</v>
      </c>
      <c r="B22" t="s">
        <v>127</v>
      </c>
      <c r="C22" t="s">
        <v>128</v>
      </c>
      <c r="D22" t="s">
        <v>129</v>
      </c>
      <c r="E22">
        <v>1199300</v>
      </c>
      <c r="F22">
        <v>12638.223400000001</v>
      </c>
      <c r="G22">
        <v>1.8089060000000001E-2</v>
      </c>
    </row>
    <row r="23" spans="1:7" x14ac:dyDescent="0.35">
      <c r="A23">
        <v>17</v>
      </c>
      <c r="B23" t="s">
        <v>218</v>
      </c>
      <c r="C23" t="s">
        <v>219</v>
      </c>
      <c r="D23" t="s">
        <v>220</v>
      </c>
      <c r="E23">
        <v>1640000</v>
      </c>
      <c r="F23">
        <v>12309.84</v>
      </c>
      <c r="G23">
        <v>1.7619050000000001E-2</v>
      </c>
    </row>
    <row r="24" spans="1:7" x14ac:dyDescent="0.35">
      <c r="A24">
        <v>18</v>
      </c>
      <c r="B24" t="s">
        <v>360</v>
      </c>
      <c r="C24" t="s">
        <v>361</v>
      </c>
      <c r="D24" t="s">
        <v>38</v>
      </c>
      <c r="E24">
        <v>4100000</v>
      </c>
      <c r="F24">
        <v>12131.9</v>
      </c>
      <c r="G24">
        <v>1.7364359999999999E-2</v>
      </c>
    </row>
    <row r="25" spans="1:7" x14ac:dyDescent="0.35">
      <c r="A25">
        <v>19</v>
      </c>
      <c r="B25" t="s">
        <v>362</v>
      </c>
      <c r="C25" t="s">
        <v>363</v>
      </c>
      <c r="D25" t="s">
        <v>235</v>
      </c>
      <c r="E25">
        <v>105000</v>
      </c>
      <c r="F25">
        <v>11692.8</v>
      </c>
      <c r="G25">
        <v>1.6735880000000002E-2</v>
      </c>
    </row>
    <row r="26" spans="1:7" x14ac:dyDescent="0.35">
      <c r="A26">
        <v>20</v>
      </c>
      <c r="B26" t="s">
        <v>212</v>
      </c>
      <c r="C26" t="s">
        <v>213</v>
      </c>
      <c r="D26" t="s">
        <v>38</v>
      </c>
      <c r="E26">
        <v>4300000</v>
      </c>
      <c r="F26">
        <v>11485.3</v>
      </c>
      <c r="G26">
        <v>1.6438879999999999E-2</v>
      </c>
    </row>
    <row r="27" spans="1:7" x14ac:dyDescent="0.35">
      <c r="A27">
        <v>21</v>
      </c>
      <c r="B27" t="s">
        <v>282</v>
      </c>
      <c r="C27" t="s">
        <v>283</v>
      </c>
      <c r="D27" t="s">
        <v>97</v>
      </c>
      <c r="E27">
        <v>720000</v>
      </c>
      <c r="F27">
        <v>11482.56</v>
      </c>
      <c r="G27">
        <v>1.6434959999999998E-2</v>
      </c>
    </row>
    <row r="28" spans="1:7" x14ac:dyDescent="0.35">
      <c r="A28">
        <v>22</v>
      </c>
      <c r="B28" t="s">
        <v>238</v>
      </c>
      <c r="C28" t="s">
        <v>239</v>
      </c>
      <c r="D28" t="s">
        <v>240</v>
      </c>
      <c r="E28">
        <v>2000000</v>
      </c>
      <c r="F28">
        <v>11172</v>
      </c>
      <c r="G28">
        <v>1.5990460000000001E-2</v>
      </c>
    </row>
    <row r="29" spans="1:7" x14ac:dyDescent="0.35">
      <c r="A29">
        <v>23</v>
      </c>
      <c r="B29" t="s">
        <v>364</v>
      </c>
      <c r="C29" t="s">
        <v>365</v>
      </c>
      <c r="D29" t="s">
        <v>31</v>
      </c>
      <c r="E29">
        <v>250000</v>
      </c>
      <c r="F29">
        <v>10971.75</v>
      </c>
      <c r="G29">
        <v>1.570384E-2</v>
      </c>
    </row>
    <row r="30" spans="1:7" x14ac:dyDescent="0.35">
      <c r="A30">
        <v>24</v>
      </c>
      <c r="B30" t="s">
        <v>26</v>
      </c>
      <c r="C30" t="s">
        <v>27</v>
      </c>
      <c r="D30" t="s">
        <v>28</v>
      </c>
      <c r="E30">
        <v>92000</v>
      </c>
      <c r="F30">
        <v>10841.28</v>
      </c>
      <c r="G30">
        <v>1.5517100000000001E-2</v>
      </c>
    </row>
    <row r="31" spans="1:7" x14ac:dyDescent="0.35">
      <c r="A31">
        <v>25</v>
      </c>
      <c r="B31" t="s">
        <v>214</v>
      </c>
      <c r="C31" t="s">
        <v>215</v>
      </c>
      <c r="D31" t="s">
        <v>22</v>
      </c>
      <c r="E31">
        <v>2100000</v>
      </c>
      <c r="F31">
        <v>10480.049999999999</v>
      </c>
      <c r="G31">
        <v>1.5000070000000001E-2</v>
      </c>
    </row>
    <row r="32" spans="1:7" x14ac:dyDescent="0.35">
      <c r="A32">
        <v>26</v>
      </c>
      <c r="B32" t="s">
        <v>226</v>
      </c>
      <c r="C32" t="s">
        <v>227</v>
      </c>
      <c r="D32" t="s">
        <v>114</v>
      </c>
      <c r="E32">
        <v>1175000</v>
      </c>
      <c r="F32">
        <v>10387</v>
      </c>
      <c r="G32">
        <v>1.4866890000000001E-2</v>
      </c>
    </row>
    <row r="33" spans="1:7" x14ac:dyDescent="0.35">
      <c r="A33">
        <v>27</v>
      </c>
      <c r="B33" t="s">
        <v>82</v>
      </c>
      <c r="C33" t="s">
        <v>83</v>
      </c>
      <c r="D33" t="s">
        <v>16</v>
      </c>
      <c r="E33">
        <v>570000</v>
      </c>
      <c r="F33">
        <v>10383.69</v>
      </c>
      <c r="G33">
        <v>1.4862149999999999E-2</v>
      </c>
    </row>
    <row r="34" spans="1:7" x14ac:dyDescent="0.35">
      <c r="A34">
        <v>28</v>
      </c>
      <c r="B34" t="s">
        <v>288</v>
      </c>
      <c r="C34" t="s">
        <v>289</v>
      </c>
      <c r="D34" t="s">
        <v>290</v>
      </c>
      <c r="E34">
        <v>600000</v>
      </c>
      <c r="F34">
        <v>10030.799999999999</v>
      </c>
      <c r="G34">
        <v>1.435706E-2</v>
      </c>
    </row>
    <row r="35" spans="1:7" x14ac:dyDescent="0.35">
      <c r="A35">
        <v>29</v>
      </c>
      <c r="B35" t="s">
        <v>207</v>
      </c>
      <c r="C35" t="s">
        <v>208</v>
      </c>
      <c r="D35" t="s">
        <v>209</v>
      </c>
      <c r="E35">
        <v>436135</v>
      </c>
      <c r="F35">
        <v>9884.5636400000003</v>
      </c>
      <c r="G35">
        <v>1.4147750000000001E-2</v>
      </c>
    </row>
    <row r="36" spans="1:7" x14ac:dyDescent="0.35">
      <c r="A36">
        <v>30</v>
      </c>
      <c r="B36" t="s">
        <v>366</v>
      </c>
      <c r="C36" t="s">
        <v>367</v>
      </c>
      <c r="D36" t="s">
        <v>206</v>
      </c>
      <c r="E36">
        <v>1000000</v>
      </c>
      <c r="F36">
        <v>9868</v>
      </c>
      <c r="G36">
        <v>1.4124050000000001E-2</v>
      </c>
    </row>
    <row r="37" spans="1:7" x14ac:dyDescent="0.35">
      <c r="A37">
        <v>31</v>
      </c>
      <c r="B37" t="s">
        <v>248</v>
      </c>
      <c r="C37" t="s">
        <v>249</v>
      </c>
      <c r="D37" t="s">
        <v>53</v>
      </c>
      <c r="E37">
        <v>125000</v>
      </c>
      <c r="F37">
        <v>9523.75</v>
      </c>
      <c r="G37">
        <v>1.3631320000000001E-2</v>
      </c>
    </row>
    <row r="38" spans="1:7" x14ac:dyDescent="0.35">
      <c r="A38">
        <v>32</v>
      </c>
      <c r="B38" t="s">
        <v>322</v>
      </c>
      <c r="C38" t="s">
        <v>323</v>
      </c>
      <c r="D38" t="s">
        <v>324</v>
      </c>
      <c r="E38">
        <v>3575000</v>
      </c>
      <c r="F38">
        <v>9479.1124999999993</v>
      </c>
      <c r="G38">
        <v>1.356743E-2</v>
      </c>
    </row>
    <row r="39" spans="1:7" x14ac:dyDescent="0.35">
      <c r="A39">
        <v>33</v>
      </c>
      <c r="B39" t="s">
        <v>90</v>
      </c>
      <c r="C39" t="s">
        <v>91</v>
      </c>
      <c r="D39" t="s">
        <v>28</v>
      </c>
      <c r="E39">
        <v>167000</v>
      </c>
      <c r="F39">
        <v>9236.77</v>
      </c>
      <c r="G39">
        <v>1.3220569999999999E-2</v>
      </c>
    </row>
    <row r="40" spans="1:7" x14ac:dyDescent="0.35">
      <c r="A40">
        <v>34</v>
      </c>
      <c r="B40" t="s">
        <v>54</v>
      </c>
      <c r="C40" t="s">
        <v>55</v>
      </c>
      <c r="D40" t="s">
        <v>56</v>
      </c>
      <c r="E40">
        <v>610000</v>
      </c>
      <c r="F40">
        <v>8965.7800000000007</v>
      </c>
      <c r="G40">
        <v>1.2832700000000001E-2</v>
      </c>
    </row>
    <row r="41" spans="1:7" x14ac:dyDescent="0.35">
      <c r="A41">
        <v>35</v>
      </c>
      <c r="B41" t="s">
        <v>241</v>
      </c>
      <c r="C41" t="s">
        <v>242</v>
      </c>
      <c r="D41" t="s">
        <v>243</v>
      </c>
      <c r="E41">
        <v>415000</v>
      </c>
      <c r="F41">
        <v>8754.4249999999993</v>
      </c>
      <c r="G41">
        <v>1.253019E-2</v>
      </c>
    </row>
    <row r="42" spans="1:7" x14ac:dyDescent="0.35">
      <c r="A42">
        <v>36</v>
      </c>
      <c r="B42" t="s">
        <v>302</v>
      </c>
      <c r="C42" t="s">
        <v>303</v>
      </c>
      <c r="D42" t="s">
        <v>243</v>
      </c>
      <c r="E42">
        <v>390000</v>
      </c>
      <c r="F42">
        <v>8566.35</v>
      </c>
      <c r="G42">
        <v>1.2260999999999999E-2</v>
      </c>
    </row>
    <row r="43" spans="1:7" x14ac:dyDescent="0.35">
      <c r="A43">
        <v>37</v>
      </c>
      <c r="B43" t="s">
        <v>224</v>
      </c>
      <c r="C43" t="s">
        <v>225</v>
      </c>
      <c r="D43" t="s">
        <v>97</v>
      </c>
      <c r="E43">
        <v>450000</v>
      </c>
      <c r="F43">
        <v>8340.75</v>
      </c>
      <c r="G43">
        <v>1.19381E-2</v>
      </c>
    </row>
    <row r="44" spans="1:7" x14ac:dyDescent="0.35">
      <c r="A44">
        <v>38</v>
      </c>
      <c r="B44" t="s">
        <v>264</v>
      </c>
      <c r="C44" t="s">
        <v>265</v>
      </c>
      <c r="D44" t="s">
        <v>114</v>
      </c>
      <c r="E44">
        <v>555386</v>
      </c>
      <c r="F44">
        <v>8234.1528359999993</v>
      </c>
      <c r="G44">
        <v>1.1785520000000001E-2</v>
      </c>
    </row>
    <row r="45" spans="1:7" x14ac:dyDescent="0.35">
      <c r="A45">
        <v>39</v>
      </c>
      <c r="B45" t="s">
        <v>255</v>
      </c>
      <c r="C45" t="s">
        <v>256</v>
      </c>
      <c r="D45" t="s">
        <v>257</v>
      </c>
      <c r="E45">
        <v>500000</v>
      </c>
      <c r="F45">
        <v>8108.5</v>
      </c>
      <c r="G45">
        <v>1.160568E-2</v>
      </c>
    </row>
    <row r="46" spans="1:7" x14ac:dyDescent="0.35">
      <c r="A46">
        <v>40</v>
      </c>
      <c r="B46" t="s">
        <v>32</v>
      </c>
      <c r="C46" t="s">
        <v>33</v>
      </c>
      <c r="D46" t="s">
        <v>22</v>
      </c>
      <c r="E46">
        <v>2100000</v>
      </c>
      <c r="F46">
        <v>8064</v>
      </c>
      <c r="G46">
        <v>1.154198E-2</v>
      </c>
    </row>
    <row r="47" spans="1:7" x14ac:dyDescent="0.35">
      <c r="A47">
        <v>41</v>
      </c>
      <c r="B47" t="s">
        <v>368</v>
      </c>
      <c r="C47" t="s">
        <v>369</v>
      </c>
      <c r="D47" t="s">
        <v>274</v>
      </c>
      <c r="E47">
        <v>430000</v>
      </c>
      <c r="F47">
        <v>7737.42</v>
      </c>
      <c r="G47">
        <v>1.1074550000000001E-2</v>
      </c>
    </row>
    <row r="48" spans="1:7" x14ac:dyDescent="0.35">
      <c r="A48">
        <v>42</v>
      </c>
      <c r="B48" t="s">
        <v>66</v>
      </c>
      <c r="C48" t="s">
        <v>67</v>
      </c>
      <c r="D48" t="s">
        <v>53</v>
      </c>
      <c r="E48">
        <v>620000</v>
      </c>
      <c r="F48">
        <v>7556.56</v>
      </c>
      <c r="G48">
        <v>1.0815689999999999E-2</v>
      </c>
    </row>
    <row r="49" spans="1:7" x14ac:dyDescent="0.35">
      <c r="A49">
        <v>43</v>
      </c>
      <c r="B49" t="s">
        <v>316</v>
      </c>
      <c r="C49" t="s">
        <v>317</v>
      </c>
      <c r="D49" t="s">
        <v>209</v>
      </c>
      <c r="E49">
        <v>225000</v>
      </c>
      <c r="F49">
        <v>7285.95</v>
      </c>
      <c r="G49">
        <v>1.0428359999999999E-2</v>
      </c>
    </row>
    <row r="50" spans="1:7" x14ac:dyDescent="0.35">
      <c r="A50">
        <v>44</v>
      </c>
      <c r="B50" t="s">
        <v>210</v>
      </c>
      <c r="C50" t="s">
        <v>211</v>
      </c>
      <c r="D50" t="s">
        <v>38</v>
      </c>
      <c r="E50">
        <v>8500000</v>
      </c>
      <c r="F50">
        <v>7276.85</v>
      </c>
      <c r="G50">
        <v>1.041534E-2</v>
      </c>
    </row>
    <row r="51" spans="1:7" x14ac:dyDescent="0.35">
      <c r="A51">
        <v>45</v>
      </c>
      <c r="B51" t="s">
        <v>370</v>
      </c>
      <c r="C51" t="s">
        <v>371</v>
      </c>
      <c r="D51" t="s">
        <v>206</v>
      </c>
      <c r="E51">
        <v>410000</v>
      </c>
      <c r="F51">
        <v>6979.02</v>
      </c>
      <c r="G51">
        <v>9.9890599999999993E-3</v>
      </c>
    </row>
    <row r="52" spans="1:7" x14ac:dyDescent="0.35">
      <c r="A52">
        <v>46</v>
      </c>
      <c r="B52" t="s">
        <v>372</v>
      </c>
      <c r="C52" t="s">
        <v>373</v>
      </c>
      <c r="D52" t="s">
        <v>243</v>
      </c>
      <c r="E52">
        <v>400000</v>
      </c>
      <c r="F52">
        <v>6878.8</v>
      </c>
      <c r="G52">
        <v>9.8456099999999994E-3</v>
      </c>
    </row>
    <row r="53" spans="1:7" x14ac:dyDescent="0.35">
      <c r="A53">
        <v>47</v>
      </c>
      <c r="B53" t="s">
        <v>228</v>
      </c>
      <c r="C53" t="s">
        <v>229</v>
      </c>
      <c r="D53" t="s">
        <v>230</v>
      </c>
      <c r="E53">
        <v>400000</v>
      </c>
      <c r="F53">
        <v>6652</v>
      </c>
      <c r="G53">
        <v>9.52099E-3</v>
      </c>
    </row>
    <row r="54" spans="1:7" x14ac:dyDescent="0.35">
      <c r="A54">
        <v>48</v>
      </c>
      <c r="B54" t="s">
        <v>268</v>
      </c>
      <c r="C54" t="s">
        <v>269</v>
      </c>
      <c r="D54" t="s">
        <v>235</v>
      </c>
      <c r="E54">
        <v>775000</v>
      </c>
      <c r="F54">
        <v>6632.0625</v>
      </c>
      <c r="G54">
        <v>9.4924599999999994E-3</v>
      </c>
    </row>
    <row r="55" spans="1:7" x14ac:dyDescent="0.35">
      <c r="A55">
        <v>49</v>
      </c>
      <c r="B55" t="s">
        <v>374</v>
      </c>
      <c r="C55" t="s">
        <v>375</v>
      </c>
      <c r="D55" t="s">
        <v>324</v>
      </c>
      <c r="E55">
        <v>2350000</v>
      </c>
      <c r="F55">
        <v>6534.1750000000002</v>
      </c>
      <c r="G55">
        <v>9.3523500000000006E-3</v>
      </c>
    </row>
    <row r="56" spans="1:7" x14ac:dyDescent="0.35">
      <c r="A56">
        <v>50</v>
      </c>
      <c r="B56" t="s">
        <v>376</v>
      </c>
      <c r="C56" t="s">
        <v>377</v>
      </c>
      <c r="D56" t="s">
        <v>378</v>
      </c>
      <c r="E56">
        <v>1550000</v>
      </c>
      <c r="F56">
        <v>6440.25</v>
      </c>
      <c r="G56">
        <v>9.2179199999999992E-3</v>
      </c>
    </row>
    <row r="57" spans="1:7" x14ac:dyDescent="0.35">
      <c r="A57">
        <v>51</v>
      </c>
      <c r="B57" t="s">
        <v>236</v>
      </c>
      <c r="C57" t="s">
        <v>237</v>
      </c>
      <c r="D57" t="s">
        <v>230</v>
      </c>
      <c r="E57">
        <v>100000</v>
      </c>
      <c r="F57">
        <v>6272</v>
      </c>
      <c r="G57">
        <v>8.9771E-3</v>
      </c>
    </row>
    <row r="58" spans="1:7" x14ac:dyDescent="0.35">
      <c r="A58">
        <v>52</v>
      </c>
      <c r="B58" t="s">
        <v>260</v>
      </c>
      <c r="C58" t="s">
        <v>261</v>
      </c>
      <c r="D58" t="s">
        <v>43</v>
      </c>
      <c r="E58">
        <v>1250000</v>
      </c>
      <c r="F58">
        <v>6250</v>
      </c>
      <c r="G58">
        <v>8.9456099999999997E-3</v>
      </c>
    </row>
    <row r="59" spans="1:7" x14ac:dyDescent="0.35">
      <c r="A59">
        <v>53</v>
      </c>
      <c r="B59" t="s">
        <v>49</v>
      </c>
      <c r="C59" t="s">
        <v>50</v>
      </c>
      <c r="D59" t="s">
        <v>25</v>
      </c>
      <c r="E59">
        <v>1600000</v>
      </c>
      <c r="F59">
        <v>6073.6</v>
      </c>
      <c r="G59">
        <v>8.6931300000000003E-3</v>
      </c>
    </row>
    <row r="60" spans="1:7" x14ac:dyDescent="0.35">
      <c r="A60">
        <v>54</v>
      </c>
      <c r="B60" t="s">
        <v>106</v>
      </c>
      <c r="C60" t="s">
        <v>107</v>
      </c>
      <c r="D60" t="s">
        <v>43</v>
      </c>
      <c r="E60">
        <v>156515</v>
      </c>
      <c r="F60">
        <v>6071.2168499999998</v>
      </c>
      <c r="G60">
        <v>8.6897199999999997E-3</v>
      </c>
    </row>
    <row r="61" spans="1:7" x14ac:dyDescent="0.35">
      <c r="A61">
        <v>55</v>
      </c>
      <c r="B61" t="s">
        <v>59</v>
      </c>
      <c r="C61" t="s">
        <v>60</v>
      </c>
      <c r="D61" t="s">
        <v>43</v>
      </c>
      <c r="E61">
        <v>40000</v>
      </c>
      <c r="F61">
        <v>5951.2</v>
      </c>
      <c r="G61">
        <v>8.5179399999999999E-3</v>
      </c>
    </row>
    <row r="62" spans="1:7" x14ac:dyDescent="0.35">
      <c r="A62">
        <v>56</v>
      </c>
      <c r="B62" t="s">
        <v>293</v>
      </c>
      <c r="C62" t="s">
        <v>294</v>
      </c>
      <c r="D62" t="s">
        <v>281</v>
      </c>
      <c r="E62">
        <v>1124999</v>
      </c>
      <c r="F62">
        <v>5946.7447140000004</v>
      </c>
      <c r="G62">
        <v>8.5115599999999996E-3</v>
      </c>
    </row>
    <row r="63" spans="1:7" x14ac:dyDescent="0.35">
      <c r="A63">
        <v>57</v>
      </c>
      <c r="B63" t="s">
        <v>262</v>
      </c>
      <c r="C63" t="s">
        <v>263</v>
      </c>
      <c r="D63" t="s">
        <v>114</v>
      </c>
      <c r="E63">
        <v>550000</v>
      </c>
      <c r="F63">
        <v>5748.05</v>
      </c>
      <c r="G63">
        <v>8.2271700000000007E-3</v>
      </c>
    </row>
    <row r="64" spans="1:7" x14ac:dyDescent="0.35">
      <c r="A64">
        <v>58</v>
      </c>
      <c r="B64" t="s">
        <v>86</v>
      </c>
      <c r="C64" t="s">
        <v>87</v>
      </c>
      <c r="D64" t="s">
        <v>25</v>
      </c>
      <c r="E64">
        <v>425000</v>
      </c>
      <c r="F64">
        <v>5553.4750000000004</v>
      </c>
      <c r="G64">
        <v>7.9486799999999996E-3</v>
      </c>
    </row>
    <row r="65" spans="1:7" x14ac:dyDescent="0.35">
      <c r="A65">
        <v>59</v>
      </c>
      <c r="B65" t="s">
        <v>98</v>
      </c>
      <c r="C65" t="s">
        <v>99</v>
      </c>
      <c r="D65" t="s">
        <v>79</v>
      </c>
      <c r="E65">
        <v>1250000</v>
      </c>
      <c r="F65">
        <v>5048.125</v>
      </c>
      <c r="G65">
        <v>7.2253700000000001E-3</v>
      </c>
    </row>
    <row r="66" spans="1:7" x14ac:dyDescent="0.35">
      <c r="A66">
        <v>60</v>
      </c>
      <c r="B66" t="s">
        <v>277</v>
      </c>
      <c r="C66" t="s">
        <v>278</v>
      </c>
      <c r="D66" t="s">
        <v>243</v>
      </c>
      <c r="E66">
        <v>290000</v>
      </c>
      <c r="F66">
        <v>4993.8</v>
      </c>
      <c r="G66">
        <v>7.1476100000000004E-3</v>
      </c>
    </row>
    <row r="67" spans="1:7" x14ac:dyDescent="0.35">
      <c r="A67">
        <v>61</v>
      </c>
      <c r="B67" t="s">
        <v>308</v>
      </c>
      <c r="C67" t="s">
        <v>309</v>
      </c>
      <c r="D67" t="s">
        <v>240</v>
      </c>
      <c r="E67">
        <v>2900000</v>
      </c>
      <c r="F67">
        <v>4290.55</v>
      </c>
      <c r="G67">
        <v>6.1410500000000003E-3</v>
      </c>
    </row>
    <row r="68" spans="1:7" x14ac:dyDescent="0.35">
      <c r="A68">
        <v>62</v>
      </c>
      <c r="B68" t="s">
        <v>291</v>
      </c>
      <c r="C68" t="s">
        <v>292</v>
      </c>
      <c r="D68" t="s">
        <v>281</v>
      </c>
      <c r="E68">
        <v>33000</v>
      </c>
      <c r="F68">
        <v>4280.43</v>
      </c>
      <c r="G68">
        <v>6.1265699999999996E-3</v>
      </c>
    </row>
    <row r="69" spans="1:7" x14ac:dyDescent="0.35">
      <c r="A69">
        <v>63</v>
      </c>
      <c r="B69" t="s">
        <v>216</v>
      </c>
      <c r="C69" t="s">
        <v>217</v>
      </c>
      <c r="D69" t="s">
        <v>65</v>
      </c>
      <c r="E69">
        <v>829572</v>
      </c>
      <c r="F69">
        <v>4026.327702</v>
      </c>
      <c r="G69">
        <v>5.7628699999999998E-3</v>
      </c>
    </row>
    <row r="70" spans="1:7" x14ac:dyDescent="0.35">
      <c r="A70">
        <v>64</v>
      </c>
      <c r="B70" t="s">
        <v>331</v>
      </c>
      <c r="C70" t="s">
        <v>332</v>
      </c>
      <c r="D70" t="s">
        <v>65</v>
      </c>
      <c r="E70">
        <v>500000</v>
      </c>
      <c r="F70">
        <v>2682.75</v>
      </c>
      <c r="G70">
        <v>3.8398099999999999E-3</v>
      </c>
    </row>
    <row r="71" spans="1:7" x14ac:dyDescent="0.35">
      <c r="A71">
        <v>65</v>
      </c>
      <c r="B71" t="s">
        <v>339</v>
      </c>
      <c r="C71" t="s">
        <v>340</v>
      </c>
      <c r="D71" t="s">
        <v>235</v>
      </c>
      <c r="E71">
        <v>88157</v>
      </c>
      <c r="F71">
        <v>2345.9459270000002</v>
      </c>
      <c r="G71">
        <v>3.3577500000000001E-3</v>
      </c>
    </row>
    <row r="72" spans="1:7" x14ac:dyDescent="0.35">
      <c r="A72">
        <v>66</v>
      </c>
      <c r="B72" t="s">
        <v>379</v>
      </c>
      <c r="C72" t="s">
        <v>380</v>
      </c>
      <c r="D72" t="s">
        <v>378</v>
      </c>
      <c r="E72">
        <v>35970</v>
      </c>
      <c r="F72">
        <v>1338.01206</v>
      </c>
      <c r="G72">
        <v>1.9150899999999999E-3</v>
      </c>
    </row>
    <row r="73" spans="1:7" x14ac:dyDescent="0.35">
      <c r="A73">
        <v>67</v>
      </c>
      <c r="B73" t="s">
        <v>335</v>
      </c>
      <c r="C73" t="s">
        <v>336</v>
      </c>
      <c r="D73" t="s">
        <v>43</v>
      </c>
      <c r="E73">
        <v>55134</v>
      </c>
      <c r="F73">
        <v>1020.585474</v>
      </c>
      <c r="G73">
        <v>1.46076E-3</v>
      </c>
    </row>
    <row r="74" spans="1:7" x14ac:dyDescent="0.35">
      <c r="A74">
        <v>68</v>
      </c>
      <c r="B74" t="s">
        <v>381</v>
      </c>
      <c r="C74" t="s">
        <v>382</v>
      </c>
      <c r="D74" t="s">
        <v>65</v>
      </c>
      <c r="E74">
        <v>65330</v>
      </c>
      <c r="F74">
        <v>993.93061999999998</v>
      </c>
      <c r="G74">
        <v>1.4226099999999999E-3</v>
      </c>
    </row>
    <row r="75" spans="1:7" x14ac:dyDescent="0.35">
      <c r="C75" t="s">
        <v>139</v>
      </c>
      <c r="F75">
        <v>683311.34009099996</v>
      </c>
      <c r="G75">
        <v>0.97802195000000003</v>
      </c>
    </row>
    <row r="77" spans="1:7" x14ac:dyDescent="0.35">
      <c r="C77" t="s">
        <v>140</v>
      </c>
    </row>
    <row r="78" spans="1:7" x14ac:dyDescent="0.35">
      <c r="C78" t="s">
        <v>139</v>
      </c>
      <c r="F78" t="s">
        <v>141</v>
      </c>
      <c r="G78">
        <v>0</v>
      </c>
    </row>
    <row r="80" spans="1:7" x14ac:dyDescent="0.35">
      <c r="C80" t="s">
        <v>142</v>
      </c>
    </row>
    <row r="81" spans="3:7" x14ac:dyDescent="0.35">
      <c r="C81" t="s">
        <v>139</v>
      </c>
      <c r="F81" t="s">
        <v>141</v>
      </c>
      <c r="G81">
        <v>0</v>
      </c>
    </row>
    <row r="83" spans="3:7" x14ac:dyDescent="0.35">
      <c r="C83" t="s">
        <v>147</v>
      </c>
    </row>
    <row r="84" spans="3:7" x14ac:dyDescent="0.35">
      <c r="C84" t="s">
        <v>139</v>
      </c>
      <c r="F84" t="s">
        <v>141</v>
      </c>
      <c r="G84">
        <v>0</v>
      </c>
    </row>
    <row r="86" spans="3:7" x14ac:dyDescent="0.35">
      <c r="C86" t="s">
        <v>148</v>
      </c>
    </row>
    <row r="87" spans="3:7" x14ac:dyDescent="0.35">
      <c r="C87" t="s">
        <v>139</v>
      </c>
      <c r="F87" t="s">
        <v>141</v>
      </c>
      <c r="G87">
        <v>0</v>
      </c>
    </row>
    <row r="89" spans="3:7" x14ac:dyDescent="0.35">
      <c r="C89" t="s">
        <v>149</v>
      </c>
    </row>
    <row r="90" spans="3:7" x14ac:dyDescent="0.35">
      <c r="C90" t="s">
        <v>139</v>
      </c>
      <c r="F90" t="s">
        <v>141</v>
      </c>
      <c r="G90">
        <v>0</v>
      </c>
    </row>
    <row r="92" spans="3:7" x14ac:dyDescent="0.35">
      <c r="C92" t="s">
        <v>150</v>
      </c>
      <c r="F92">
        <v>683311.34009099996</v>
      </c>
      <c r="G92">
        <v>0.97802195000000003</v>
      </c>
    </row>
    <row r="94" spans="3:7" x14ac:dyDescent="0.35">
      <c r="C94" t="s">
        <v>151</v>
      </c>
    </row>
    <row r="95" spans="3:7" x14ac:dyDescent="0.35">
      <c r="C95" t="s">
        <v>13</v>
      </c>
    </row>
    <row r="96" spans="3:7" x14ac:dyDescent="0.35">
      <c r="C96" t="s">
        <v>139</v>
      </c>
      <c r="F96" t="s">
        <v>141</v>
      </c>
      <c r="G96">
        <v>0</v>
      </c>
    </row>
    <row r="98" spans="3:7" x14ac:dyDescent="0.35">
      <c r="C98" t="s">
        <v>152</v>
      </c>
    </row>
    <row r="99" spans="3:7" x14ac:dyDescent="0.35">
      <c r="C99" t="s">
        <v>139</v>
      </c>
      <c r="F99" t="s">
        <v>141</v>
      </c>
      <c r="G99">
        <v>0</v>
      </c>
    </row>
    <row r="101" spans="3:7" x14ac:dyDescent="0.35">
      <c r="C101" t="s">
        <v>153</v>
      </c>
    </row>
    <row r="102" spans="3:7" x14ac:dyDescent="0.35">
      <c r="C102" t="s">
        <v>139</v>
      </c>
      <c r="F102" t="s">
        <v>141</v>
      </c>
      <c r="G102">
        <v>0</v>
      </c>
    </row>
    <row r="104" spans="3:7" x14ac:dyDescent="0.35">
      <c r="C104" t="s">
        <v>154</v>
      </c>
    </row>
    <row r="105" spans="3:7" x14ac:dyDescent="0.35">
      <c r="C105" t="s">
        <v>139</v>
      </c>
      <c r="F105" t="s">
        <v>141</v>
      </c>
      <c r="G105">
        <v>0</v>
      </c>
    </row>
    <row r="107" spans="3:7" x14ac:dyDescent="0.35">
      <c r="C107" t="s">
        <v>155</v>
      </c>
      <c r="F107">
        <v>0</v>
      </c>
      <c r="G107">
        <v>0</v>
      </c>
    </row>
    <row r="109" spans="3:7" x14ac:dyDescent="0.35">
      <c r="C109" t="s">
        <v>156</v>
      </c>
    </row>
    <row r="110" spans="3:7" x14ac:dyDescent="0.35">
      <c r="C110" t="s">
        <v>157</v>
      </c>
    </row>
    <row r="111" spans="3:7" x14ac:dyDescent="0.35">
      <c r="C111" t="s">
        <v>139</v>
      </c>
      <c r="F111" t="s">
        <v>141</v>
      </c>
      <c r="G111">
        <v>0</v>
      </c>
    </row>
    <row r="113" spans="1:8" x14ac:dyDescent="0.35">
      <c r="C113" t="s">
        <v>158</v>
      </c>
    </row>
    <row r="114" spans="1:8" x14ac:dyDescent="0.35">
      <c r="C114" t="s">
        <v>139</v>
      </c>
      <c r="F114" t="s">
        <v>141</v>
      </c>
      <c r="G114">
        <v>0</v>
      </c>
    </row>
    <row r="116" spans="1:8" x14ac:dyDescent="0.35">
      <c r="C116" t="s">
        <v>159</v>
      </c>
    </row>
    <row r="117" spans="1:8" x14ac:dyDescent="0.35">
      <c r="C117" t="s">
        <v>139</v>
      </c>
      <c r="F117" t="s">
        <v>141</v>
      </c>
      <c r="G117">
        <v>0</v>
      </c>
    </row>
    <row r="119" spans="1:8" x14ac:dyDescent="0.35">
      <c r="C119" t="s">
        <v>160</v>
      </c>
    </row>
    <row r="120" spans="1:8" x14ac:dyDescent="0.35">
      <c r="A120">
        <v>1</v>
      </c>
      <c r="C120" t="s">
        <v>161</v>
      </c>
      <c r="F120">
        <v>10010.706427028999</v>
      </c>
      <c r="G120">
        <v>1.43283E-2</v>
      </c>
      <c r="H120">
        <v>5.42</v>
      </c>
    </row>
    <row r="121" spans="1:8" x14ac:dyDescent="0.35">
      <c r="C121" t="s">
        <v>139</v>
      </c>
      <c r="F121">
        <v>10010.706427028999</v>
      </c>
      <c r="G121">
        <v>1.43283E-2</v>
      </c>
    </row>
    <row r="123" spans="1:8" x14ac:dyDescent="0.35">
      <c r="C123" t="s">
        <v>162</v>
      </c>
      <c r="F123">
        <v>10010.706427028999</v>
      </c>
      <c r="G123">
        <v>1.43283E-2</v>
      </c>
    </row>
    <row r="125" spans="1:8" x14ac:dyDescent="0.35">
      <c r="C125" t="s">
        <v>163</v>
      </c>
    </row>
    <row r="126" spans="1:8" x14ac:dyDescent="0.35">
      <c r="C126" t="s">
        <v>164</v>
      </c>
    </row>
    <row r="127" spans="1:8" x14ac:dyDescent="0.35">
      <c r="A127">
        <v>1</v>
      </c>
      <c r="B127" t="s">
        <v>344</v>
      </c>
      <c r="C127" t="s">
        <v>383</v>
      </c>
      <c r="E127">
        <v>208548.92300000001</v>
      </c>
      <c r="F127">
        <v>5002.9902276780003</v>
      </c>
      <c r="G127">
        <v>7.1607700000000003E-3</v>
      </c>
    </row>
    <row r="128" spans="1:8" x14ac:dyDescent="0.35">
      <c r="C128" t="s">
        <v>139</v>
      </c>
      <c r="F128">
        <v>5002.9902276780003</v>
      </c>
      <c r="G128">
        <v>7.1607700000000003E-3</v>
      </c>
    </row>
    <row r="130" spans="2:7" x14ac:dyDescent="0.35">
      <c r="C130" t="s">
        <v>165</v>
      </c>
    </row>
    <row r="131" spans="2:7" x14ac:dyDescent="0.35">
      <c r="C131" t="s">
        <v>166</v>
      </c>
    </row>
    <row r="132" spans="2:7" x14ac:dyDescent="0.35">
      <c r="C132" t="s">
        <v>139</v>
      </c>
      <c r="F132" t="s">
        <v>141</v>
      </c>
      <c r="G132">
        <v>0</v>
      </c>
    </row>
    <row r="134" spans="2:7" x14ac:dyDescent="0.35">
      <c r="C134" t="s">
        <v>167</v>
      </c>
    </row>
    <row r="135" spans="2:7" x14ac:dyDescent="0.35">
      <c r="C135" t="s">
        <v>139</v>
      </c>
      <c r="F135" t="s">
        <v>141</v>
      </c>
      <c r="G135">
        <v>0</v>
      </c>
    </row>
    <row r="137" spans="2:7" x14ac:dyDescent="0.35">
      <c r="C137" t="s">
        <v>168</v>
      </c>
      <c r="F137">
        <v>341.64991336000003</v>
      </c>
      <c r="G137">
        <v>4.8899999999999996E-4</v>
      </c>
    </row>
    <row r="138" spans="2:7" x14ac:dyDescent="0.35">
      <c r="C138" t="s">
        <v>169</v>
      </c>
      <c r="F138">
        <v>698666.68665906705</v>
      </c>
      <c r="G138">
        <v>1.0000000200000001</v>
      </c>
    </row>
    <row r="140" spans="2:7" x14ac:dyDescent="0.35">
      <c r="B140" t="s">
        <v>170</v>
      </c>
    </row>
    <row r="141" spans="2:7" x14ac:dyDescent="0.35">
      <c r="B141" t="s">
        <v>171</v>
      </c>
    </row>
    <row r="142" spans="2:7" x14ac:dyDescent="0.35">
      <c r="B142" t="s">
        <v>172</v>
      </c>
    </row>
    <row r="143" spans="2:7" x14ac:dyDescent="0.35">
      <c r="B143" t="s">
        <v>173</v>
      </c>
    </row>
    <row r="144" spans="2:7" x14ac:dyDescent="0.35">
      <c r="B144" t="s">
        <v>174</v>
      </c>
    </row>
    <row r="146" spans="2:4" x14ac:dyDescent="0.35">
      <c r="B146" t="s">
        <v>175</v>
      </c>
    </row>
    <row r="147" spans="2:4" x14ac:dyDescent="0.35">
      <c r="B147" t="s">
        <v>176</v>
      </c>
      <c r="D147" t="s">
        <v>177</v>
      </c>
    </row>
    <row r="148" spans="2:4" x14ac:dyDescent="0.35">
      <c r="B148" t="s">
        <v>178</v>
      </c>
      <c r="D148" t="s">
        <v>177</v>
      </c>
    </row>
    <row r="149" spans="2:4" x14ac:dyDescent="0.35">
      <c r="B149" t="s">
        <v>179</v>
      </c>
    </row>
    <row r="150" spans="2:4" x14ac:dyDescent="0.35">
      <c r="C150" t="s">
        <v>180</v>
      </c>
      <c r="D150" t="s">
        <v>181</v>
      </c>
    </row>
    <row r="151" spans="2:4" x14ac:dyDescent="0.35">
      <c r="B151" t="s">
        <v>182</v>
      </c>
      <c r="C151" s="1">
        <v>45991</v>
      </c>
      <c r="D151" s="1">
        <v>46022</v>
      </c>
    </row>
    <row r="152" spans="2:4" x14ac:dyDescent="0.35">
      <c r="B152" t="s">
        <v>183</v>
      </c>
      <c r="C152">
        <v>100.25539999999999</v>
      </c>
      <c r="D152">
        <v>99.7226</v>
      </c>
    </row>
    <row r="153" spans="2:4" x14ac:dyDescent="0.35">
      <c r="B153" t="s">
        <v>184</v>
      </c>
      <c r="C153">
        <v>34.584899999999998</v>
      </c>
      <c r="D153">
        <v>34.4011</v>
      </c>
    </row>
    <row r="154" spans="2:4" x14ac:dyDescent="0.35">
      <c r="B154" t="s">
        <v>185</v>
      </c>
      <c r="C154">
        <v>88.796899999999994</v>
      </c>
      <c r="D154">
        <v>88.245099999999994</v>
      </c>
    </row>
    <row r="155" spans="2:4" x14ac:dyDescent="0.35">
      <c r="B155" t="s">
        <v>186</v>
      </c>
      <c r="C155">
        <v>29.968599999999999</v>
      </c>
      <c r="D155">
        <v>29.782399999999999</v>
      </c>
    </row>
    <row r="157" spans="2:4" x14ac:dyDescent="0.35">
      <c r="B157" t="s">
        <v>187</v>
      </c>
      <c r="D157" t="s">
        <v>177</v>
      </c>
    </row>
    <row r="159" spans="2:4" x14ac:dyDescent="0.35">
      <c r="B159" t="s">
        <v>188</v>
      </c>
      <c r="D159" t="s">
        <v>177</v>
      </c>
    </row>
    <row r="160" spans="2:4" x14ac:dyDescent="0.35">
      <c r="B160" t="s">
        <v>189</v>
      </c>
      <c r="D160" t="s">
        <v>177</v>
      </c>
    </row>
    <row r="161" spans="2:4" x14ac:dyDescent="0.35">
      <c r="B161" t="s">
        <v>190</v>
      </c>
      <c r="D161" t="s">
        <v>177</v>
      </c>
    </row>
    <row r="162" spans="2:4" x14ac:dyDescent="0.35">
      <c r="B162" t="s">
        <v>191</v>
      </c>
      <c r="D162">
        <v>0.58070490350629889</v>
      </c>
    </row>
    <row r="164" spans="2:4" x14ac:dyDescent="0.35">
      <c r="B164" t="s">
        <v>192</v>
      </c>
    </row>
    <row r="179" spans="2:2" x14ac:dyDescent="0.35">
      <c r="B179" t="s">
        <v>193</v>
      </c>
    </row>
    <row r="180" spans="2:2" x14ac:dyDescent="0.35">
      <c r="B180" t="s">
        <v>384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1"/>
  <sheetViews>
    <sheetView workbookViewId="0"/>
  </sheetViews>
  <sheetFormatPr defaultRowHeight="14.5" x14ac:dyDescent="0.35"/>
  <sheetData>
    <row r="1" spans="1:9" x14ac:dyDescent="0.35">
      <c r="A1" t="s">
        <v>0</v>
      </c>
      <c r="I1" t="s">
        <v>1</v>
      </c>
    </row>
    <row r="2" spans="1:9" x14ac:dyDescent="0.35">
      <c r="A2" t="s">
        <v>385</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80</v>
      </c>
      <c r="C7" t="s">
        <v>81</v>
      </c>
      <c r="D7" t="s">
        <v>43</v>
      </c>
      <c r="E7">
        <v>140821</v>
      </c>
      <c r="F7">
        <v>10828.430795</v>
      </c>
      <c r="G7">
        <v>3.1842450000000001E-2</v>
      </c>
    </row>
    <row r="8" spans="1:9" x14ac:dyDescent="0.35">
      <c r="A8">
        <v>2</v>
      </c>
      <c r="B8" t="s">
        <v>386</v>
      </c>
      <c r="C8" t="s">
        <v>387</v>
      </c>
      <c r="D8" t="s">
        <v>31</v>
      </c>
      <c r="E8">
        <v>430300</v>
      </c>
      <c r="F8">
        <v>10399.060100000001</v>
      </c>
      <c r="G8">
        <v>3.0579829999999999E-2</v>
      </c>
    </row>
    <row r="9" spans="1:9" x14ac:dyDescent="0.35">
      <c r="A9">
        <v>3</v>
      </c>
      <c r="B9" t="s">
        <v>388</v>
      </c>
      <c r="C9" t="s">
        <v>389</v>
      </c>
      <c r="D9" t="s">
        <v>114</v>
      </c>
      <c r="E9">
        <v>1681362</v>
      </c>
      <c r="F9">
        <v>10371.481497000001</v>
      </c>
      <c r="G9">
        <v>3.0498730000000002E-2</v>
      </c>
    </row>
    <row r="10" spans="1:9" x14ac:dyDescent="0.35">
      <c r="A10">
        <v>4</v>
      </c>
      <c r="B10" t="s">
        <v>368</v>
      </c>
      <c r="C10" t="s">
        <v>369</v>
      </c>
      <c r="D10" t="s">
        <v>274</v>
      </c>
      <c r="E10">
        <v>569587</v>
      </c>
      <c r="F10">
        <v>10249.148477999999</v>
      </c>
      <c r="G10">
        <v>3.0138999999999999E-2</v>
      </c>
    </row>
    <row r="11" spans="1:9" x14ac:dyDescent="0.35">
      <c r="A11">
        <v>5</v>
      </c>
      <c r="B11" t="s">
        <v>390</v>
      </c>
      <c r="C11" t="s">
        <v>391</v>
      </c>
      <c r="D11" t="s">
        <v>230</v>
      </c>
      <c r="E11">
        <v>1434521</v>
      </c>
      <c r="F11">
        <v>9922.5817569999999</v>
      </c>
      <c r="G11">
        <v>2.9178679999999999E-2</v>
      </c>
    </row>
    <row r="12" spans="1:9" x14ac:dyDescent="0.35">
      <c r="A12">
        <v>6</v>
      </c>
      <c r="B12" t="s">
        <v>41</v>
      </c>
      <c r="C12" t="s">
        <v>42</v>
      </c>
      <c r="D12" t="s">
        <v>43</v>
      </c>
      <c r="E12">
        <v>577256</v>
      </c>
      <c r="F12">
        <v>9810.4657200000001</v>
      </c>
      <c r="G12">
        <v>2.8848990000000001E-2</v>
      </c>
    </row>
    <row r="13" spans="1:9" x14ac:dyDescent="0.35">
      <c r="A13">
        <v>7</v>
      </c>
      <c r="B13" t="s">
        <v>392</v>
      </c>
      <c r="C13" t="s">
        <v>393</v>
      </c>
      <c r="D13" t="s">
        <v>394</v>
      </c>
      <c r="E13">
        <v>933628</v>
      </c>
      <c r="F13">
        <v>9660.2489160000005</v>
      </c>
      <c r="G13">
        <v>2.840726E-2</v>
      </c>
    </row>
    <row r="14" spans="1:9" x14ac:dyDescent="0.35">
      <c r="A14">
        <v>8</v>
      </c>
      <c r="B14" t="s">
        <v>395</v>
      </c>
      <c r="C14" t="s">
        <v>396</v>
      </c>
      <c r="D14" t="s">
        <v>65</v>
      </c>
      <c r="E14">
        <v>431921</v>
      </c>
      <c r="F14">
        <v>9391.6902239999999</v>
      </c>
      <c r="G14">
        <v>2.761752E-2</v>
      </c>
    </row>
    <row r="15" spans="1:9" x14ac:dyDescent="0.35">
      <c r="A15">
        <v>9</v>
      </c>
      <c r="B15" t="s">
        <v>397</v>
      </c>
      <c r="C15" t="s">
        <v>398</v>
      </c>
      <c r="D15" t="s">
        <v>206</v>
      </c>
      <c r="E15">
        <v>953608</v>
      </c>
      <c r="F15">
        <v>9073.5801200000005</v>
      </c>
      <c r="G15">
        <v>2.668208E-2</v>
      </c>
    </row>
    <row r="16" spans="1:9" x14ac:dyDescent="0.35">
      <c r="A16">
        <v>10</v>
      </c>
      <c r="B16" t="s">
        <v>399</v>
      </c>
      <c r="C16" t="s">
        <v>400</v>
      </c>
      <c r="D16" t="s">
        <v>38</v>
      </c>
      <c r="E16">
        <v>4603530</v>
      </c>
      <c r="F16">
        <v>7922.6751299999996</v>
      </c>
      <c r="G16">
        <v>2.3297689999999999E-2</v>
      </c>
    </row>
    <row r="17" spans="1:7" x14ac:dyDescent="0.35">
      <c r="A17">
        <v>11</v>
      </c>
      <c r="B17" t="s">
        <v>401</v>
      </c>
      <c r="C17" t="s">
        <v>402</v>
      </c>
      <c r="D17" t="s">
        <v>38</v>
      </c>
      <c r="E17">
        <v>14541667</v>
      </c>
      <c r="F17">
        <v>7705.6293433000001</v>
      </c>
      <c r="G17">
        <v>2.2659439999999999E-2</v>
      </c>
    </row>
    <row r="18" spans="1:7" x14ac:dyDescent="0.35">
      <c r="A18">
        <v>12</v>
      </c>
      <c r="B18" t="s">
        <v>403</v>
      </c>
      <c r="C18" t="s">
        <v>404</v>
      </c>
      <c r="D18" t="s">
        <v>206</v>
      </c>
      <c r="E18">
        <v>395668</v>
      </c>
      <c r="F18">
        <v>7173.0651719999996</v>
      </c>
      <c r="G18">
        <v>2.1093359999999998E-2</v>
      </c>
    </row>
    <row r="19" spans="1:7" x14ac:dyDescent="0.35">
      <c r="A19">
        <v>13</v>
      </c>
      <c r="B19" t="s">
        <v>405</v>
      </c>
      <c r="C19" t="s">
        <v>406</v>
      </c>
      <c r="D19" t="s">
        <v>38</v>
      </c>
      <c r="E19">
        <v>1535716</v>
      </c>
      <c r="F19">
        <v>7050.4721559999998</v>
      </c>
      <c r="G19">
        <v>2.0732859999999999E-2</v>
      </c>
    </row>
    <row r="20" spans="1:7" x14ac:dyDescent="0.35">
      <c r="A20">
        <v>14</v>
      </c>
      <c r="B20" t="s">
        <v>352</v>
      </c>
      <c r="C20" t="s">
        <v>353</v>
      </c>
      <c r="D20" t="s">
        <v>38</v>
      </c>
      <c r="E20">
        <v>546776</v>
      </c>
      <c r="F20">
        <v>6940.7745439999999</v>
      </c>
      <c r="G20">
        <v>2.0410279999999999E-2</v>
      </c>
    </row>
    <row r="21" spans="1:7" x14ac:dyDescent="0.35">
      <c r="A21">
        <v>15</v>
      </c>
      <c r="B21" t="s">
        <v>407</v>
      </c>
      <c r="C21" t="s">
        <v>408</v>
      </c>
      <c r="D21" t="s">
        <v>243</v>
      </c>
      <c r="E21">
        <v>44855</v>
      </c>
      <c r="F21">
        <v>6806.7462500000001</v>
      </c>
      <c r="G21">
        <v>2.001615E-2</v>
      </c>
    </row>
    <row r="22" spans="1:7" x14ac:dyDescent="0.35">
      <c r="A22">
        <v>16</v>
      </c>
      <c r="B22" t="s">
        <v>409</v>
      </c>
      <c r="C22" t="s">
        <v>410</v>
      </c>
      <c r="D22" t="s">
        <v>38</v>
      </c>
      <c r="E22">
        <v>9377207</v>
      </c>
      <c r="F22">
        <v>5906.7026893000002</v>
      </c>
      <c r="G22">
        <v>1.7369450000000002E-2</v>
      </c>
    </row>
    <row r="23" spans="1:7" x14ac:dyDescent="0.35">
      <c r="A23">
        <v>17</v>
      </c>
      <c r="B23" t="s">
        <v>258</v>
      </c>
      <c r="C23" t="s">
        <v>259</v>
      </c>
      <c r="D23" t="s">
        <v>240</v>
      </c>
      <c r="E23">
        <v>669376</v>
      </c>
      <c r="F23">
        <v>5827.2527680000003</v>
      </c>
      <c r="G23">
        <v>1.713582E-2</v>
      </c>
    </row>
    <row r="24" spans="1:7" x14ac:dyDescent="0.35">
      <c r="A24">
        <v>18</v>
      </c>
      <c r="B24" t="s">
        <v>54</v>
      </c>
      <c r="C24" t="s">
        <v>55</v>
      </c>
      <c r="D24" t="s">
        <v>56</v>
      </c>
      <c r="E24">
        <v>390188</v>
      </c>
      <c r="F24">
        <v>5734.9832239999996</v>
      </c>
      <c r="G24">
        <v>1.6864489999999999E-2</v>
      </c>
    </row>
    <row r="25" spans="1:7" x14ac:dyDescent="0.35">
      <c r="A25">
        <v>19</v>
      </c>
      <c r="B25" t="s">
        <v>329</v>
      </c>
      <c r="C25" t="s">
        <v>330</v>
      </c>
      <c r="D25" t="s">
        <v>324</v>
      </c>
      <c r="E25">
        <v>410201</v>
      </c>
      <c r="F25">
        <v>5470.4405360000001</v>
      </c>
      <c r="G25">
        <v>1.608656E-2</v>
      </c>
    </row>
    <row r="26" spans="1:7" x14ac:dyDescent="0.35">
      <c r="A26">
        <v>20</v>
      </c>
      <c r="B26" t="s">
        <v>411</v>
      </c>
      <c r="C26" t="s">
        <v>412</v>
      </c>
      <c r="D26" t="s">
        <v>243</v>
      </c>
      <c r="E26">
        <v>603569</v>
      </c>
      <c r="F26">
        <v>5450.5298544999996</v>
      </c>
      <c r="G26">
        <v>1.6028009999999999E-2</v>
      </c>
    </row>
    <row r="27" spans="1:7" x14ac:dyDescent="0.35">
      <c r="A27">
        <v>21</v>
      </c>
      <c r="B27" t="s">
        <v>84</v>
      </c>
      <c r="C27" t="s">
        <v>85</v>
      </c>
      <c r="D27" t="s">
        <v>53</v>
      </c>
      <c r="E27">
        <v>718629</v>
      </c>
      <c r="F27">
        <v>5423.8523775000003</v>
      </c>
      <c r="G27">
        <v>1.594957E-2</v>
      </c>
    </row>
    <row r="28" spans="1:7" x14ac:dyDescent="0.35">
      <c r="A28">
        <v>22</v>
      </c>
      <c r="B28" t="s">
        <v>413</v>
      </c>
      <c r="C28" t="s">
        <v>414</v>
      </c>
      <c r="D28" t="s">
        <v>220</v>
      </c>
      <c r="E28">
        <v>1184520</v>
      </c>
      <c r="F28">
        <v>5264.0068799999999</v>
      </c>
      <c r="G28">
        <v>1.547952E-2</v>
      </c>
    </row>
    <row r="29" spans="1:7" x14ac:dyDescent="0.35">
      <c r="A29">
        <v>23</v>
      </c>
      <c r="B29" t="s">
        <v>415</v>
      </c>
      <c r="C29" t="s">
        <v>416</v>
      </c>
      <c r="D29" t="s">
        <v>243</v>
      </c>
      <c r="E29">
        <v>115943</v>
      </c>
      <c r="F29">
        <v>5240.5076570000001</v>
      </c>
      <c r="G29">
        <v>1.5410419999999999E-2</v>
      </c>
    </row>
    <row r="30" spans="1:7" x14ac:dyDescent="0.35">
      <c r="A30">
        <v>24</v>
      </c>
      <c r="B30" t="s">
        <v>95</v>
      </c>
      <c r="C30" t="s">
        <v>96</v>
      </c>
      <c r="D30" t="s">
        <v>97</v>
      </c>
      <c r="E30">
        <v>587660</v>
      </c>
      <c r="F30">
        <v>5200.7910000000002</v>
      </c>
      <c r="G30">
        <v>1.5293620000000001E-2</v>
      </c>
    </row>
    <row r="31" spans="1:7" x14ac:dyDescent="0.35">
      <c r="A31">
        <v>25</v>
      </c>
      <c r="B31" t="s">
        <v>374</v>
      </c>
      <c r="C31" t="s">
        <v>375</v>
      </c>
      <c r="D31" t="s">
        <v>324</v>
      </c>
      <c r="E31">
        <v>1849803</v>
      </c>
      <c r="F31">
        <v>5143.3772415000003</v>
      </c>
      <c r="G31">
        <v>1.5124790000000001E-2</v>
      </c>
    </row>
    <row r="32" spans="1:7" x14ac:dyDescent="0.35">
      <c r="A32">
        <v>26</v>
      </c>
      <c r="B32" t="s">
        <v>417</v>
      </c>
      <c r="C32" t="s">
        <v>418</v>
      </c>
      <c r="D32" t="s">
        <v>53</v>
      </c>
      <c r="E32">
        <v>1083376</v>
      </c>
      <c r="F32">
        <v>4973.2375279999997</v>
      </c>
      <c r="G32">
        <v>1.4624470000000001E-2</v>
      </c>
    </row>
    <row r="33" spans="1:7" x14ac:dyDescent="0.35">
      <c r="A33">
        <v>27</v>
      </c>
      <c r="B33" t="s">
        <v>419</v>
      </c>
      <c r="C33" t="s">
        <v>420</v>
      </c>
      <c r="D33" t="s">
        <v>235</v>
      </c>
      <c r="E33">
        <v>210968</v>
      </c>
      <c r="F33">
        <v>4945.0899200000003</v>
      </c>
      <c r="G33">
        <v>1.4541699999999999E-2</v>
      </c>
    </row>
    <row r="34" spans="1:7" x14ac:dyDescent="0.35">
      <c r="A34">
        <v>28</v>
      </c>
      <c r="B34" t="s">
        <v>421</v>
      </c>
      <c r="C34" t="s">
        <v>422</v>
      </c>
      <c r="D34" t="s">
        <v>65</v>
      </c>
      <c r="E34">
        <v>2131826</v>
      </c>
      <c r="F34">
        <v>4885.2924616</v>
      </c>
      <c r="G34">
        <v>1.4365859999999999E-2</v>
      </c>
    </row>
    <row r="35" spans="1:7" x14ac:dyDescent="0.35">
      <c r="A35">
        <v>29</v>
      </c>
      <c r="B35" t="s">
        <v>17</v>
      </c>
      <c r="C35" t="s">
        <v>18</v>
      </c>
      <c r="D35" t="s">
        <v>19</v>
      </c>
      <c r="E35">
        <v>119155</v>
      </c>
      <c r="F35">
        <v>4865.6944249999997</v>
      </c>
      <c r="G35">
        <v>1.430823E-2</v>
      </c>
    </row>
    <row r="36" spans="1:7" x14ac:dyDescent="0.35">
      <c r="A36">
        <v>30</v>
      </c>
      <c r="B36" t="s">
        <v>59</v>
      </c>
      <c r="C36" t="s">
        <v>60</v>
      </c>
      <c r="D36" t="s">
        <v>43</v>
      </c>
      <c r="E36">
        <v>31615</v>
      </c>
      <c r="F36">
        <v>4703.6796999999997</v>
      </c>
      <c r="G36">
        <v>1.38318E-2</v>
      </c>
    </row>
    <row r="37" spans="1:7" x14ac:dyDescent="0.35">
      <c r="A37">
        <v>31</v>
      </c>
      <c r="B37" t="s">
        <v>423</v>
      </c>
      <c r="C37" t="s">
        <v>424</v>
      </c>
      <c r="D37" t="s">
        <v>290</v>
      </c>
      <c r="E37">
        <v>978092</v>
      </c>
      <c r="F37">
        <v>4493.8436940000001</v>
      </c>
      <c r="G37">
        <v>1.3214750000000001E-2</v>
      </c>
    </row>
    <row r="38" spans="1:7" x14ac:dyDescent="0.35">
      <c r="A38">
        <v>32</v>
      </c>
      <c r="B38" t="s">
        <v>425</v>
      </c>
      <c r="C38" t="s">
        <v>426</v>
      </c>
      <c r="D38" t="s">
        <v>114</v>
      </c>
      <c r="E38">
        <v>75317</v>
      </c>
      <c r="F38">
        <v>4331.8195965000004</v>
      </c>
      <c r="G38">
        <v>1.2738299999999999E-2</v>
      </c>
    </row>
    <row r="39" spans="1:7" x14ac:dyDescent="0.35">
      <c r="A39">
        <v>33</v>
      </c>
      <c r="B39" t="s">
        <v>427</v>
      </c>
      <c r="C39" t="s">
        <v>428</v>
      </c>
      <c r="D39" t="s">
        <v>138</v>
      </c>
      <c r="E39">
        <v>221768</v>
      </c>
      <c r="F39">
        <v>4326.0283760000002</v>
      </c>
      <c r="G39">
        <v>1.272127E-2</v>
      </c>
    </row>
    <row r="40" spans="1:7" x14ac:dyDescent="0.35">
      <c r="A40">
        <v>34</v>
      </c>
      <c r="B40" t="s">
        <v>429</v>
      </c>
      <c r="C40" t="s">
        <v>430</v>
      </c>
      <c r="D40" t="s">
        <v>274</v>
      </c>
      <c r="E40">
        <v>1007525</v>
      </c>
      <c r="F40">
        <v>4075.9423875000002</v>
      </c>
      <c r="G40">
        <v>1.1985859999999999E-2</v>
      </c>
    </row>
    <row r="41" spans="1:7" x14ac:dyDescent="0.35">
      <c r="A41">
        <v>35</v>
      </c>
      <c r="B41" t="s">
        <v>431</v>
      </c>
      <c r="C41" t="s">
        <v>432</v>
      </c>
      <c r="D41" t="s">
        <v>240</v>
      </c>
      <c r="E41">
        <v>724141</v>
      </c>
      <c r="F41">
        <v>4059.1723754999998</v>
      </c>
      <c r="G41">
        <v>1.1936540000000001E-2</v>
      </c>
    </row>
    <row r="42" spans="1:7" x14ac:dyDescent="0.35">
      <c r="A42">
        <v>36</v>
      </c>
      <c r="B42" t="s">
        <v>44</v>
      </c>
      <c r="C42" t="s">
        <v>45</v>
      </c>
      <c r="D42" t="s">
        <v>19</v>
      </c>
      <c r="E42">
        <v>337012</v>
      </c>
      <c r="F42">
        <v>4052.2322880000002</v>
      </c>
      <c r="G42">
        <v>1.191613E-2</v>
      </c>
    </row>
    <row r="43" spans="1:7" x14ac:dyDescent="0.35">
      <c r="A43">
        <v>37</v>
      </c>
      <c r="B43" t="s">
        <v>433</v>
      </c>
      <c r="C43" t="s">
        <v>434</v>
      </c>
      <c r="D43" t="s">
        <v>435</v>
      </c>
      <c r="E43">
        <v>1054359</v>
      </c>
      <c r="F43">
        <v>4012.8903540000001</v>
      </c>
      <c r="G43">
        <v>1.1800440000000001E-2</v>
      </c>
    </row>
    <row r="44" spans="1:7" x14ac:dyDescent="0.35">
      <c r="A44">
        <v>38</v>
      </c>
      <c r="B44" t="s">
        <v>436</v>
      </c>
      <c r="C44" t="s">
        <v>437</v>
      </c>
      <c r="D44" t="s">
        <v>43</v>
      </c>
      <c r="E44">
        <v>103292</v>
      </c>
      <c r="F44">
        <v>3938.1107919999999</v>
      </c>
      <c r="G44">
        <v>1.158054E-2</v>
      </c>
    </row>
    <row r="45" spans="1:7" x14ac:dyDescent="0.35">
      <c r="A45">
        <v>39</v>
      </c>
      <c r="B45" t="s">
        <v>297</v>
      </c>
      <c r="C45" t="s">
        <v>298</v>
      </c>
      <c r="D45" t="s">
        <v>299</v>
      </c>
      <c r="E45">
        <v>227105</v>
      </c>
      <c r="F45">
        <v>3932.7772850000001</v>
      </c>
      <c r="G45">
        <v>1.156486E-2</v>
      </c>
    </row>
    <row r="46" spans="1:7" x14ac:dyDescent="0.35">
      <c r="A46">
        <v>40</v>
      </c>
      <c r="B46" t="s">
        <v>63</v>
      </c>
      <c r="C46" t="s">
        <v>64</v>
      </c>
      <c r="D46" t="s">
        <v>65</v>
      </c>
      <c r="E46">
        <v>60880</v>
      </c>
      <c r="F46">
        <v>3888.4056</v>
      </c>
      <c r="G46">
        <v>1.1434379999999999E-2</v>
      </c>
    </row>
    <row r="47" spans="1:7" x14ac:dyDescent="0.35">
      <c r="A47">
        <v>41</v>
      </c>
      <c r="B47" t="s">
        <v>318</v>
      </c>
      <c r="C47" t="s">
        <v>319</v>
      </c>
      <c r="D47" t="s">
        <v>94</v>
      </c>
      <c r="E47">
        <v>1234878</v>
      </c>
      <c r="F47">
        <v>3781.8138749999998</v>
      </c>
      <c r="G47">
        <v>1.1120929999999999E-2</v>
      </c>
    </row>
    <row r="48" spans="1:7" x14ac:dyDescent="0.35">
      <c r="A48">
        <v>42</v>
      </c>
      <c r="B48" t="s">
        <v>438</v>
      </c>
      <c r="C48" t="s">
        <v>439</v>
      </c>
      <c r="D48" t="s">
        <v>299</v>
      </c>
      <c r="E48">
        <v>317000</v>
      </c>
      <c r="F48">
        <v>3753.9140000000002</v>
      </c>
      <c r="G48">
        <v>1.1038890000000001E-2</v>
      </c>
    </row>
    <row r="49" spans="1:7" x14ac:dyDescent="0.35">
      <c r="A49">
        <v>43</v>
      </c>
      <c r="B49" t="s">
        <v>440</v>
      </c>
      <c r="C49" t="s">
        <v>441</v>
      </c>
      <c r="D49" t="s">
        <v>53</v>
      </c>
      <c r="E49">
        <v>322756</v>
      </c>
      <c r="F49">
        <v>3745.260624</v>
      </c>
      <c r="G49">
        <v>1.1013439999999999E-2</v>
      </c>
    </row>
    <row r="50" spans="1:7" x14ac:dyDescent="0.35">
      <c r="A50">
        <v>44</v>
      </c>
      <c r="B50" t="s">
        <v>442</v>
      </c>
      <c r="C50" t="s">
        <v>443</v>
      </c>
      <c r="D50" t="s">
        <v>235</v>
      </c>
      <c r="E50">
        <v>142505</v>
      </c>
      <c r="F50">
        <v>3631.5974200000001</v>
      </c>
      <c r="G50">
        <v>1.06792E-2</v>
      </c>
    </row>
    <row r="51" spans="1:7" x14ac:dyDescent="0.35">
      <c r="A51">
        <v>45</v>
      </c>
      <c r="B51" t="s">
        <v>444</v>
      </c>
      <c r="C51" t="s">
        <v>445</v>
      </c>
      <c r="D51" t="s">
        <v>65</v>
      </c>
      <c r="E51">
        <v>1125412</v>
      </c>
      <c r="F51">
        <v>3578.2474539999998</v>
      </c>
      <c r="G51">
        <v>1.052232E-2</v>
      </c>
    </row>
    <row r="52" spans="1:7" x14ac:dyDescent="0.35">
      <c r="A52">
        <v>46</v>
      </c>
      <c r="B52" t="s">
        <v>293</v>
      </c>
      <c r="C52" t="s">
        <v>294</v>
      </c>
      <c r="D52" t="s">
        <v>281</v>
      </c>
      <c r="E52">
        <v>675223</v>
      </c>
      <c r="F52">
        <v>3569.2287780000001</v>
      </c>
      <c r="G52">
        <v>1.04958E-2</v>
      </c>
    </row>
    <row r="53" spans="1:7" x14ac:dyDescent="0.35">
      <c r="A53">
        <v>47</v>
      </c>
      <c r="B53" t="s">
        <v>446</v>
      </c>
      <c r="C53" t="s">
        <v>447</v>
      </c>
      <c r="D53" t="s">
        <v>274</v>
      </c>
      <c r="E53">
        <v>314897</v>
      </c>
      <c r="F53">
        <v>3519.918666</v>
      </c>
      <c r="G53">
        <v>1.035079E-2</v>
      </c>
    </row>
    <row r="54" spans="1:7" x14ac:dyDescent="0.35">
      <c r="A54">
        <v>48</v>
      </c>
      <c r="B54" t="s">
        <v>448</v>
      </c>
      <c r="C54" t="s">
        <v>449</v>
      </c>
      <c r="D54" t="s">
        <v>28</v>
      </c>
      <c r="E54">
        <v>323581</v>
      </c>
      <c r="F54">
        <v>3441.2839349999999</v>
      </c>
      <c r="G54">
        <v>1.011956E-2</v>
      </c>
    </row>
    <row r="55" spans="1:7" x14ac:dyDescent="0.35">
      <c r="A55">
        <v>49</v>
      </c>
      <c r="B55" t="s">
        <v>51</v>
      </c>
      <c r="C55" t="s">
        <v>52</v>
      </c>
      <c r="D55" t="s">
        <v>53</v>
      </c>
      <c r="E55">
        <v>53081</v>
      </c>
      <c r="F55">
        <v>3233.1637099999998</v>
      </c>
      <c r="G55">
        <v>9.50755E-3</v>
      </c>
    </row>
    <row r="56" spans="1:7" x14ac:dyDescent="0.35">
      <c r="A56">
        <v>50</v>
      </c>
      <c r="B56" t="s">
        <v>450</v>
      </c>
      <c r="C56" t="s">
        <v>451</v>
      </c>
      <c r="D56" t="s">
        <v>53</v>
      </c>
      <c r="E56">
        <v>735807</v>
      </c>
      <c r="F56">
        <v>3161.7626789999999</v>
      </c>
      <c r="G56">
        <v>9.2975899999999997E-3</v>
      </c>
    </row>
    <row r="57" spans="1:7" x14ac:dyDescent="0.35">
      <c r="A57">
        <v>51</v>
      </c>
      <c r="B57" t="s">
        <v>452</v>
      </c>
      <c r="C57" t="s">
        <v>453</v>
      </c>
      <c r="D57" t="s">
        <v>235</v>
      </c>
      <c r="E57">
        <v>251901</v>
      </c>
      <c r="F57">
        <v>2845.2217949999999</v>
      </c>
      <c r="G57">
        <v>8.3667600000000009E-3</v>
      </c>
    </row>
    <row r="58" spans="1:7" x14ac:dyDescent="0.35">
      <c r="A58">
        <v>52</v>
      </c>
      <c r="B58" t="s">
        <v>454</v>
      </c>
      <c r="C58" t="s">
        <v>455</v>
      </c>
      <c r="D58" t="s">
        <v>65</v>
      </c>
      <c r="E58">
        <v>1603225</v>
      </c>
      <c r="F58">
        <v>2823.7601924999999</v>
      </c>
      <c r="G58">
        <v>8.3036499999999992E-3</v>
      </c>
    </row>
    <row r="59" spans="1:7" x14ac:dyDescent="0.35">
      <c r="A59">
        <v>53</v>
      </c>
      <c r="B59" t="s">
        <v>456</v>
      </c>
      <c r="C59" t="s">
        <v>457</v>
      </c>
      <c r="D59" t="s">
        <v>243</v>
      </c>
      <c r="E59">
        <v>149333</v>
      </c>
      <c r="F59">
        <v>2717.412601</v>
      </c>
      <c r="G59">
        <v>7.9909200000000003E-3</v>
      </c>
    </row>
    <row r="60" spans="1:7" x14ac:dyDescent="0.35">
      <c r="A60">
        <v>54</v>
      </c>
      <c r="B60" t="s">
        <v>88</v>
      </c>
      <c r="C60" t="s">
        <v>89</v>
      </c>
      <c r="D60" t="s">
        <v>48</v>
      </c>
      <c r="E60">
        <v>384142</v>
      </c>
      <c r="F60">
        <v>2696.868911</v>
      </c>
      <c r="G60">
        <v>7.93051E-3</v>
      </c>
    </row>
    <row r="61" spans="1:7" x14ac:dyDescent="0.35">
      <c r="A61">
        <v>55</v>
      </c>
      <c r="B61" t="s">
        <v>102</v>
      </c>
      <c r="C61" t="s">
        <v>103</v>
      </c>
      <c r="D61" t="s">
        <v>97</v>
      </c>
      <c r="E61">
        <v>179724</v>
      </c>
      <c r="F61">
        <v>2622.7123320000001</v>
      </c>
      <c r="G61">
        <v>7.7124400000000001E-3</v>
      </c>
    </row>
    <row r="62" spans="1:7" x14ac:dyDescent="0.35">
      <c r="A62">
        <v>56</v>
      </c>
      <c r="B62" t="s">
        <v>458</v>
      </c>
      <c r="C62" t="s">
        <v>459</v>
      </c>
      <c r="D62" t="s">
        <v>460</v>
      </c>
      <c r="E62">
        <v>251030</v>
      </c>
      <c r="F62">
        <v>2548.4565600000001</v>
      </c>
      <c r="G62">
        <v>7.4940800000000002E-3</v>
      </c>
    </row>
    <row r="63" spans="1:7" x14ac:dyDescent="0.35">
      <c r="A63">
        <v>57</v>
      </c>
      <c r="B63" t="s">
        <v>461</v>
      </c>
      <c r="C63" t="s">
        <v>462</v>
      </c>
      <c r="D63" t="s">
        <v>463</v>
      </c>
      <c r="E63">
        <v>258182</v>
      </c>
      <c r="F63">
        <v>2433.107168</v>
      </c>
      <c r="G63">
        <v>7.1548799999999997E-3</v>
      </c>
    </row>
    <row r="64" spans="1:7" x14ac:dyDescent="0.35">
      <c r="A64">
        <v>58</v>
      </c>
      <c r="B64" t="s">
        <v>61</v>
      </c>
      <c r="C64" t="s">
        <v>62</v>
      </c>
      <c r="D64" t="s">
        <v>53</v>
      </c>
      <c r="E64">
        <v>54351</v>
      </c>
      <c r="F64">
        <v>2424.1633019999999</v>
      </c>
      <c r="G64">
        <v>7.1285799999999998E-3</v>
      </c>
    </row>
    <row r="65" spans="1:7" x14ac:dyDescent="0.35">
      <c r="A65">
        <v>59</v>
      </c>
      <c r="B65" t="s">
        <v>464</v>
      </c>
      <c r="C65" t="s">
        <v>465</v>
      </c>
      <c r="D65" t="s">
        <v>53</v>
      </c>
      <c r="E65">
        <v>275772</v>
      </c>
      <c r="F65">
        <v>2360.3325479999999</v>
      </c>
      <c r="G65">
        <v>6.94087E-3</v>
      </c>
    </row>
    <row r="66" spans="1:7" x14ac:dyDescent="0.35">
      <c r="A66">
        <v>60</v>
      </c>
      <c r="B66" t="s">
        <v>466</v>
      </c>
      <c r="C66" t="s">
        <v>467</v>
      </c>
      <c r="D66" t="s">
        <v>463</v>
      </c>
      <c r="E66">
        <v>277133</v>
      </c>
      <c r="F66">
        <v>2357.1547314999998</v>
      </c>
      <c r="G66">
        <v>6.93153E-3</v>
      </c>
    </row>
    <row r="67" spans="1:7" x14ac:dyDescent="0.35">
      <c r="A67">
        <v>61</v>
      </c>
      <c r="B67" t="s">
        <v>468</v>
      </c>
      <c r="C67" t="s">
        <v>469</v>
      </c>
      <c r="D67" t="s">
        <v>53</v>
      </c>
      <c r="E67">
        <v>87107</v>
      </c>
      <c r="F67">
        <v>2265.4788560000002</v>
      </c>
      <c r="G67">
        <v>6.6619399999999999E-3</v>
      </c>
    </row>
    <row r="68" spans="1:7" x14ac:dyDescent="0.35">
      <c r="A68">
        <v>62</v>
      </c>
      <c r="B68" t="s">
        <v>470</v>
      </c>
      <c r="C68" t="s">
        <v>471</v>
      </c>
      <c r="D68" t="s">
        <v>324</v>
      </c>
      <c r="E68">
        <v>2031332</v>
      </c>
      <c r="F68">
        <v>2095.5220912</v>
      </c>
      <c r="G68">
        <v>6.1621599999999999E-3</v>
      </c>
    </row>
    <row r="69" spans="1:7" x14ac:dyDescent="0.35">
      <c r="A69">
        <v>63</v>
      </c>
      <c r="B69" t="s">
        <v>233</v>
      </c>
      <c r="C69" t="s">
        <v>234</v>
      </c>
      <c r="D69" t="s">
        <v>235</v>
      </c>
      <c r="E69">
        <v>72622</v>
      </c>
      <c r="F69">
        <v>1911.556284</v>
      </c>
      <c r="G69">
        <v>5.6211899999999999E-3</v>
      </c>
    </row>
    <row r="70" spans="1:7" x14ac:dyDescent="0.35">
      <c r="A70">
        <v>64</v>
      </c>
      <c r="B70" t="s">
        <v>472</v>
      </c>
      <c r="C70" t="s">
        <v>473</v>
      </c>
      <c r="D70" t="s">
        <v>230</v>
      </c>
      <c r="E70">
        <v>410447</v>
      </c>
      <c r="F70">
        <v>1778.4668509999999</v>
      </c>
      <c r="G70">
        <v>5.2298199999999996E-3</v>
      </c>
    </row>
    <row r="71" spans="1:7" x14ac:dyDescent="0.35">
      <c r="A71">
        <v>65</v>
      </c>
      <c r="B71" t="s">
        <v>474</v>
      </c>
      <c r="C71" t="s">
        <v>475</v>
      </c>
      <c r="D71" t="s">
        <v>299</v>
      </c>
      <c r="E71">
        <v>22992</v>
      </c>
      <c r="F71">
        <v>1361.1264000000001</v>
      </c>
      <c r="G71">
        <v>4.0025800000000004E-3</v>
      </c>
    </row>
    <row r="72" spans="1:7" x14ac:dyDescent="0.35">
      <c r="C72" t="s">
        <v>139</v>
      </c>
      <c r="F72">
        <v>324110.24298491899</v>
      </c>
      <c r="G72">
        <v>0.95308968000000005</v>
      </c>
    </row>
    <row r="74" spans="1:7" x14ac:dyDescent="0.35">
      <c r="C74" t="s">
        <v>140</v>
      </c>
    </row>
    <row r="75" spans="1:7" x14ac:dyDescent="0.35">
      <c r="C75" t="s">
        <v>139</v>
      </c>
      <c r="F75" t="s">
        <v>141</v>
      </c>
      <c r="G75">
        <v>0</v>
      </c>
    </row>
    <row r="77" spans="1:7" x14ac:dyDescent="0.35">
      <c r="C77" t="s">
        <v>142</v>
      </c>
    </row>
    <row r="78" spans="1:7" x14ac:dyDescent="0.35">
      <c r="A78">
        <v>1</v>
      </c>
      <c r="B78" t="s">
        <v>143</v>
      </c>
      <c r="C78" t="s">
        <v>144</v>
      </c>
      <c r="D78" t="s">
        <v>145</v>
      </c>
      <c r="E78">
        <v>375961</v>
      </c>
      <c r="F78">
        <v>7.5190000000000003E-6</v>
      </c>
      <c r="G78" t="s">
        <v>146</v>
      </c>
    </row>
    <row r="79" spans="1:7" x14ac:dyDescent="0.35">
      <c r="C79" t="s">
        <v>139</v>
      </c>
      <c r="F79" t="s">
        <v>141</v>
      </c>
      <c r="G79">
        <v>0</v>
      </c>
    </row>
    <row r="81" spans="1:7" x14ac:dyDescent="0.35">
      <c r="C81" t="s">
        <v>147</v>
      </c>
    </row>
    <row r="82" spans="1:7" x14ac:dyDescent="0.35">
      <c r="C82" t="s">
        <v>139</v>
      </c>
      <c r="F82" t="s">
        <v>141</v>
      </c>
      <c r="G82">
        <v>0</v>
      </c>
    </row>
    <row r="84" spans="1:7" x14ac:dyDescent="0.35">
      <c r="C84" t="s">
        <v>148</v>
      </c>
    </row>
    <row r="85" spans="1:7" x14ac:dyDescent="0.35">
      <c r="C85" t="s">
        <v>139</v>
      </c>
      <c r="F85" t="s">
        <v>141</v>
      </c>
      <c r="G85">
        <v>0</v>
      </c>
    </row>
    <row r="87" spans="1:7" x14ac:dyDescent="0.35">
      <c r="C87" t="s">
        <v>149</v>
      </c>
    </row>
    <row r="88" spans="1:7" x14ac:dyDescent="0.35">
      <c r="A88">
        <v>1</v>
      </c>
      <c r="C88" t="s">
        <v>476</v>
      </c>
      <c r="D88" t="s">
        <v>477</v>
      </c>
      <c r="E88">
        <v>8200</v>
      </c>
      <c r="F88">
        <v>522.01199999999994</v>
      </c>
      <c r="G88">
        <v>1.53505E-3</v>
      </c>
    </row>
    <row r="89" spans="1:7" x14ac:dyDescent="0.35">
      <c r="C89" t="s">
        <v>139</v>
      </c>
      <c r="F89">
        <v>522.01199999999994</v>
      </c>
      <c r="G89">
        <v>1.53505E-3</v>
      </c>
    </row>
    <row r="91" spans="1:7" x14ac:dyDescent="0.35">
      <c r="C91" t="s">
        <v>150</v>
      </c>
      <c r="F91">
        <f>F78+F72</f>
        <v>324110.24299243797</v>
      </c>
      <c r="G91">
        <f>G72</f>
        <v>0.95308968000000005</v>
      </c>
    </row>
    <row r="93" spans="1:7" x14ac:dyDescent="0.35">
      <c r="C93" t="s">
        <v>151</v>
      </c>
    </row>
    <row r="94" spans="1:7" x14ac:dyDescent="0.35">
      <c r="C94" t="s">
        <v>13</v>
      </c>
    </row>
    <row r="95" spans="1:7" x14ac:dyDescent="0.35">
      <c r="C95" t="s">
        <v>139</v>
      </c>
      <c r="F95" t="s">
        <v>141</v>
      </c>
      <c r="G95">
        <v>0</v>
      </c>
    </row>
    <row r="97" spans="3:7" x14ac:dyDescent="0.35">
      <c r="C97" t="s">
        <v>152</v>
      </c>
    </row>
    <row r="98" spans="3:7" x14ac:dyDescent="0.35">
      <c r="C98" t="s">
        <v>139</v>
      </c>
      <c r="F98" t="s">
        <v>141</v>
      </c>
      <c r="G98">
        <v>0</v>
      </c>
    </row>
    <row r="100" spans="3:7" x14ac:dyDescent="0.35">
      <c r="C100" t="s">
        <v>153</v>
      </c>
    </row>
    <row r="101" spans="3:7" x14ac:dyDescent="0.35">
      <c r="C101" t="s">
        <v>139</v>
      </c>
      <c r="F101" t="s">
        <v>141</v>
      </c>
      <c r="G101">
        <v>0</v>
      </c>
    </row>
    <row r="103" spans="3:7" x14ac:dyDescent="0.35">
      <c r="C103" t="s">
        <v>154</v>
      </c>
    </row>
    <row r="104" spans="3:7" x14ac:dyDescent="0.35">
      <c r="C104" t="s">
        <v>139</v>
      </c>
      <c r="F104" t="s">
        <v>141</v>
      </c>
      <c r="G104">
        <v>0</v>
      </c>
    </row>
    <row r="106" spans="3:7" x14ac:dyDescent="0.35">
      <c r="C106" t="s">
        <v>155</v>
      </c>
      <c r="F106">
        <v>0</v>
      </c>
      <c r="G106">
        <v>0</v>
      </c>
    </row>
    <row r="108" spans="3:7" x14ac:dyDescent="0.35">
      <c r="C108" t="s">
        <v>156</v>
      </c>
    </row>
    <row r="109" spans="3:7" x14ac:dyDescent="0.35">
      <c r="C109" t="s">
        <v>157</v>
      </c>
    </row>
    <row r="110" spans="3:7" x14ac:dyDescent="0.35">
      <c r="C110" t="s">
        <v>139</v>
      </c>
      <c r="F110" t="s">
        <v>141</v>
      </c>
      <c r="G110">
        <v>0</v>
      </c>
    </row>
    <row r="112" spans="3:7" x14ac:dyDescent="0.35">
      <c r="C112" t="s">
        <v>158</v>
      </c>
    </row>
    <row r="113" spans="1:8" x14ac:dyDescent="0.35">
      <c r="C113" t="s">
        <v>139</v>
      </c>
      <c r="F113" t="s">
        <v>141</v>
      </c>
      <c r="G113">
        <v>0</v>
      </c>
    </row>
    <row r="115" spans="1:8" x14ac:dyDescent="0.35">
      <c r="C115" t="s">
        <v>159</v>
      </c>
    </row>
    <row r="116" spans="1:8" x14ac:dyDescent="0.35">
      <c r="C116" t="s">
        <v>139</v>
      </c>
      <c r="F116" t="s">
        <v>141</v>
      </c>
      <c r="G116">
        <v>0</v>
      </c>
    </row>
    <row r="118" spans="1:8" x14ac:dyDescent="0.35">
      <c r="C118" t="s">
        <v>160</v>
      </c>
    </row>
    <row r="119" spans="1:8" x14ac:dyDescent="0.35">
      <c r="A119">
        <v>1</v>
      </c>
      <c r="C119" t="s">
        <v>161</v>
      </c>
      <c r="F119">
        <v>10319.071105985</v>
      </c>
      <c r="G119">
        <v>3.0344610000000001E-2</v>
      </c>
      <c r="H119">
        <v>5.42</v>
      </c>
    </row>
    <row r="120" spans="1:8" x14ac:dyDescent="0.35">
      <c r="C120" t="s">
        <v>139</v>
      </c>
      <c r="F120">
        <v>10319.071105985</v>
      </c>
      <c r="G120">
        <v>3.0344610000000001E-2</v>
      </c>
    </row>
    <row r="122" spans="1:8" x14ac:dyDescent="0.35">
      <c r="C122" t="s">
        <v>162</v>
      </c>
      <c r="F122">
        <v>10319.071105985</v>
      </c>
      <c r="G122">
        <v>3.0344610000000001E-2</v>
      </c>
    </row>
    <row r="124" spans="1:8" x14ac:dyDescent="0.35">
      <c r="C124" t="s">
        <v>163</v>
      </c>
    </row>
    <row r="125" spans="1:8" x14ac:dyDescent="0.35">
      <c r="C125" t="s">
        <v>164</v>
      </c>
    </row>
    <row r="126" spans="1:8" x14ac:dyDescent="0.35">
      <c r="A126">
        <v>1</v>
      </c>
      <c r="B126" t="s">
        <v>344</v>
      </c>
      <c r="C126" t="s">
        <v>383</v>
      </c>
      <c r="E126">
        <v>208646.36300000001</v>
      </c>
      <c r="F126">
        <v>5005.3277672869999</v>
      </c>
      <c r="G126">
        <v>1.471884E-2</v>
      </c>
    </row>
    <row r="127" spans="1:8" x14ac:dyDescent="0.35">
      <c r="A127">
        <v>2</v>
      </c>
      <c r="B127" t="s">
        <v>478</v>
      </c>
      <c r="C127" t="s">
        <v>479</v>
      </c>
      <c r="E127">
        <v>13395446.6942</v>
      </c>
      <c r="F127">
        <v>2089.0065165139999</v>
      </c>
      <c r="G127">
        <v>6.143E-3</v>
      </c>
    </row>
    <row r="128" spans="1:8" x14ac:dyDescent="0.35">
      <c r="C128" t="s">
        <v>139</v>
      </c>
      <c r="F128">
        <v>7094.3342838010003</v>
      </c>
      <c r="G128">
        <v>2.086184E-2</v>
      </c>
    </row>
    <row r="130" spans="2:7" x14ac:dyDescent="0.35">
      <c r="C130" t="s">
        <v>165</v>
      </c>
    </row>
    <row r="131" spans="2:7" x14ac:dyDescent="0.35">
      <c r="C131" t="s">
        <v>166</v>
      </c>
    </row>
    <row r="132" spans="2:7" x14ac:dyDescent="0.35">
      <c r="C132" t="s">
        <v>139</v>
      </c>
      <c r="F132" t="s">
        <v>141</v>
      </c>
      <c r="G132">
        <v>0</v>
      </c>
    </row>
    <row r="134" spans="2:7" x14ac:dyDescent="0.35">
      <c r="C134" t="s">
        <v>167</v>
      </c>
    </row>
    <row r="135" spans="2:7" x14ac:dyDescent="0.35">
      <c r="C135" t="s">
        <v>139</v>
      </c>
      <c r="F135" t="s">
        <v>141</v>
      </c>
      <c r="G135">
        <v>0</v>
      </c>
    </row>
    <row r="137" spans="2:7" x14ac:dyDescent="0.35">
      <c r="C137" t="s">
        <v>480</v>
      </c>
      <c r="F137">
        <v>2141.9052121</v>
      </c>
      <c r="G137">
        <v>6.2985599999999999E-3</v>
      </c>
    </row>
    <row r="138" spans="2:7" x14ac:dyDescent="0.35">
      <c r="C138" t="s">
        <v>168</v>
      </c>
      <c r="F138">
        <f>-4124.85031037+F89</f>
        <v>-3602.8383103700007</v>
      </c>
      <c r="G138">
        <f>F138/F139</f>
        <v>-1.0594629015536955E-2</v>
      </c>
    </row>
    <row r="139" spans="2:7" x14ac:dyDescent="0.35">
      <c r="C139" t="s">
        <v>169</v>
      </c>
      <c r="F139">
        <v>340062.71527643502</v>
      </c>
      <c r="G139">
        <v>1.0000000600000001</v>
      </c>
    </row>
    <row r="141" spans="2:7" x14ac:dyDescent="0.35">
      <c r="B141" t="s">
        <v>170</v>
      </c>
    </row>
    <row r="142" spans="2:7" x14ac:dyDescent="0.35">
      <c r="B142" t="s">
        <v>171</v>
      </c>
    </row>
    <row r="143" spans="2:7" x14ac:dyDescent="0.35">
      <c r="B143" t="s">
        <v>172</v>
      </c>
    </row>
    <row r="144" spans="2:7" x14ac:dyDescent="0.35">
      <c r="B144" t="s">
        <v>173</v>
      </c>
    </row>
    <row r="145" spans="2:4" x14ac:dyDescent="0.35">
      <c r="B145" t="s">
        <v>174</v>
      </c>
    </row>
    <row r="147" spans="2:4" x14ac:dyDescent="0.35">
      <c r="B147" t="s">
        <v>175</v>
      </c>
    </row>
    <row r="148" spans="2:4" x14ac:dyDescent="0.35">
      <c r="B148" t="s">
        <v>176</v>
      </c>
      <c r="D148" t="s">
        <v>177</v>
      </c>
    </row>
    <row r="149" spans="2:4" x14ac:dyDescent="0.35">
      <c r="B149" t="s">
        <v>178</v>
      </c>
      <c r="D149" t="str">
        <f>"Rs. "&amp;TEXT(F80,"0.00")&amp;" lacs/ #"</f>
        <v>Rs. 0.00 lacs/ #</v>
      </c>
    </row>
    <row r="150" spans="2:4" x14ac:dyDescent="0.35">
      <c r="B150" t="s">
        <v>179</v>
      </c>
    </row>
    <row r="151" spans="2:4" x14ac:dyDescent="0.35">
      <c r="C151" t="s">
        <v>180</v>
      </c>
      <c r="D151" t="s">
        <v>181</v>
      </c>
    </row>
    <row r="152" spans="2:4" x14ac:dyDescent="0.35">
      <c r="B152" t="s">
        <v>182</v>
      </c>
      <c r="C152" s="1">
        <v>45991</v>
      </c>
      <c r="D152" s="1">
        <v>46022</v>
      </c>
    </row>
    <row r="153" spans="2:4" x14ac:dyDescent="0.35">
      <c r="B153" t="s">
        <v>183</v>
      </c>
      <c r="C153">
        <v>292.48439999999999</v>
      </c>
      <c r="D153">
        <v>288.81110000000001</v>
      </c>
    </row>
    <row r="154" spans="2:4" x14ac:dyDescent="0.35">
      <c r="B154" t="s">
        <v>184</v>
      </c>
      <c r="C154">
        <v>38.435699999999997</v>
      </c>
      <c r="D154">
        <v>37.9529</v>
      </c>
    </row>
    <row r="155" spans="2:4" x14ac:dyDescent="0.35">
      <c r="B155" t="s">
        <v>185</v>
      </c>
      <c r="C155">
        <v>263.1583</v>
      </c>
      <c r="D155">
        <v>259.613</v>
      </c>
    </row>
    <row r="156" spans="2:4" x14ac:dyDescent="0.35">
      <c r="B156" t="s">
        <v>186</v>
      </c>
      <c r="C156">
        <v>33.642000000000003</v>
      </c>
      <c r="D156">
        <v>33.188800000000001</v>
      </c>
    </row>
    <row r="158" spans="2:4" x14ac:dyDescent="0.35">
      <c r="B158" t="s">
        <v>187</v>
      </c>
      <c r="D158" t="s">
        <v>177</v>
      </c>
    </row>
    <row r="160" spans="2:4" x14ac:dyDescent="0.35">
      <c r="B160" t="s">
        <v>188</v>
      </c>
      <c r="D160" t="s">
        <v>481</v>
      </c>
    </row>
    <row r="161" spans="2:4" x14ac:dyDescent="0.35">
      <c r="B161" t="s">
        <v>189</v>
      </c>
      <c r="D161" t="s">
        <v>177</v>
      </c>
    </row>
    <row r="162" spans="2:4" x14ac:dyDescent="0.35">
      <c r="B162" t="s">
        <v>190</v>
      </c>
      <c r="D162" t="s">
        <v>177</v>
      </c>
    </row>
    <row r="163" spans="2:4" x14ac:dyDescent="0.35">
      <c r="B163" t="s">
        <v>191</v>
      </c>
      <c r="D163">
        <v>0.64027570622602969</v>
      </c>
    </row>
    <row r="165" spans="2:4" x14ac:dyDescent="0.35">
      <c r="B165" t="s">
        <v>192</v>
      </c>
    </row>
    <row r="170" spans="2:4" x14ac:dyDescent="0.35">
      <c r="B170" t="s">
        <v>193</v>
      </c>
      <c r="D170" t="s">
        <v>346</v>
      </c>
    </row>
    <row r="171" spans="2:4" x14ac:dyDescent="0.35">
      <c r="B171" t="s">
        <v>482</v>
      </c>
      <c r="D171" t="s">
        <v>483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54"/>
  <sheetViews>
    <sheetView workbookViewId="0"/>
  </sheetViews>
  <sheetFormatPr defaultRowHeight="14.5" x14ac:dyDescent="0.35"/>
  <sheetData>
    <row r="1" spans="1:10" x14ac:dyDescent="0.35">
      <c r="A1" t="s">
        <v>0</v>
      </c>
      <c r="J1" t="s">
        <v>1</v>
      </c>
    </row>
    <row r="2" spans="1:10" x14ac:dyDescent="0.35">
      <c r="A2" t="s">
        <v>484</v>
      </c>
    </row>
    <row r="3" spans="1:10" x14ac:dyDescent="0.35">
      <c r="A3" t="s">
        <v>3</v>
      </c>
    </row>
    <row r="4" spans="1:10" x14ac:dyDescent="0.35">
      <c r="A4" t="s">
        <v>4</v>
      </c>
      <c r="B4" t="s">
        <v>5</v>
      </c>
      <c r="C4" t="s">
        <v>6</v>
      </c>
      <c r="D4" t="s">
        <v>7</v>
      </c>
      <c r="E4" t="s">
        <v>8</v>
      </c>
      <c r="F4" t="s">
        <v>9</v>
      </c>
      <c r="G4" t="s">
        <v>10</v>
      </c>
      <c r="H4" t="s">
        <v>485</v>
      </c>
      <c r="I4" t="s">
        <v>486</v>
      </c>
    </row>
    <row r="5" spans="1:10" x14ac:dyDescent="0.35">
      <c r="C5" t="s">
        <v>12</v>
      </c>
    </row>
    <row r="6" spans="1:10" x14ac:dyDescent="0.35">
      <c r="C6" t="s">
        <v>13</v>
      </c>
    </row>
    <row r="7" spans="1:10" x14ac:dyDescent="0.35">
      <c r="A7">
        <v>1</v>
      </c>
      <c r="B7" t="s">
        <v>350</v>
      </c>
      <c r="C7" t="s">
        <v>351</v>
      </c>
      <c r="D7" t="s">
        <v>38</v>
      </c>
      <c r="E7">
        <v>5810907</v>
      </c>
      <c r="F7">
        <v>57597.710184000003</v>
      </c>
      <c r="G7">
        <v>7.3410169999999997E-2</v>
      </c>
    </row>
    <row r="8" spans="1:10" x14ac:dyDescent="0.35">
      <c r="A8">
        <v>2</v>
      </c>
      <c r="B8" t="s">
        <v>39</v>
      </c>
      <c r="C8" t="s">
        <v>40</v>
      </c>
      <c r="D8" t="s">
        <v>38</v>
      </c>
      <c r="E8">
        <v>2766565</v>
      </c>
      <c r="F8">
        <v>37152.201385</v>
      </c>
      <c r="G8">
        <v>4.7351699999999997E-2</v>
      </c>
    </row>
    <row r="9" spans="1:10" x14ac:dyDescent="0.35">
      <c r="A9">
        <v>3</v>
      </c>
      <c r="B9" t="s">
        <v>20</v>
      </c>
      <c r="C9" t="s">
        <v>21</v>
      </c>
      <c r="D9" t="s">
        <v>22</v>
      </c>
      <c r="E9">
        <v>2083795</v>
      </c>
      <c r="F9">
        <v>32723.916679999998</v>
      </c>
      <c r="G9">
        <v>4.17077E-2</v>
      </c>
    </row>
    <row r="10" spans="1:10" x14ac:dyDescent="0.35">
      <c r="A10">
        <v>4</v>
      </c>
      <c r="B10" t="s">
        <v>14</v>
      </c>
      <c r="C10" t="s">
        <v>15</v>
      </c>
      <c r="D10" t="s">
        <v>16</v>
      </c>
      <c r="E10">
        <v>1422705</v>
      </c>
      <c r="F10">
        <v>29956.476480000001</v>
      </c>
      <c r="G10">
        <v>3.8180510000000001E-2</v>
      </c>
    </row>
    <row r="11" spans="1:10" x14ac:dyDescent="0.35">
      <c r="A11">
        <v>5</v>
      </c>
      <c r="B11" t="s">
        <v>17</v>
      </c>
      <c r="C11" t="s">
        <v>18</v>
      </c>
      <c r="D11" t="s">
        <v>19</v>
      </c>
      <c r="E11">
        <v>619359</v>
      </c>
      <c r="F11">
        <v>25291.524764999998</v>
      </c>
      <c r="G11">
        <v>3.223488E-2</v>
      </c>
    </row>
    <row r="12" spans="1:10" x14ac:dyDescent="0.35">
      <c r="A12">
        <v>6</v>
      </c>
      <c r="B12" t="s">
        <v>358</v>
      </c>
      <c r="C12" t="s">
        <v>359</v>
      </c>
      <c r="D12" t="s">
        <v>252</v>
      </c>
      <c r="E12">
        <v>587580</v>
      </c>
      <c r="F12">
        <v>21794.517360000002</v>
      </c>
      <c r="G12">
        <v>2.777783E-2</v>
      </c>
    </row>
    <row r="13" spans="1:10" x14ac:dyDescent="0.35">
      <c r="A13">
        <v>7</v>
      </c>
      <c r="B13" t="s">
        <v>356</v>
      </c>
      <c r="C13" t="s">
        <v>357</v>
      </c>
      <c r="D13" t="s">
        <v>38</v>
      </c>
      <c r="E13">
        <v>977211</v>
      </c>
      <c r="F13">
        <v>21509.391320999999</v>
      </c>
      <c r="G13">
        <v>2.7414419999999998E-2</v>
      </c>
    </row>
    <row r="14" spans="1:10" x14ac:dyDescent="0.35">
      <c r="A14">
        <v>8</v>
      </c>
      <c r="B14" t="s">
        <v>366</v>
      </c>
      <c r="C14" t="s">
        <v>367</v>
      </c>
      <c r="D14" t="s">
        <v>206</v>
      </c>
      <c r="E14">
        <v>1686080</v>
      </c>
      <c r="F14">
        <v>16638.237440000001</v>
      </c>
      <c r="G14">
        <v>2.1205979999999999E-2</v>
      </c>
    </row>
    <row r="15" spans="1:10" x14ac:dyDescent="0.35">
      <c r="A15">
        <v>9</v>
      </c>
      <c r="B15" t="s">
        <v>487</v>
      </c>
      <c r="C15" t="s">
        <v>488</v>
      </c>
      <c r="D15" t="s">
        <v>230</v>
      </c>
      <c r="E15">
        <v>951720</v>
      </c>
      <c r="F15">
        <v>15449.270759999999</v>
      </c>
      <c r="G15">
        <v>1.9690599999999999E-2</v>
      </c>
    </row>
    <row r="16" spans="1:10" x14ac:dyDescent="0.35">
      <c r="A16">
        <v>10</v>
      </c>
      <c r="B16" t="s">
        <v>489</v>
      </c>
      <c r="C16" t="s">
        <v>490</v>
      </c>
      <c r="D16" t="s">
        <v>97</v>
      </c>
      <c r="E16">
        <v>3389384</v>
      </c>
      <c r="F16">
        <f>147.546664288*100</f>
        <v>14754.666428799999</v>
      </c>
      <c r="G16">
        <f>F16/F186</f>
        <v>1.8805305593067725E-2</v>
      </c>
    </row>
    <row r="17" spans="1:7" x14ac:dyDescent="0.35">
      <c r="A17">
        <v>11</v>
      </c>
      <c r="B17" t="s">
        <v>370</v>
      </c>
      <c r="C17" t="s">
        <v>371</v>
      </c>
      <c r="D17" t="s">
        <v>206</v>
      </c>
      <c r="E17">
        <v>784258</v>
      </c>
      <c r="F17">
        <v>13349.639676000001</v>
      </c>
      <c r="G17">
        <v>1.701455E-2</v>
      </c>
    </row>
    <row r="18" spans="1:7" x14ac:dyDescent="0.35">
      <c r="A18">
        <v>12</v>
      </c>
      <c r="B18" t="s">
        <v>36</v>
      </c>
      <c r="C18" t="s">
        <v>37</v>
      </c>
      <c r="D18" t="s">
        <v>38</v>
      </c>
      <c r="E18">
        <v>1320130</v>
      </c>
      <c r="F18">
        <v>12966.316860000001</v>
      </c>
      <c r="G18">
        <v>1.6525999999999999E-2</v>
      </c>
    </row>
    <row r="19" spans="1:7" x14ac:dyDescent="0.35">
      <c r="A19">
        <v>13</v>
      </c>
      <c r="B19" t="s">
        <v>491</v>
      </c>
      <c r="C19" t="s">
        <v>492</v>
      </c>
      <c r="D19" t="s">
        <v>493</v>
      </c>
      <c r="E19">
        <v>530678</v>
      </c>
      <c r="F19">
        <v>12289.971802</v>
      </c>
      <c r="G19">
        <v>1.5663969999999999E-2</v>
      </c>
    </row>
    <row r="20" spans="1:7" x14ac:dyDescent="0.35">
      <c r="A20">
        <v>14</v>
      </c>
      <c r="B20" t="s">
        <v>207</v>
      </c>
      <c r="C20" t="s">
        <v>208</v>
      </c>
      <c r="D20" t="s">
        <v>209</v>
      </c>
      <c r="E20">
        <v>541425</v>
      </c>
      <c r="F20">
        <v>12270.8562</v>
      </c>
      <c r="G20">
        <v>1.5639610000000002E-2</v>
      </c>
    </row>
    <row r="21" spans="1:7" x14ac:dyDescent="0.35">
      <c r="A21">
        <v>15</v>
      </c>
      <c r="B21" t="s">
        <v>29</v>
      </c>
      <c r="C21" t="s">
        <v>30</v>
      </c>
      <c r="D21" t="s">
        <v>31</v>
      </c>
      <c r="E21">
        <v>2991799</v>
      </c>
      <c r="F21">
        <v>11955.228804</v>
      </c>
      <c r="G21">
        <v>1.523733E-2</v>
      </c>
    </row>
    <row r="22" spans="1:7" x14ac:dyDescent="0.35">
      <c r="A22">
        <v>16</v>
      </c>
      <c r="B22" t="s">
        <v>57</v>
      </c>
      <c r="C22" t="s">
        <v>58</v>
      </c>
      <c r="D22" t="s">
        <v>53</v>
      </c>
      <c r="E22">
        <v>240499</v>
      </c>
      <c r="F22">
        <v>10664.687656</v>
      </c>
      <c r="G22">
        <v>1.359249E-2</v>
      </c>
    </row>
    <row r="23" spans="1:7" x14ac:dyDescent="0.35">
      <c r="A23">
        <v>17</v>
      </c>
      <c r="B23" t="s">
        <v>354</v>
      </c>
      <c r="C23" t="s">
        <v>355</v>
      </c>
      <c r="D23" t="s">
        <v>230</v>
      </c>
      <c r="E23">
        <v>594381</v>
      </c>
      <c r="F23">
        <v>9601.630674</v>
      </c>
      <c r="G23">
        <v>1.223759E-2</v>
      </c>
    </row>
    <row r="24" spans="1:7" x14ac:dyDescent="0.35">
      <c r="A24">
        <v>18</v>
      </c>
      <c r="B24" t="s">
        <v>238</v>
      </c>
      <c r="C24" t="s">
        <v>239</v>
      </c>
      <c r="D24" t="s">
        <v>240</v>
      </c>
      <c r="E24">
        <v>1578293</v>
      </c>
      <c r="F24">
        <v>8816.3446980000008</v>
      </c>
      <c r="G24">
        <v>1.123672E-2</v>
      </c>
    </row>
    <row r="25" spans="1:7" x14ac:dyDescent="0.35">
      <c r="A25">
        <v>19</v>
      </c>
      <c r="B25" t="s">
        <v>233</v>
      </c>
      <c r="C25" t="s">
        <v>234</v>
      </c>
      <c r="D25" t="s">
        <v>235</v>
      </c>
      <c r="E25">
        <v>334040</v>
      </c>
      <c r="F25">
        <v>8792.60088</v>
      </c>
      <c r="G25">
        <v>1.120646E-2</v>
      </c>
    </row>
    <row r="26" spans="1:7" x14ac:dyDescent="0.35">
      <c r="A26">
        <v>20</v>
      </c>
      <c r="B26" t="s">
        <v>221</v>
      </c>
      <c r="C26" t="s">
        <v>222</v>
      </c>
      <c r="D26" t="s">
        <v>223</v>
      </c>
      <c r="E26">
        <v>478565</v>
      </c>
      <c r="F26">
        <v>8736.6826400000009</v>
      </c>
      <c r="G26">
        <v>1.113519E-2</v>
      </c>
    </row>
    <row r="27" spans="1:7" x14ac:dyDescent="0.35">
      <c r="A27">
        <v>21</v>
      </c>
      <c r="B27" t="s">
        <v>250</v>
      </c>
      <c r="C27" t="s">
        <v>251</v>
      </c>
      <c r="D27" t="s">
        <v>252</v>
      </c>
      <c r="E27">
        <v>232235</v>
      </c>
      <c r="F27">
        <v>8638.6775300000008</v>
      </c>
      <c r="G27">
        <v>1.1010280000000001E-2</v>
      </c>
    </row>
    <row r="28" spans="1:7" x14ac:dyDescent="0.35">
      <c r="A28">
        <v>22</v>
      </c>
      <c r="B28" t="s">
        <v>494</v>
      </c>
      <c r="C28" t="s">
        <v>495</v>
      </c>
      <c r="D28" t="s">
        <v>206</v>
      </c>
      <c r="E28">
        <v>2423180</v>
      </c>
      <c r="F28">
        <v>8611.9817199999998</v>
      </c>
      <c r="G28">
        <v>1.097625E-2</v>
      </c>
    </row>
    <row r="29" spans="1:7" x14ac:dyDescent="0.35">
      <c r="A29">
        <v>23</v>
      </c>
      <c r="B29" t="s">
        <v>26</v>
      </c>
      <c r="C29" t="s">
        <v>27</v>
      </c>
      <c r="D29" t="s">
        <v>28</v>
      </c>
      <c r="E29">
        <v>72990</v>
      </c>
      <c r="F29">
        <v>8601.1416000000008</v>
      </c>
      <c r="G29">
        <v>1.096244E-2</v>
      </c>
    </row>
    <row r="30" spans="1:7" x14ac:dyDescent="0.35">
      <c r="A30">
        <v>24</v>
      </c>
      <c r="B30" t="s">
        <v>496</v>
      </c>
      <c r="C30" t="s">
        <v>497</v>
      </c>
      <c r="D30" t="s">
        <v>220</v>
      </c>
      <c r="E30">
        <v>715440</v>
      </c>
      <c r="F30">
        <v>8528.0447999999997</v>
      </c>
      <c r="G30">
        <v>1.086927E-2</v>
      </c>
    </row>
    <row r="31" spans="1:7" x14ac:dyDescent="0.35">
      <c r="A31">
        <v>25</v>
      </c>
      <c r="B31" t="s">
        <v>77</v>
      </c>
      <c r="C31" t="s">
        <v>78</v>
      </c>
      <c r="D31" t="s">
        <v>79</v>
      </c>
      <c r="E31">
        <v>167400</v>
      </c>
      <c r="F31">
        <v>8469.6029999999992</v>
      </c>
      <c r="G31">
        <v>1.079479E-2</v>
      </c>
    </row>
    <row r="32" spans="1:7" x14ac:dyDescent="0.35">
      <c r="A32">
        <v>26</v>
      </c>
      <c r="B32" t="s">
        <v>32</v>
      </c>
      <c r="C32" t="s">
        <v>33</v>
      </c>
      <c r="D32" t="s">
        <v>22</v>
      </c>
      <c r="E32">
        <v>2077141</v>
      </c>
      <c r="F32">
        <v>7976.2214400000003</v>
      </c>
      <c r="G32">
        <v>1.016596E-2</v>
      </c>
    </row>
    <row r="33" spans="1:7" x14ac:dyDescent="0.35">
      <c r="A33">
        <v>27</v>
      </c>
      <c r="B33" t="s">
        <v>63</v>
      </c>
      <c r="C33" t="s">
        <v>64</v>
      </c>
      <c r="D33" t="s">
        <v>65</v>
      </c>
      <c r="E33">
        <v>114331</v>
      </c>
      <c r="F33">
        <v>7302.3209699999998</v>
      </c>
      <c r="G33">
        <v>9.3070500000000007E-3</v>
      </c>
    </row>
    <row r="34" spans="1:7" x14ac:dyDescent="0.35">
      <c r="A34">
        <v>28</v>
      </c>
      <c r="B34" t="s">
        <v>498</v>
      </c>
      <c r="C34" t="s">
        <v>499</v>
      </c>
      <c r="D34" t="s">
        <v>252</v>
      </c>
      <c r="E34">
        <v>43055</v>
      </c>
      <c r="F34">
        <v>7188.8933500000003</v>
      </c>
      <c r="G34">
        <v>9.1624800000000006E-3</v>
      </c>
    </row>
    <row r="35" spans="1:7" x14ac:dyDescent="0.35">
      <c r="A35">
        <v>29</v>
      </c>
      <c r="B35" t="s">
        <v>500</v>
      </c>
      <c r="C35" t="s">
        <v>501</v>
      </c>
      <c r="D35" t="s">
        <v>43</v>
      </c>
      <c r="E35">
        <v>781904</v>
      </c>
      <c r="F35">
        <v>7111.8078320000004</v>
      </c>
      <c r="G35">
        <v>9.0642299999999995E-3</v>
      </c>
    </row>
    <row r="36" spans="1:7" x14ac:dyDescent="0.35">
      <c r="A36">
        <v>30</v>
      </c>
      <c r="B36" t="s">
        <v>302</v>
      </c>
      <c r="C36" t="s">
        <v>303</v>
      </c>
      <c r="D36" t="s">
        <v>243</v>
      </c>
      <c r="E36">
        <v>291980</v>
      </c>
      <c r="F36">
        <v>6413.3406999999997</v>
      </c>
      <c r="G36">
        <v>8.1740100000000007E-3</v>
      </c>
    </row>
    <row r="37" spans="1:7" x14ac:dyDescent="0.35">
      <c r="A37">
        <v>31</v>
      </c>
      <c r="B37" t="s">
        <v>372</v>
      </c>
      <c r="C37" t="s">
        <v>373</v>
      </c>
      <c r="D37" t="s">
        <v>243</v>
      </c>
      <c r="E37">
        <v>344610</v>
      </c>
      <c r="F37">
        <v>5926.2581700000001</v>
      </c>
      <c r="G37">
        <v>7.5532100000000003E-3</v>
      </c>
    </row>
    <row r="38" spans="1:7" x14ac:dyDescent="0.35">
      <c r="A38">
        <v>32</v>
      </c>
      <c r="B38" t="s">
        <v>502</v>
      </c>
      <c r="C38" t="s">
        <v>503</v>
      </c>
      <c r="D38" t="s">
        <v>252</v>
      </c>
      <c r="E38">
        <v>63408</v>
      </c>
      <c r="F38">
        <v>5924.2094399999996</v>
      </c>
      <c r="G38">
        <v>7.5506000000000002E-3</v>
      </c>
    </row>
    <row r="39" spans="1:7" x14ac:dyDescent="0.35">
      <c r="A39">
        <v>33</v>
      </c>
      <c r="B39" t="s">
        <v>504</v>
      </c>
      <c r="C39" t="s">
        <v>505</v>
      </c>
      <c r="D39" t="s">
        <v>97</v>
      </c>
      <c r="E39">
        <v>1720474</v>
      </c>
      <c r="F39">
        <f>57.05091784*100</f>
        <v>5705.0917839999993</v>
      </c>
      <c r="G39">
        <f>F39/F186</f>
        <v>7.271326325968692E-3</v>
      </c>
    </row>
    <row r="40" spans="1:7" x14ac:dyDescent="0.35">
      <c r="A40">
        <v>34</v>
      </c>
      <c r="B40" t="s">
        <v>90</v>
      </c>
      <c r="C40" t="s">
        <v>91</v>
      </c>
      <c r="D40" t="s">
        <v>28</v>
      </c>
      <c r="E40">
        <v>101125</v>
      </c>
      <c r="F40">
        <v>5593.2237500000001</v>
      </c>
      <c r="G40">
        <v>7.1287499999999997E-3</v>
      </c>
    </row>
    <row r="41" spans="1:7" x14ac:dyDescent="0.35">
      <c r="A41">
        <v>35</v>
      </c>
      <c r="B41" t="s">
        <v>49</v>
      </c>
      <c r="C41" t="s">
        <v>50</v>
      </c>
      <c r="D41" t="s">
        <v>25</v>
      </c>
      <c r="E41">
        <v>1469941</v>
      </c>
      <c r="F41">
        <v>5579.8960360000001</v>
      </c>
      <c r="G41">
        <v>7.11176E-3</v>
      </c>
    </row>
    <row r="42" spans="1:7" x14ac:dyDescent="0.35">
      <c r="A42">
        <v>36</v>
      </c>
      <c r="B42" t="s">
        <v>284</v>
      </c>
      <c r="C42" t="s">
        <v>285</v>
      </c>
      <c r="D42" t="s">
        <v>43</v>
      </c>
      <c r="E42">
        <v>427474</v>
      </c>
      <c r="F42">
        <v>5496.4606919999997</v>
      </c>
      <c r="G42">
        <v>7.00542E-3</v>
      </c>
    </row>
    <row r="43" spans="1:7" x14ac:dyDescent="0.35">
      <c r="A43">
        <v>37</v>
      </c>
      <c r="B43" t="s">
        <v>506</v>
      </c>
      <c r="C43" t="s">
        <v>507</v>
      </c>
      <c r="D43" t="s">
        <v>206</v>
      </c>
      <c r="E43">
        <v>485134</v>
      </c>
      <c r="F43">
        <v>5347.1469479999996</v>
      </c>
      <c r="G43">
        <v>6.8151100000000001E-3</v>
      </c>
    </row>
    <row r="44" spans="1:7" x14ac:dyDescent="0.35">
      <c r="A44">
        <v>38</v>
      </c>
      <c r="B44" t="s">
        <v>327</v>
      </c>
      <c r="C44" t="s">
        <v>328</v>
      </c>
      <c r="D44" t="s">
        <v>206</v>
      </c>
      <c r="E44">
        <v>119934</v>
      </c>
      <c r="F44">
        <v>5183.0677439999999</v>
      </c>
      <c r="G44">
        <v>6.60599E-3</v>
      </c>
    </row>
    <row r="45" spans="1:7" x14ac:dyDescent="0.35">
      <c r="A45">
        <v>39</v>
      </c>
      <c r="B45" t="s">
        <v>442</v>
      </c>
      <c r="C45" t="s">
        <v>443</v>
      </c>
      <c r="D45" t="s">
        <v>235</v>
      </c>
      <c r="E45">
        <v>186504</v>
      </c>
      <c r="F45">
        <v>4752.8679359999996</v>
      </c>
      <c r="G45">
        <v>6.0576900000000001E-3</v>
      </c>
    </row>
    <row r="46" spans="1:7" x14ac:dyDescent="0.35">
      <c r="A46">
        <v>40</v>
      </c>
      <c r="B46" t="s">
        <v>508</v>
      </c>
      <c r="C46" t="s">
        <v>509</v>
      </c>
      <c r="D46" t="s">
        <v>257</v>
      </c>
      <c r="E46">
        <v>326435</v>
      </c>
      <c r="F46">
        <v>4712.7420949999996</v>
      </c>
      <c r="G46">
        <v>6.0065400000000003E-3</v>
      </c>
    </row>
    <row r="47" spans="1:7" x14ac:dyDescent="0.35">
      <c r="A47">
        <v>41</v>
      </c>
      <c r="B47" t="s">
        <v>510</v>
      </c>
      <c r="C47" t="s">
        <v>511</v>
      </c>
      <c r="D47" t="s">
        <v>299</v>
      </c>
      <c r="E47">
        <v>310170</v>
      </c>
      <c r="F47">
        <v>4597.9600799999998</v>
      </c>
      <c r="G47">
        <v>5.86025E-3</v>
      </c>
    </row>
    <row r="48" spans="1:7" x14ac:dyDescent="0.35">
      <c r="A48">
        <v>42</v>
      </c>
      <c r="B48" t="s">
        <v>282</v>
      </c>
      <c r="C48" t="s">
        <v>283</v>
      </c>
      <c r="D48" t="s">
        <v>97</v>
      </c>
      <c r="E48">
        <v>286365</v>
      </c>
      <c r="F48">
        <v>4566.94902</v>
      </c>
      <c r="G48">
        <v>5.8207299999999997E-3</v>
      </c>
    </row>
    <row r="49" spans="1:7" x14ac:dyDescent="0.35">
      <c r="A49">
        <v>43</v>
      </c>
      <c r="B49" t="s">
        <v>512</v>
      </c>
      <c r="C49" t="s">
        <v>513</v>
      </c>
      <c r="D49" t="s">
        <v>257</v>
      </c>
      <c r="E49">
        <v>873150</v>
      </c>
      <c r="F49">
        <v>4277.1252750000003</v>
      </c>
      <c r="G49">
        <v>5.4513399999999998E-3</v>
      </c>
    </row>
    <row r="50" spans="1:7" x14ac:dyDescent="0.35">
      <c r="A50">
        <v>44</v>
      </c>
      <c r="B50" t="s">
        <v>310</v>
      </c>
      <c r="C50" t="s">
        <v>311</v>
      </c>
      <c r="D50" t="s">
        <v>235</v>
      </c>
      <c r="E50">
        <v>2672704</v>
      </c>
      <c r="F50">
        <v>4173.9618368000001</v>
      </c>
      <c r="G50">
        <v>5.3198500000000001E-3</v>
      </c>
    </row>
    <row r="51" spans="1:7" x14ac:dyDescent="0.35">
      <c r="A51">
        <v>45</v>
      </c>
      <c r="B51" t="s">
        <v>325</v>
      </c>
      <c r="C51" t="s">
        <v>326</v>
      </c>
      <c r="D51" t="s">
        <v>114</v>
      </c>
      <c r="E51">
        <v>619336</v>
      </c>
      <c r="F51">
        <v>3223.3342120000002</v>
      </c>
      <c r="G51">
        <v>4.1082499999999999E-3</v>
      </c>
    </row>
    <row r="52" spans="1:7" x14ac:dyDescent="0.35">
      <c r="A52">
        <v>46</v>
      </c>
      <c r="B52" t="s">
        <v>228</v>
      </c>
      <c r="C52" t="s">
        <v>229</v>
      </c>
      <c r="D52" t="s">
        <v>230</v>
      </c>
      <c r="E52">
        <v>187285</v>
      </c>
      <c r="F52">
        <v>3114.5495500000002</v>
      </c>
      <c r="G52">
        <v>3.9696000000000002E-3</v>
      </c>
    </row>
    <row r="53" spans="1:7" x14ac:dyDescent="0.35">
      <c r="A53">
        <v>47</v>
      </c>
      <c r="B53" t="s">
        <v>514</v>
      </c>
      <c r="C53" t="s">
        <v>515</v>
      </c>
      <c r="D53" t="s">
        <v>324</v>
      </c>
      <c r="E53">
        <v>72770</v>
      </c>
      <c r="F53">
        <v>3113.8283000000001</v>
      </c>
      <c r="G53">
        <v>3.9686799999999996E-3</v>
      </c>
    </row>
    <row r="54" spans="1:7" x14ac:dyDescent="0.35">
      <c r="A54">
        <v>48</v>
      </c>
      <c r="B54" t="s">
        <v>516</v>
      </c>
      <c r="C54" t="s">
        <v>517</v>
      </c>
      <c r="D54" t="s">
        <v>230</v>
      </c>
      <c r="E54">
        <v>184372</v>
      </c>
      <c r="F54">
        <v>2933.1741480000001</v>
      </c>
      <c r="G54">
        <v>3.7384300000000001E-3</v>
      </c>
    </row>
    <row r="55" spans="1:7" x14ac:dyDescent="0.35">
      <c r="A55">
        <v>49</v>
      </c>
      <c r="B55" t="s">
        <v>518</v>
      </c>
      <c r="C55" t="s">
        <v>519</v>
      </c>
      <c r="D55" t="s">
        <v>290</v>
      </c>
      <c r="E55">
        <v>141205</v>
      </c>
      <c r="F55">
        <v>2873.380545</v>
      </c>
      <c r="G55">
        <v>3.6622199999999999E-3</v>
      </c>
    </row>
    <row r="56" spans="1:7" x14ac:dyDescent="0.35">
      <c r="A56">
        <v>50</v>
      </c>
      <c r="B56" t="s">
        <v>520</v>
      </c>
      <c r="C56" t="s">
        <v>521</v>
      </c>
      <c r="D56" t="s">
        <v>94</v>
      </c>
      <c r="E56">
        <v>1265825</v>
      </c>
      <c r="F56">
        <v>2462.9157025</v>
      </c>
      <c r="G56">
        <v>3.1390699999999999E-3</v>
      </c>
    </row>
    <row r="57" spans="1:7" x14ac:dyDescent="0.35">
      <c r="A57">
        <v>51</v>
      </c>
      <c r="B57" t="s">
        <v>522</v>
      </c>
      <c r="C57" t="s">
        <v>523</v>
      </c>
      <c r="D57" t="s">
        <v>240</v>
      </c>
      <c r="E57">
        <v>300000</v>
      </c>
      <c r="F57">
        <v>2216.5500000000002</v>
      </c>
      <c r="G57">
        <v>2.8250699999999998E-3</v>
      </c>
    </row>
    <row r="58" spans="1:7" x14ac:dyDescent="0.35">
      <c r="A58">
        <v>52</v>
      </c>
      <c r="B58" t="s">
        <v>92</v>
      </c>
      <c r="C58" t="s">
        <v>93</v>
      </c>
      <c r="D58" t="s">
        <v>94</v>
      </c>
      <c r="E58">
        <v>1100000</v>
      </c>
      <c r="F58">
        <v>1893.76</v>
      </c>
      <c r="G58">
        <v>2.4136600000000002E-3</v>
      </c>
    </row>
    <row r="59" spans="1:7" x14ac:dyDescent="0.35">
      <c r="A59">
        <v>52</v>
      </c>
      <c r="B59" t="s">
        <v>524</v>
      </c>
      <c r="C59" t="s">
        <v>525</v>
      </c>
      <c r="D59" t="s">
        <v>526</v>
      </c>
      <c r="E59">
        <v>488383</v>
      </c>
      <c r="F59">
        <v>196.32996600000001</v>
      </c>
      <c r="G59">
        <v>2.5022999999999999E-4</v>
      </c>
    </row>
    <row r="60" spans="1:7" x14ac:dyDescent="0.35">
      <c r="C60" t="s">
        <v>139</v>
      </c>
      <c r="F60">
        <f>SUM(F7:F59)</f>
        <v>555018.68886610004</v>
      </c>
      <c r="G60">
        <f>SUM(G7:G59)</f>
        <v>0.70738954191903658</v>
      </c>
    </row>
    <row r="62" spans="1:7" x14ac:dyDescent="0.35">
      <c r="C62" t="s">
        <v>140</v>
      </c>
    </row>
    <row r="63" spans="1:7" x14ac:dyDescent="0.35">
      <c r="C63" t="s">
        <v>139</v>
      </c>
      <c r="F63" t="s">
        <v>141</v>
      </c>
      <c r="G63">
        <v>0</v>
      </c>
    </row>
    <row r="65" spans="1:8" x14ac:dyDescent="0.35">
      <c r="C65" t="s">
        <v>142</v>
      </c>
    </row>
    <row r="66" spans="1:8" x14ac:dyDescent="0.35">
      <c r="A66">
        <v>1</v>
      </c>
      <c r="B66" t="s">
        <v>527</v>
      </c>
      <c r="C66" t="s">
        <v>528</v>
      </c>
      <c r="D66" t="s">
        <v>240</v>
      </c>
      <c r="E66">
        <v>30579</v>
      </c>
      <c r="F66">
        <v>4.4431286999999999</v>
      </c>
      <c r="G66" t="s">
        <v>146</v>
      </c>
    </row>
    <row r="67" spans="1:8" x14ac:dyDescent="0.35">
      <c r="C67" t="s">
        <v>139</v>
      </c>
      <c r="F67">
        <f>SUM(F66)</f>
        <v>4.4431286999999999</v>
      </c>
      <c r="G67">
        <f>SUM(G66)</f>
        <v>0</v>
      </c>
    </row>
    <row r="69" spans="1:8" x14ac:dyDescent="0.35">
      <c r="C69" t="s">
        <v>147</v>
      </c>
    </row>
    <row r="70" spans="1:8" x14ac:dyDescent="0.35">
      <c r="C70" t="s">
        <v>139</v>
      </c>
      <c r="F70" t="s">
        <v>141</v>
      </c>
      <c r="G70">
        <v>0</v>
      </c>
    </row>
    <row r="72" spans="1:8" x14ac:dyDescent="0.35">
      <c r="C72" t="s">
        <v>148</v>
      </c>
    </row>
    <row r="73" spans="1:8" x14ac:dyDescent="0.35">
      <c r="C73" t="s">
        <v>139</v>
      </c>
      <c r="F73" t="s">
        <v>141</v>
      </c>
      <c r="G73">
        <v>0</v>
      </c>
    </row>
    <row r="75" spans="1:8" x14ac:dyDescent="0.35">
      <c r="C75" t="s">
        <v>529</v>
      </c>
    </row>
    <row r="76" spans="1:8" x14ac:dyDescent="0.35">
      <c r="A76">
        <v>1</v>
      </c>
      <c r="B76" t="s">
        <v>530</v>
      </c>
      <c r="C76" t="s">
        <v>531</v>
      </c>
      <c r="D76" t="s">
        <v>532</v>
      </c>
      <c r="E76">
        <v>1750</v>
      </c>
      <c r="F76">
        <f>20.824730045*100</f>
        <v>2082.4730045000001</v>
      </c>
      <c r="G76">
        <f>F76/F186</f>
        <v>2.654180047235498E-3</v>
      </c>
      <c r="H76">
        <v>7.26</v>
      </c>
    </row>
    <row r="77" spans="1:8" x14ac:dyDescent="0.35">
      <c r="C77" t="s">
        <v>139</v>
      </c>
      <c r="F77">
        <f>SUM(F76)</f>
        <v>2082.4730045000001</v>
      </c>
      <c r="G77">
        <f>SUM(G76)</f>
        <v>2.654180047235498E-3</v>
      </c>
    </row>
    <row r="79" spans="1:8" x14ac:dyDescent="0.35">
      <c r="C79" t="s">
        <v>149</v>
      </c>
    </row>
    <row r="80" spans="1:8" x14ac:dyDescent="0.35">
      <c r="C80" t="s">
        <v>139</v>
      </c>
      <c r="F80" t="s">
        <v>141</v>
      </c>
      <c r="G80">
        <v>0</v>
      </c>
    </row>
    <row r="82" spans="1:8" x14ac:dyDescent="0.35">
      <c r="C82" t="s">
        <v>150</v>
      </c>
      <c r="F82">
        <f>F77+F67+F60</f>
        <v>557105.60499930009</v>
      </c>
      <c r="G82">
        <f>G77+G67+G60</f>
        <v>0.71004372196627208</v>
      </c>
    </row>
    <row r="84" spans="1:8" x14ac:dyDescent="0.35">
      <c r="C84" t="s">
        <v>151</v>
      </c>
    </row>
    <row r="85" spans="1:8" x14ac:dyDescent="0.35">
      <c r="C85" t="s">
        <v>13</v>
      </c>
    </row>
    <row r="86" spans="1:8" x14ac:dyDescent="0.35">
      <c r="A86">
        <v>1</v>
      </c>
      <c r="B86" t="s">
        <v>533</v>
      </c>
      <c r="C86" t="s">
        <v>534</v>
      </c>
      <c r="D86" t="s">
        <v>535</v>
      </c>
      <c r="E86">
        <v>8500</v>
      </c>
      <c r="F86">
        <v>8613.0755000000008</v>
      </c>
      <c r="G86">
        <v>1.097765E-2</v>
      </c>
      <c r="H86">
        <v>6.8433000000000002</v>
      </c>
    </row>
    <row r="87" spans="1:8" x14ac:dyDescent="0.35">
      <c r="A87">
        <v>2</v>
      </c>
      <c r="B87" t="s">
        <v>536</v>
      </c>
      <c r="C87" t="s">
        <v>537</v>
      </c>
      <c r="D87" t="s">
        <v>538</v>
      </c>
      <c r="E87">
        <v>5000</v>
      </c>
      <c r="F87">
        <v>5065.3599999999997</v>
      </c>
      <c r="G87">
        <v>6.4559700000000001E-3</v>
      </c>
      <c r="H87">
        <v>6.9119000000000002</v>
      </c>
    </row>
    <row r="88" spans="1:8" x14ac:dyDescent="0.35">
      <c r="A88">
        <v>3</v>
      </c>
      <c r="B88" t="s">
        <v>539</v>
      </c>
      <c r="C88" t="s">
        <v>540</v>
      </c>
      <c r="D88" t="s">
        <v>538</v>
      </c>
      <c r="E88">
        <v>3500</v>
      </c>
      <c r="F88">
        <v>3483.4625000000001</v>
      </c>
      <c r="G88">
        <v>4.4397899999999999E-3</v>
      </c>
      <c r="H88">
        <v>7.5838000000000001</v>
      </c>
    </row>
    <row r="89" spans="1:8" x14ac:dyDescent="0.35">
      <c r="A89">
        <v>4</v>
      </c>
      <c r="B89" t="s">
        <v>541</v>
      </c>
      <c r="C89" t="s">
        <v>542</v>
      </c>
      <c r="D89" t="s">
        <v>535</v>
      </c>
      <c r="E89">
        <v>3500</v>
      </c>
      <c r="F89">
        <v>3477.0504999999998</v>
      </c>
      <c r="G89">
        <v>4.4316199999999998E-3</v>
      </c>
      <c r="H89">
        <v>6.9119000000000002</v>
      </c>
    </row>
    <row r="90" spans="1:8" x14ac:dyDescent="0.35">
      <c r="A90">
        <v>5</v>
      </c>
      <c r="B90" t="s">
        <v>543</v>
      </c>
      <c r="C90" t="s">
        <v>544</v>
      </c>
      <c r="D90" t="s">
        <v>545</v>
      </c>
      <c r="E90">
        <v>3000</v>
      </c>
      <c r="F90">
        <v>3079.011</v>
      </c>
      <c r="G90">
        <v>3.9243000000000004E-3</v>
      </c>
      <c r="H90">
        <v>7.58</v>
      </c>
    </row>
    <row r="91" spans="1:8" x14ac:dyDescent="0.35">
      <c r="A91">
        <v>6</v>
      </c>
      <c r="B91" t="s">
        <v>546</v>
      </c>
      <c r="C91" t="s">
        <v>547</v>
      </c>
      <c r="D91" t="s">
        <v>538</v>
      </c>
      <c r="E91">
        <v>3000</v>
      </c>
      <c r="F91">
        <v>3039.8760000000002</v>
      </c>
      <c r="G91">
        <v>3.8744199999999999E-3</v>
      </c>
      <c r="H91">
        <v>7.59</v>
      </c>
    </row>
    <row r="92" spans="1:8" x14ac:dyDescent="0.35">
      <c r="A92">
        <v>7</v>
      </c>
      <c r="B92" t="s">
        <v>548</v>
      </c>
      <c r="C92" t="s">
        <v>549</v>
      </c>
      <c r="D92" t="s">
        <v>535</v>
      </c>
      <c r="E92">
        <v>2500</v>
      </c>
      <c r="F92">
        <v>2610.7249999999999</v>
      </c>
      <c r="G92">
        <v>3.32746E-3</v>
      </c>
      <c r="H92">
        <v>7.2549999999999999</v>
      </c>
    </row>
    <row r="93" spans="1:8" x14ac:dyDescent="0.35">
      <c r="A93">
        <v>8</v>
      </c>
      <c r="B93" t="s">
        <v>550</v>
      </c>
      <c r="C93" t="s">
        <v>551</v>
      </c>
      <c r="D93" t="s">
        <v>538</v>
      </c>
      <c r="E93">
        <v>250</v>
      </c>
      <c r="F93">
        <v>2588</v>
      </c>
      <c r="G93">
        <v>3.2984899999999998E-3</v>
      </c>
      <c r="H93">
        <v>7.37</v>
      </c>
    </row>
    <row r="94" spans="1:8" x14ac:dyDescent="0.35">
      <c r="A94">
        <v>9</v>
      </c>
      <c r="B94" t="s">
        <v>552</v>
      </c>
      <c r="C94" t="s">
        <v>553</v>
      </c>
      <c r="D94" t="s">
        <v>538</v>
      </c>
      <c r="E94">
        <v>2500</v>
      </c>
      <c r="F94">
        <v>2547.2600000000002</v>
      </c>
      <c r="G94">
        <v>3.2465699999999998E-3</v>
      </c>
      <c r="H94">
        <v>7.49</v>
      </c>
    </row>
    <row r="95" spans="1:8" x14ac:dyDescent="0.35">
      <c r="A95">
        <v>10</v>
      </c>
      <c r="B95" t="s">
        <v>554</v>
      </c>
      <c r="C95" t="s">
        <v>555</v>
      </c>
      <c r="D95" t="s">
        <v>535</v>
      </c>
      <c r="E95">
        <v>2500</v>
      </c>
      <c r="F95">
        <v>2544.9850000000001</v>
      </c>
      <c r="G95">
        <v>3.2436700000000001E-3</v>
      </c>
      <c r="H95">
        <v>6.9649000000000001</v>
      </c>
    </row>
    <row r="96" spans="1:8" x14ac:dyDescent="0.35">
      <c r="A96">
        <v>11</v>
      </c>
      <c r="B96" t="s">
        <v>556</v>
      </c>
      <c r="C96" t="s">
        <v>557</v>
      </c>
      <c r="D96" t="s">
        <v>535</v>
      </c>
      <c r="E96">
        <v>2500</v>
      </c>
      <c r="F96">
        <v>2536.9499999999998</v>
      </c>
      <c r="G96">
        <v>3.2334299999999998E-3</v>
      </c>
      <c r="H96">
        <v>6.8243</v>
      </c>
    </row>
    <row r="97" spans="1:9" x14ac:dyDescent="0.35">
      <c r="A97">
        <v>12</v>
      </c>
      <c r="B97" t="s">
        <v>558</v>
      </c>
      <c r="C97" t="s">
        <v>559</v>
      </c>
      <c r="D97" t="s">
        <v>538</v>
      </c>
      <c r="E97">
        <v>2500</v>
      </c>
      <c r="F97">
        <v>2535.1950000000002</v>
      </c>
      <c r="G97">
        <v>3.2311900000000001E-3</v>
      </c>
      <c r="H97">
        <v>7.0049999999999999</v>
      </c>
    </row>
    <row r="98" spans="1:9" x14ac:dyDescent="0.35">
      <c r="A98">
        <v>13</v>
      </c>
      <c r="B98" t="s">
        <v>560</v>
      </c>
      <c r="C98" t="s">
        <v>561</v>
      </c>
      <c r="D98" t="s">
        <v>535</v>
      </c>
      <c r="E98">
        <v>2500</v>
      </c>
      <c r="F98">
        <v>2534.2649999999999</v>
      </c>
      <c r="G98">
        <v>3.2299999999999998E-3</v>
      </c>
      <c r="H98">
        <v>7.0233999999999996</v>
      </c>
    </row>
    <row r="99" spans="1:9" x14ac:dyDescent="0.35">
      <c r="A99">
        <v>14</v>
      </c>
      <c r="B99" t="s">
        <v>562</v>
      </c>
      <c r="C99" t="s">
        <v>563</v>
      </c>
      <c r="D99" t="s">
        <v>538</v>
      </c>
      <c r="E99">
        <v>2500</v>
      </c>
      <c r="F99">
        <v>2532.1925000000001</v>
      </c>
      <c r="G99">
        <v>3.2273599999999999E-3</v>
      </c>
      <c r="H99">
        <v>6.8087999999999997</v>
      </c>
    </row>
    <row r="100" spans="1:9" x14ac:dyDescent="0.35">
      <c r="A100">
        <v>15</v>
      </c>
      <c r="B100" t="s">
        <v>564</v>
      </c>
      <c r="C100" t="s">
        <v>565</v>
      </c>
      <c r="D100" t="s">
        <v>538</v>
      </c>
      <c r="E100">
        <v>2500</v>
      </c>
      <c r="F100">
        <v>2530.12</v>
      </c>
      <c r="G100">
        <v>3.2247199999999999E-3</v>
      </c>
      <c r="H100">
        <v>6.9820000000000002</v>
      </c>
    </row>
    <row r="101" spans="1:9" x14ac:dyDescent="0.35">
      <c r="A101">
        <v>16</v>
      </c>
      <c r="B101" t="s">
        <v>566</v>
      </c>
      <c r="C101" t="s">
        <v>567</v>
      </c>
      <c r="D101" t="s">
        <v>535</v>
      </c>
      <c r="E101">
        <v>2500</v>
      </c>
      <c r="F101">
        <v>2527.7674999999999</v>
      </c>
      <c r="G101">
        <v>3.22172E-3</v>
      </c>
      <c r="H101">
        <v>6.7949999999999999</v>
      </c>
    </row>
    <row r="102" spans="1:9" x14ac:dyDescent="0.35">
      <c r="A102">
        <v>17</v>
      </c>
      <c r="B102" t="s">
        <v>568</v>
      </c>
      <c r="C102" t="s">
        <v>569</v>
      </c>
      <c r="D102" t="s">
        <v>570</v>
      </c>
      <c r="E102">
        <v>2500</v>
      </c>
      <c r="F102">
        <v>2516.9775</v>
      </c>
      <c r="G102">
        <v>3.2079700000000001E-3</v>
      </c>
      <c r="H102">
        <v>7.6367000000000003</v>
      </c>
    </row>
    <row r="103" spans="1:9" x14ac:dyDescent="0.35">
      <c r="A103">
        <v>18</v>
      </c>
      <c r="B103" t="s">
        <v>571</v>
      </c>
      <c r="C103" t="s">
        <v>572</v>
      </c>
      <c r="D103" t="s">
        <v>570</v>
      </c>
      <c r="E103">
        <v>2500</v>
      </c>
      <c r="F103">
        <v>2516.1025</v>
      </c>
      <c r="G103">
        <v>3.2068600000000002E-3</v>
      </c>
      <c r="H103">
        <v>7.2649999999999997</v>
      </c>
    </row>
    <row r="104" spans="1:9" x14ac:dyDescent="0.35">
      <c r="A104">
        <v>19</v>
      </c>
      <c r="B104" t="s">
        <v>573</v>
      </c>
      <c r="C104" t="s">
        <v>574</v>
      </c>
      <c r="D104" t="s">
        <v>535</v>
      </c>
      <c r="E104">
        <v>25</v>
      </c>
      <c r="F104">
        <v>2506.2600000000002</v>
      </c>
      <c r="G104">
        <v>3.1943100000000001E-3</v>
      </c>
      <c r="H104">
        <v>6.8891999999999998</v>
      </c>
      <c r="I104">
        <v>6.79</v>
      </c>
    </row>
    <row r="105" spans="1:9" x14ac:dyDescent="0.35">
      <c r="A105">
        <v>20</v>
      </c>
      <c r="B105" t="s">
        <v>575</v>
      </c>
      <c r="C105" t="s">
        <v>576</v>
      </c>
      <c r="D105" t="s">
        <v>538</v>
      </c>
      <c r="E105">
        <v>2000</v>
      </c>
      <c r="F105">
        <v>2023.19</v>
      </c>
      <c r="G105">
        <v>2.5786199999999998E-3</v>
      </c>
      <c r="H105">
        <v>7.0049999999999999</v>
      </c>
    </row>
    <row r="106" spans="1:9" x14ac:dyDescent="0.35">
      <c r="A106">
        <v>21</v>
      </c>
      <c r="B106" t="s">
        <v>577</v>
      </c>
      <c r="C106" t="s">
        <v>578</v>
      </c>
      <c r="D106" t="s">
        <v>535</v>
      </c>
      <c r="E106">
        <v>2000</v>
      </c>
      <c r="F106">
        <v>2015.454</v>
      </c>
      <c r="G106">
        <v>2.5687599999999998E-3</v>
      </c>
      <c r="H106">
        <v>6.74</v>
      </c>
    </row>
    <row r="107" spans="1:9" x14ac:dyDescent="0.35">
      <c r="A107">
        <v>22</v>
      </c>
      <c r="B107" t="s">
        <v>579</v>
      </c>
      <c r="C107" t="s">
        <v>580</v>
      </c>
      <c r="D107" t="s">
        <v>535</v>
      </c>
      <c r="E107">
        <v>1500</v>
      </c>
      <c r="F107">
        <v>1554.5550000000001</v>
      </c>
      <c r="G107">
        <v>1.9813299999999999E-3</v>
      </c>
      <c r="H107">
        <v>7.28</v>
      </c>
    </row>
    <row r="108" spans="1:9" x14ac:dyDescent="0.35">
      <c r="A108">
        <v>23</v>
      </c>
      <c r="B108" t="s">
        <v>581</v>
      </c>
      <c r="C108" t="s">
        <v>582</v>
      </c>
      <c r="D108" t="s">
        <v>535</v>
      </c>
      <c r="E108">
        <v>1500</v>
      </c>
      <c r="F108">
        <v>1528.068</v>
      </c>
      <c r="G108">
        <v>1.94757E-3</v>
      </c>
      <c r="H108">
        <v>6.8388</v>
      </c>
    </row>
    <row r="109" spans="1:9" x14ac:dyDescent="0.35">
      <c r="A109">
        <v>24</v>
      </c>
      <c r="B109" t="s">
        <v>583</v>
      </c>
      <c r="C109" t="s">
        <v>584</v>
      </c>
      <c r="D109" t="s">
        <v>545</v>
      </c>
      <c r="E109">
        <v>1500</v>
      </c>
      <c r="F109">
        <v>1520.8530000000001</v>
      </c>
      <c r="G109">
        <v>1.93838E-3</v>
      </c>
      <c r="H109">
        <v>7.77</v>
      </c>
    </row>
    <row r="110" spans="1:9" x14ac:dyDescent="0.35">
      <c r="A110">
        <v>25</v>
      </c>
      <c r="B110" t="s">
        <v>585</v>
      </c>
      <c r="C110" t="s">
        <v>586</v>
      </c>
      <c r="D110" t="s">
        <v>538</v>
      </c>
      <c r="E110">
        <v>1500</v>
      </c>
      <c r="F110">
        <v>1514.6295</v>
      </c>
      <c r="G110">
        <v>1.93045E-3</v>
      </c>
      <c r="H110">
        <v>6.9850000000000003</v>
      </c>
    </row>
    <row r="111" spans="1:9" x14ac:dyDescent="0.35">
      <c r="A111">
        <v>26</v>
      </c>
      <c r="B111" t="s">
        <v>587</v>
      </c>
      <c r="C111" t="s">
        <v>588</v>
      </c>
      <c r="D111" t="s">
        <v>535</v>
      </c>
      <c r="E111">
        <v>1500</v>
      </c>
      <c r="F111">
        <v>1508.0340000000001</v>
      </c>
      <c r="G111">
        <v>1.9220400000000001E-3</v>
      </c>
      <c r="H111">
        <v>6.7450000000000001</v>
      </c>
    </row>
    <row r="112" spans="1:9" x14ac:dyDescent="0.35">
      <c r="A112">
        <v>27</v>
      </c>
      <c r="B112" t="s">
        <v>589</v>
      </c>
      <c r="C112" t="s">
        <v>590</v>
      </c>
      <c r="D112" t="s">
        <v>538</v>
      </c>
      <c r="E112">
        <v>1500</v>
      </c>
      <c r="F112">
        <v>1498.2809999999999</v>
      </c>
      <c r="G112">
        <v>1.90961E-3</v>
      </c>
      <c r="H112">
        <v>6.78</v>
      </c>
    </row>
    <row r="113" spans="1:8" x14ac:dyDescent="0.35">
      <c r="A113">
        <v>28</v>
      </c>
      <c r="B113" t="s">
        <v>591</v>
      </c>
      <c r="C113" t="s">
        <v>592</v>
      </c>
      <c r="D113" t="s">
        <v>538</v>
      </c>
      <c r="E113">
        <v>1500</v>
      </c>
      <c r="F113">
        <v>1494.0284999999999</v>
      </c>
      <c r="G113">
        <v>1.90419E-3</v>
      </c>
      <c r="H113">
        <v>7.26</v>
      </c>
    </row>
    <row r="114" spans="1:8" x14ac:dyDescent="0.35">
      <c r="A114">
        <v>29</v>
      </c>
      <c r="B114" t="s">
        <v>593</v>
      </c>
      <c r="C114" t="s">
        <v>594</v>
      </c>
      <c r="D114" t="s">
        <v>538</v>
      </c>
      <c r="E114">
        <v>150</v>
      </c>
      <c r="F114">
        <v>1492.2149999999999</v>
      </c>
      <c r="G114">
        <v>1.9018800000000001E-3</v>
      </c>
      <c r="H114">
        <v>6.84</v>
      </c>
    </row>
    <row r="115" spans="1:8" x14ac:dyDescent="0.35">
      <c r="A115">
        <v>30</v>
      </c>
      <c r="B115" t="s">
        <v>595</v>
      </c>
      <c r="C115" t="s">
        <v>596</v>
      </c>
      <c r="D115" t="s">
        <v>597</v>
      </c>
      <c r="E115">
        <v>1400</v>
      </c>
      <c r="F115">
        <v>1399.3042</v>
      </c>
      <c r="G115">
        <v>1.7834599999999999E-3</v>
      </c>
      <c r="H115">
        <v>7.3240999999999996</v>
      </c>
    </row>
    <row r="116" spans="1:8" x14ac:dyDescent="0.35">
      <c r="A116">
        <v>31</v>
      </c>
      <c r="B116" t="s">
        <v>598</v>
      </c>
      <c r="C116" t="s">
        <v>599</v>
      </c>
      <c r="D116" t="s">
        <v>538</v>
      </c>
      <c r="E116">
        <v>2500</v>
      </c>
      <c r="F116">
        <v>1307.3724999999999</v>
      </c>
      <c r="G116">
        <v>1.66629E-3</v>
      </c>
      <c r="H116">
        <v>6.7568000000000001</v>
      </c>
    </row>
    <row r="117" spans="1:8" x14ac:dyDescent="0.35">
      <c r="A117">
        <v>32</v>
      </c>
      <c r="B117" t="s">
        <v>600</v>
      </c>
      <c r="C117" t="s">
        <v>601</v>
      </c>
      <c r="D117" t="s">
        <v>597</v>
      </c>
      <c r="E117">
        <v>1000</v>
      </c>
      <c r="F117">
        <v>1013.194</v>
      </c>
      <c r="G117">
        <v>1.2913499999999999E-3</v>
      </c>
      <c r="H117">
        <v>7.1849999999999996</v>
      </c>
    </row>
    <row r="118" spans="1:8" x14ac:dyDescent="0.35">
      <c r="A118">
        <v>33</v>
      </c>
      <c r="B118" t="s">
        <v>602</v>
      </c>
      <c r="C118" t="s">
        <v>603</v>
      </c>
      <c r="D118" t="s">
        <v>538</v>
      </c>
      <c r="E118">
        <v>1000</v>
      </c>
      <c r="F118">
        <v>1012.625</v>
      </c>
      <c r="G118">
        <v>1.2906199999999999E-3</v>
      </c>
      <c r="H118">
        <v>6.8288000000000002</v>
      </c>
    </row>
    <row r="119" spans="1:8" x14ac:dyDescent="0.35">
      <c r="A119">
        <v>34</v>
      </c>
      <c r="B119" t="s">
        <v>604</v>
      </c>
      <c r="C119" t="s">
        <v>605</v>
      </c>
      <c r="D119" t="s">
        <v>535</v>
      </c>
      <c r="E119">
        <v>1000</v>
      </c>
      <c r="F119">
        <v>1009.397</v>
      </c>
      <c r="G119">
        <v>1.28651E-3</v>
      </c>
      <c r="H119">
        <v>7.09</v>
      </c>
    </row>
    <row r="120" spans="1:8" x14ac:dyDescent="0.35">
      <c r="A120">
        <v>35</v>
      </c>
      <c r="B120" t="s">
        <v>606</v>
      </c>
      <c r="C120" t="s">
        <v>607</v>
      </c>
      <c r="D120" t="s">
        <v>538</v>
      </c>
      <c r="E120">
        <v>100</v>
      </c>
      <c r="F120">
        <v>1002.987</v>
      </c>
      <c r="G120">
        <v>1.27834E-3</v>
      </c>
      <c r="H120">
        <v>7</v>
      </c>
    </row>
    <row r="121" spans="1:8" x14ac:dyDescent="0.35">
      <c r="A121">
        <v>36</v>
      </c>
      <c r="B121" t="s">
        <v>608</v>
      </c>
      <c r="C121" t="s">
        <v>609</v>
      </c>
      <c r="D121" t="s">
        <v>535</v>
      </c>
      <c r="E121">
        <v>1000</v>
      </c>
      <c r="F121">
        <v>1002.751</v>
      </c>
      <c r="G121">
        <v>1.27804E-3</v>
      </c>
      <c r="H121">
        <v>6.8</v>
      </c>
    </row>
    <row r="122" spans="1:8" x14ac:dyDescent="0.35">
      <c r="A122">
        <v>37</v>
      </c>
      <c r="B122" t="s">
        <v>610</v>
      </c>
      <c r="C122" t="s">
        <v>611</v>
      </c>
      <c r="D122" t="s">
        <v>535</v>
      </c>
      <c r="E122">
        <v>1000</v>
      </c>
      <c r="F122">
        <v>1002.136</v>
      </c>
      <c r="G122">
        <v>1.2772599999999999E-3</v>
      </c>
      <c r="H122">
        <v>6.5250000000000004</v>
      </c>
    </row>
    <row r="123" spans="1:8" x14ac:dyDescent="0.35">
      <c r="A123">
        <v>38</v>
      </c>
      <c r="B123" t="s">
        <v>612</v>
      </c>
      <c r="C123" t="s">
        <v>613</v>
      </c>
      <c r="D123" t="s">
        <v>538</v>
      </c>
      <c r="E123">
        <v>1000</v>
      </c>
      <c r="F123">
        <v>1001.487</v>
      </c>
      <c r="G123">
        <v>1.2764300000000001E-3</v>
      </c>
      <c r="H123">
        <v>7.3075000000000001</v>
      </c>
    </row>
    <row r="124" spans="1:8" x14ac:dyDescent="0.35">
      <c r="A124">
        <v>39</v>
      </c>
      <c r="B124" t="s">
        <v>614</v>
      </c>
      <c r="C124" t="s">
        <v>615</v>
      </c>
      <c r="D124" t="s">
        <v>545</v>
      </c>
      <c r="E124">
        <v>1000</v>
      </c>
      <c r="F124">
        <v>1000.016</v>
      </c>
      <c r="G124">
        <v>1.2745499999999999E-3</v>
      </c>
      <c r="H124">
        <v>7.33</v>
      </c>
    </row>
    <row r="125" spans="1:8" x14ac:dyDescent="0.35">
      <c r="A125">
        <v>40</v>
      </c>
      <c r="B125" t="s">
        <v>616</v>
      </c>
      <c r="C125" t="s">
        <v>617</v>
      </c>
      <c r="D125" t="s">
        <v>538</v>
      </c>
      <c r="E125">
        <v>1000</v>
      </c>
      <c r="F125">
        <v>983.07399999999996</v>
      </c>
      <c r="G125">
        <v>1.25296E-3</v>
      </c>
      <c r="H125">
        <v>7.0137999999999998</v>
      </c>
    </row>
    <row r="126" spans="1:8" x14ac:dyDescent="0.35">
      <c r="C126" t="s">
        <v>139</v>
      </c>
      <c r="F126">
        <v>87668.287200000006</v>
      </c>
      <c r="G126">
        <v>0.11173614</v>
      </c>
    </row>
    <row r="128" spans="1:8" x14ac:dyDescent="0.35">
      <c r="C128" t="s">
        <v>152</v>
      </c>
    </row>
    <row r="129" spans="1:8" x14ac:dyDescent="0.35">
      <c r="C129" t="s">
        <v>139</v>
      </c>
      <c r="F129" t="s">
        <v>141</v>
      </c>
      <c r="G129">
        <v>0</v>
      </c>
    </row>
    <row r="131" spans="1:8" x14ac:dyDescent="0.35">
      <c r="C131" t="s">
        <v>153</v>
      </c>
    </row>
    <row r="132" spans="1:8" x14ac:dyDescent="0.35">
      <c r="A132">
        <v>1</v>
      </c>
      <c r="B132" t="s">
        <v>618</v>
      </c>
      <c r="C132" t="s">
        <v>619</v>
      </c>
      <c r="D132" t="s">
        <v>620</v>
      </c>
      <c r="E132">
        <v>25000000</v>
      </c>
      <c r="F132">
        <v>25715.4</v>
      </c>
      <c r="G132">
        <v>3.2775119999999998E-2</v>
      </c>
      <c r="H132">
        <v>6.7526999999999999</v>
      </c>
    </row>
    <row r="133" spans="1:8" x14ac:dyDescent="0.35">
      <c r="A133">
        <v>2</v>
      </c>
      <c r="B133" t="s">
        <v>621</v>
      </c>
      <c r="C133" t="s">
        <v>622</v>
      </c>
      <c r="D133" t="s">
        <v>620</v>
      </c>
      <c r="E133">
        <v>13200000</v>
      </c>
      <c r="F133">
        <v>13085.9388</v>
      </c>
      <c r="G133">
        <v>1.6678459999999999E-2</v>
      </c>
      <c r="H133">
        <v>6.7084999999999999</v>
      </c>
    </row>
    <row r="134" spans="1:8" x14ac:dyDescent="0.35">
      <c r="A134">
        <v>3</v>
      </c>
      <c r="B134" t="s">
        <v>623</v>
      </c>
      <c r="C134" t="s">
        <v>624</v>
      </c>
      <c r="D134" t="s">
        <v>620</v>
      </c>
      <c r="E134">
        <v>5000000</v>
      </c>
      <c r="F134">
        <v>5124.8649999999998</v>
      </c>
      <c r="G134">
        <v>6.5318099999999999E-3</v>
      </c>
      <c r="H134">
        <v>7.0579000000000001</v>
      </c>
    </row>
    <row r="135" spans="1:8" x14ac:dyDescent="0.35">
      <c r="A135">
        <v>4</v>
      </c>
      <c r="B135" t="s">
        <v>625</v>
      </c>
      <c r="C135" t="s">
        <v>626</v>
      </c>
      <c r="D135" t="s">
        <v>620</v>
      </c>
      <c r="E135">
        <v>5000000</v>
      </c>
      <c r="F135">
        <v>5044.8149999999996</v>
      </c>
      <c r="G135">
        <v>6.4297800000000004E-3</v>
      </c>
      <c r="H135">
        <v>6.7618999999999998</v>
      </c>
    </row>
    <row r="136" spans="1:8" x14ac:dyDescent="0.35">
      <c r="A136">
        <v>5</v>
      </c>
      <c r="B136" t="s">
        <v>627</v>
      </c>
      <c r="C136" t="s">
        <v>628</v>
      </c>
      <c r="D136" t="s">
        <v>620</v>
      </c>
      <c r="E136">
        <v>3000000</v>
      </c>
      <c r="F136">
        <v>3074.703</v>
      </c>
      <c r="G136">
        <v>3.91881E-3</v>
      </c>
      <c r="H136">
        <v>6.9814999999999996</v>
      </c>
    </row>
    <row r="137" spans="1:8" x14ac:dyDescent="0.35">
      <c r="A137">
        <v>6</v>
      </c>
      <c r="B137" t="s">
        <v>629</v>
      </c>
      <c r="C137" t="s">
        <v>630</v>
      </c>
      <c r="D137" t="s">
        <v>620</v>
      </c>
      <c r="E137">
        <v>2500000</v>
      </c>
      <c r="F137">
        <v>2578.8850000000002</v>
      </c>
      <c r="G137">
        <v>3.2868699999999999E-3</v>
      </c>
      <c r="H137">
        <v>6.117</v>
      </c>
    </row>
    <row r="138" spans="1:8" x14ac:dyDescent="0.35">
      <c r="A138">
        <v>7</v>
      </c>
      <c r="B138" t="s">
        <v>631</v>
      </c>
      <c r="C138" t="s">
        <v>632</v>
      </c>
      <c r="D138" t="s">
        <v>620</v>
      </c>
      <c r="E138">
        <v>2500000</v>
      </c>
      <c r="F138">
        <v>2504.4225000000001</v>
      </c>
      <c r="G138">
        <v>3.1919700000000001E-3</v>
      </c>
      <c r="H138">
        <v>7.4173999999999998</v>
      </c>
    </row>
    <row r="139" spans="1:8" x14ac:dyDescent="0.35">
      <c r="A139">
        <v>8</v>
      </c>
      <c r="B139" t="s">
        <v>633</v>
      </c>
      <c r="C139" t="s">
        <v>634</v>
      </c>
      <c r="D139" t="s">
        <v>620</v>
      </c>
      <c r="E139">
        <v>2500000</v>
      </c>
      <c r="F139">
        <v>2492.48</v>
      </c>
      <c r="G139">
        <v>3.1767499999999999E-3</v>
      </c>
      <c r="H139">
        <v>7.4978999999999996</v>
      </c>
    </row>
    <row r="140" spans="1:8" x14ac:dyDescent="0.35">
      <c r="A140">
        <v>9</v>
      </c>
      <c r="B140" t="s">
        <v>635</v>
      </c>
      <c r="C140" t="s">
        <v>636</v>
      </c>
      <c r="D140" t="s">
        <v>620</v>
      </c>
      <c r="E140">
        <v>1500000</v>
      </c>
      <c r="F140">
        <v>1536.75</v>
      </c>
      <c r="G140">
        <v>1.9586400000000002E-3</v>
      </c>
      <c r="H140">
        <v>6.5846</v>
      </c>
    </row>
    <row r="141" spans="1:8" x14ac:dyDescent="0.35">
      <c r="A141">
        <v>10</v>
      </c>
      <c r="B141" t="s">
        <v>637</v>
      </c>
      <c r="C141" t="s">
        <v>638</v>
      </c>
      <c r="D141" t="s">
        <v>620</v>
      </c>
      <c r="E141">
        <v>1500000</v>
      </c>
      <c r="F141">
        <v>1512</v>
      </c>
      <c r="G141">
        <v>1.92709E-3</v>
      </c>
      <c r="H141">
        <v>6.0799681990945214</v>
      </c>
    </row>
    <row r="142" spans="1:8" x14ac:dyDescent="0.35">
      <c r="A142">
        <v>11</v>
      </c>
      <c r="B142" t="s">
        <v>639</v>
      </c>
      <c r="C142" t="s">
        <v>640</v>
      </c>
      <c r="D142" t="s">
        <v>620</v>
      </c>
      <c r="E142">
        <v>1270000</v>
      </c>
      <c r="F142">
        <v>1279.1236799999999</v>
      </c>
      <c r="G142">
        <v>1.63029E-3</v>
      </c>
      <c r="H142">
        <v>7.4534000000000002</v>
      </c>
    </row>
    <row r="143" spans="1:8" x14ac:dyDescent="0.35">
      <c r="A143">
        <v>12</v>
      </c>
      <c r="B143" t="s">
        <v>641</v>
      </c>
      <c r="C143" t="s">
        <v>642</v>
      </c>
      <c r="D143" t="s">
        <v>620</v>
      </c>
      <c r="E143">
        <v>1000000</v>
      </c>
      <c r="F143">
        <v>1021.972</v>
      </c>
      <c r="G143">
        <v>1.30254E-3</v>
      </c>
      <c r="H143">
        <v>7.5395000000000003</v>
      </c>
    </row>
    <row r="144" spans="1:8" x14ac:dyDescent="0.35">
      <c r="C144" t="s">
        <v>139</v>
      </c>
      <c r="F144">
        <v>64971.354979999996</v>
      </c>
      <c r="G144">
        <v>8.2808129999999994E-2</v>
      </c>
    </row>
    <row r="146" spans="1:8" x14ac:dyDescent="0.35">
      <c r="C146" t="s">
        <v>154</v>
      </c>
    </row>
    <row r="147" spans="1:8" x14ac:dyDescent="0.35">
      <c r="C147" t="s">
        <v>139</v>
      </c>
      <c r="F147" t="s">
        <v>141</v>
      </c>
      <c r="G147">
        <v>0</v>
      </c>
    </row>
    <row r="149" spans="1:8" x14ac:dyDescent="0.35">
      <c r="C149" t="s">
        <v>155</v>
      </c>
      <c r="F149">
        <v>152639.64218</v>
      </c>
      <c r="G149">
        <v>0.19454426999999999</v>
      </c>
    </row>
    <row r="151" spans="1:8" x14ac:dyDescent="0.35">
      <c r="C151" t="s">
        <v>156</v>
      </c>
    </row>
    <row r="152" spans="1:8" x14ac:dyDescent="0.35">
      <c r="C152" t="s">
        <v>157</v>
      </c>
    </row>
    <row r="153" spans="1:8" x14ac:dyDescent="0.35">
      <c r="A153">
        <v>1</v>
      </c>
      <c r="B153" t="s">
        <v>643</v>
      </c>
      <c r="C153" t="s">
        <v>644</v>
      </c>
      <c r="D153" t="s">
        <v>645</v>
      </c>
      <c r="E153">
        <v>1000</v>
      </c>
      <c r="F153">
        <v>4972.41</v>
      </c>
      <c r="G153">
        <v>6.3375000000000003E-3</v>
      </c>
      <c r="H153">
        <v>5.9566999999999997</v>
      </c>
    </row>
    <row r="154" spans="1:8" x14ac:dyDescent="0.35">
      <c r="A154">
        <v>2</v>
      </c>
      <c r="B154" t="s">
        <v>646</v>
      </c>
      <c r="C154" t="s">
        <v>647</v>
      </c>
      <c r="D154" t="s">
        <v>645</v>
      </c>
      <c r="E154">
        <v>1000</v>
      </c>
      <c r="F154">
        <v>4950.3050000000003</v>
      </c>
      <c r="G154">
        <v>6.3093300000000001E-3</v>
      </c>
      <c r="H154">
        <v>5.91</v>
      </c>
    </row>
    <row r="155" spans="1:8" x14ac:dyDescent="0.35">
      <c r="A155">
        <v>3</v>
      </c>
      <c r="B155" t="s">
        <v>648</v>
      </c>
      <c r="C155" t="s">
        <v>649</v>
      </c>
      <c r="D155" t="s">
        <v>645</v>
      </c>
      <c r="E155">
        <v>500</v>
      </c>
      <c r="F155">
        <v>2434.4074999999998</v>
      </c>
      <c r="G155">
        <v>3.1027300000000002E-3</v>
      </c>
      <c r="H155">
        <v>6.3449999999999998</v>
      </c>
    </row>
    <row r="156" spans="1:8" x14ac:dyDescent="0.35">
      <c r="A156">
        <v>4</v>
      </c>
      <c r="B156" t="s">
        <v>650</v>
      </c>
      <c r="C156" t="s">
        <v>651</v>
      </c>
      <c r="D156" t="s">
        <v>645</v>
      </c>
      <c r="E156">
        <v>100</v>
      </c>
      <c r="F156">
        <v>497.26249999999999</v>
      </c>
      <c r="G156">
        <v>6.3378000000000002E-4</v>
      </c>
      <c r="H156">
        <v>5.91</v>
      </c>
    </row>
    <row r="157" spans="1:8" x14ac:dyDescent="0.35">
      <c r="C157" t="s">
        <v>139</v>
      </c>
      <c r="F157">
        <v>12854.385</v>
      </c>
      <c r="G157">
        <v>1.638334E-2</v>
      </c>
    </row>
    <row r="159" spans="1:8" x14ac:dyDescent="0.35">
      <c r="C159" t="s">
        <v>158</v>
      </c>
    </row>
    <row r="160" spans="1:8" x14ac:dyDescent="0.35">
      <c r="A160">
        <v>1</v>
      </c>
      <c r="B160" t="s">
        <v>652</v>
      </c>
      <c r="C160" t="s">
        <v>653</v>
      </c>
      <c r="D160" t="s">
        <v>645</v>
      </c>
      <c r="E160">
        <v>500</v>
      </c>
      <c r="F160">
        <v>2434.4850000000001</v>
      </c>
      <c r="G160">
        <v>3.10283E-3</v>
      </c>
      <c r="H160">
        <v>6.4200999999999997</v>
      </c>
    </row>
    <row r="161" spans="1:8" x14ac:dyDescent="0.35">
      <c r="C161" t="s">
        <v>139</v>
      </c>
      <c r="F161">
        <v>2434.4850000000001</v>
      </c>
      <c r="G161">
        <v>3.10283E-3</v>
      </c>
    </row>
    <row r="163" spans="1:8" x14ac:dyDescent="0.35">
      <c r="C163" t="s">
        <v>159</v>
      </c>
    </row>
    <row r="164" spans="1:8" x14ac:dyDescent="0.35">
      <c r="C164" t="s">
        <v>139</v>
      </c>
      <c r="F164" t="s">
        <v>141</v>
      </c>
      <c r="G164">
        <v>0</v>
      </c>
    </row>
    <row r="166" spans="1:8" x14ac:dyDescent="0.35">
      <c r="C166" t="s">
        <v>160</v>
      </c>
    </row>
    <row r="167" spans="1:8" x14ac:dyDescent="0.35">
      <c r="A167">
        <v>1</v>
      </c>
      <c r="C167" t="s">
        <v>161</v>
      </c>
      <c r="F167">
        <v>24557.617012032999</v>
      </c>
      <c r="G167">
        <v>3.1299489999999999E-2</v>
      </c>
      <c r="H167">
        <v>5.42</v>
      </c>
    </row>
    <row r="168" spans="1:8" x14ac:dyDescent="0.35">
      <c r="C168" t="s">
        <v>139</v>
      </c>
      <c r="F168">
        <v>24557.617012032999</v>
      </c>
      <c r="G168">
        <v>3.1299489999999999E-2</v>
      </c>
    </row>
    <row r="170" spans="1:8" x14ac:dyDescent="0.35">
      <c r="C170" t="s">
        <v>162</v>
      </c>
      <c r="F170">
        <v>39846.487012033002</v>
      </c>
      <c r="G170">
        <v>5.0785660000000003E-2</v>
      </c>
    </row>
    <row r="172" spans="1:8" x14ac:dyDescent="0.35">
      <c r="C172" t="s">
        <v>163</v>
      </c>
    </row>
    <row r="173" spans="1:8" x14ac:dyDescent="0.35">
      <c r="C173" t="s">
        <v>164</v>
      </c>
    </row>
    <row r="174" spans="1:8" x14ac:dyDescent="0.35">
      <c r="A174">
        <v>1</v>
      </c>
      <c r="B174" t="s">
        <v>344</v>
      </c>
      <c r="C174" t="s">
        <v>383</v>
      </c>
      <c r="E174">
        <v>938470.15500000003</v>
      </c>
      <c r="F174">
        <v>22513.456060536999</v>
      </c>
      <c r="G174">
        <v>2.869414E-2</v>
      </c>
    </row>
    <row r="175" spans="1:8" x14ac:dyDescent="0.35">
      <c r="A175">
        <v>2</v>
      </c>
      <c r="B175" t="s">
        <v>478</v>
      </c>
      <c r="C175" t="s">
        <v>654</v>
      </c>
      <c r="E175">
        <v>69857221.264300004</v>
      </c>
      <c r="F175">
        <v>10894.163798946</v>
      </c>
      <c r="G175">
        <v>1.388497E-2</v>
      </c>
    </row>
    <row r="176" spans="1:8" x14ac:dyDescent="0.35">
      <c r="C176" t="s">
        <v>139</v>
      </c>
      <c r="F176">
        <v>33407.619859482998</v>
      </c>
      <c r="G176">
        <v>4.2579110000000003E-2</v>
      </c>
    </row>
    <row r="178" spans="2:7" x14ac:dyDescent="0.35">
      <c r="C178" t="s">
        <v>165</v>
      </c>
    </row>
    <row r="179" spans="2:7" x14ac:dyDescent="0.35">
      <c r="C179" t="s">
        <v>166</v>
      </c>
    </row>
    <row r="180" spans="2:7" x14ac:dyDescent="0.35">
      <c r="C180" t="s">
        <v>139</v>
      </c>
      <c r="F180" t="s">
        <v>141</v>
      </c>
      <c r="G180">
        <v>0</v>
      </c>
    </row>
    <row r="182" spans="2:7" x14ac:dyDescent="0.35">
      <c r="C182" t="s">
        <v>167</v>
      </c>
    </row>
    <row r="183" spans="2:7" x14ac:dyDescent="0.35">
      <c r="C183" t="s">
        <v>139</v>
      </c>
      <c r="F183" t="s">
        <v>141</v>
      </c>
      <c r="G183">
        <v>0</v>
      </c>
    </row>
    <row r="185" spans="2:7" x14ac:dyDescent="0.35">
      <c r="C185" t="s">
        <v>655</v>
      </c>
      <c r="F185">
        <v>1601.90413023</v>
      </c>
      <c r="G185">
        <v>2.0416800000000001E-3</v>
      </c>
    </row>
    <row r="186" spans="2:7" x14ac:dyDescent="0.35">
      <c r="C186" t="s">
        <v>169</v>
      </c>
      <c r="F186">
        <f>F185+F176+F170+F149+F82</f>
        <v>784601.25818104611</v>
      </c>
      <c r="G186">
        <f>G185+G176+G170+G149+G82</f>
        <v>0.99999444196627207</v>
      </c>
    </row>
    <row r="188" spans="2:7" x14ac:dyDescent="0.35">
      <c r="B188" t="s">
        <v>170</v>
      </c>
    </row>
    <row r="189" spans="2:7" x14ac:dyDescent="0.35">
      <c r="B189" t="s">
        <v>171</v>
      </c>
    </row>
    <row r="190" spans="2:7" x14ac:dyDescent="0.35">
      <c r="B190" t="s">
        <v>172</v>
      </c>
    </row>
    <row r="191" spans="2:7" x14ac:dyDescent="0.35">
      <c r="B191" t="s">
        <v>173</v>
      </c>
    </row>
    <row r="192" spans="2:7" x14ac:dyDescent="0.35">
      <c r="B192" t="s">
        <v>174</v>
      </c>
    </row>
    <row r="194" spans="2:4" x14ac:dyDescent="0.35">
      <c r="B194" t="s">
        <v>175</v>
      </c>
    </row>
    <row r="195" spans="2:4" x14ac:dyDescent="0.35">
      <c r="B195" t="s">
        <v>176</v>
      </c>
      <c r="D195" t="s">
        <v>656</v>
      </c>
    </row>
    <row r="196" spans="2:4" x14ac:dyDescent="0.35">
      <c r="B196" t="s">
        <v>178</v>
      </c>
      <c r="D196" t="str">
        <f>"Rs. "&amp;TEXT(F67,"0.00")&amp;" lacs/ #"</f>
        <v>Rs. 4.44 lacs/ #</v>
      </c>
    </row>
    <row r="197" spans="2:4" x14ac:dyDescent="0.35">
      <c r="B197" t="s">
        <v>179</v>
      </c>
    </row>
    <row r="198" spans="2:4" x14ac:dyDescent="0.35">
      <c r="C198" t="s">
        <v>180</v>
      </c>
      <c r="D198" t="s">
        <v>181</v>
      </c>
    </row>
    <row r="199" spans="2:4" x14ac:dyDescent="0.35">
      <c r="B199" t="s">
        <v>182</v>
      </c>
      <c r="C199" s="1">
        <v>45991</v>
      </c>
      <c r="D199" s="1">
        <v>46022</v>
      </c>
    </row>
    <row r="200" spans="2:4" x14ac:dyDescent="0.35">
      <c r="B200" t="s">
        <v>183</v>
      </c>
      <c r="C200">
        <v>192.0745</v>
      </c>
      <c r="D200">
        <v>190.32259999999999</v>
      </c>
    </row>
    <row r="201" spans="2:4" x14ac:dyDescent="0.35">
      <c r="B201" t="s">
        <v>657</v>
      </c>
      <c r="C201">
        <v>43.146999999999998</v>
      </c>
      <c r="D201">
        <v>42.4009</v>
      </c>
    </row>
    <row r="202" spans="2:4" x14ac:dyDescent="0.35">
      <c r="B202" t="s">
        <v>185</v>
      </c>
      <c r="C202">
        <v>166.8905</v>
      </c>
      <c r="D202">
        <v>165.2157</v>
      </c>
    </row>
    <row r="203" spans="2:4" x14ac:dyDescent="0.35">
      <c r="B203" t="s">
        <v>658</v>
      </c>
      <c r="C203">
        <v>27.831299999999999</v>
      </c>
      <c r="D203">
        <v>27.3003</v>
      </c>
    </row>
    <row r="205" spans="2:4" x14ac:dyDescent="0.35">
      <c r="B205" t="s">
        <v>187</v>
      </c>
    </row>
    <row r="206" spans="2:4" x14ac:dyDescent="0.35">
      <c r="B206" t="s">
        <v>182</v>
      </c>
      <c r="C206" t="s">
        <v>659</v>
      </c>
      <c r="D206" t="s">
        <v>660</v>
      </c>
    </row>
    <row r="207" spans="2:4" x14ac:dyDescent="0.35">
      <c r="B207" t="s">
        <v>657</v>
      </c>
      <c r="C207">
        <v>0.35</v>
      </c>
      <c r="D207">
        <v>0.35</v>
      </c>
    </row>
    <row r="208" spans="2:4" x14ac:dyDescent="0.35">
      <c r="B208" t="s">
        <v>658</v>
      </c>
      <c r="C208">
        <v>0.25</v>
      </c>
      <c r="D208">
        <v>0.25</v>
      </c>
    </row>
    <row r="210" spans="2:10" x14ac:dyDescent="0.35">
      <c r="B210" t="s">
        <v>188</v>
      </c>
      <c r="D210" t="s">
        <v>177</v>
      </c>
    </row>
    <row r="211" spans="2:10" x14ac:dyDescent="0.35">
      <c r="B211" t="s">
        <v>189</v>
      </c>
      <c r="D211" t="s">
        <v>177</v>
      </c>
    </row>
    <row r="212" spans="2:10" x14ac:dyDescent="0.35">
      <c r="B212" t="s">
        <v>190</v>
      </c>
      <c r="D212" t="s">
        <v>177</v>
      </c>
    </row>
    <row r="213" spans="2:10" x14ac:dyDescent="0.35">
      <c r="B213" t="s">
        <v>191</v>
      </c>
      <c r="D213">
        <v>1.657999850923547</v>
      </c>
    </row>
    <row r="215" spans="2:10" x14ac:dyDescent="0.35">
      <c r="B215" t="s">
        <v>661</v>
      </c>
    </row>
    <row r="216" spans="2:10" x14ac:dyDescent="0.35">
      <c r="B216" t="s">
        <v>662</v>
      </c>
      <c r="C216" t="s">
        <v>663</v>
      </c>
      <c r="D216" t="s">
        <v>664</v>
      </c>
      <c r="G216" t="s">
        <v>665</v>
      </c>
    </row>
    <row r="217" spans="2:10" x14ac:dyDescent="0.35">
      <c r="D217" t="s">
        <v>666</v>
      </c>
      <c r="E217" t="s">
        <v>667</v>
      </c>
      <c r="F217" t="s">
        <v>668</v>
      </c>
      <c r="G217" t="s">
        <v>669</v>
      </c>
      <c r="J217" t="s">
        <v>670</v>
      </c>
    </row>
    <row r="218" spans="2:10" x14ac:dyDescent="0.35">
      <c r="G218" t="s">
        <v>671</v>
      </c>
      <c r="H218" t="s">
        <v>672</v>
      </c>
    </row>
    <row r="219" spans="2:10" x14ac:dyDescent="0.35">
      <c r="B219" t="s">
        <v>673</v>
      </c>
      <c r="C219" t="s">
        <v>674</v>
      </c>
      <c r="D219">
        <v>977.7</v>
      </c>
      <c r="E219">
        <v>22.3</v>
      </c>
      <c r="F219">
        <f>D219+E219</f>
        <v>1000</v>
      </c>
      <c r="G219">
        <v>42.319693430999997</v>
      </c>
      <c r="H219">
        <v>26.66</v>
      </c>
      <c r="J219">
        <f>G219+H219</f>
        <v>68.979693431000001</v>
      </c>
    </row>
    <row r="220" spans="2:10" x14ac:dyDescent="0.35">
      <c r="B220" t="s">
        <v>675</v>
      </c>
    </row>
    <row r="221" spans="2:10" x14ac:dyDescent="0.35">
      <c r="B221" t="s">
        <v>676</v>
      </c>
    </row>
    <row r="222" spans="2:10" x14ac:dyDescent="0.35">
      <c r="B222" t="s">
        <v>677</v>
      </c>
    </row>
    <row r="224" spans="2:10" x14ac:dyDescent="0.35">
      <c r="B224" t="s">
        <v>678</v>
      </c>
    </row>
    <row r="226" spans="2:7" x14ac:dyDescent="0.35">
      <c r="B226" t="s">
        <v>679</v>
      </c>
    </row>
    <row r="228" spans="2:7" x14ac:dyDescent="0.35">
      <c r="B228" t="s">
        <v>662</v>
      </c>
      <c r="C228" t="s">
        <v>663</v>
      </c>
      <c r="D228" t="s">
        <v>680</v>
      </c>
      <c r="F228" t="s">
        <v>681</v>
      </c>
    </row>
    <row r="229" spans="2:7" x14ac:dyDescent="0.35">
      <c r="B229" t="s">
        <v>682</v>
      </c>
      <c r="C229" t="s">
        <v>683</v>
      </c>
      <c r="D229">
        <v>0</v>
      </c>
      <c r="F229">
        <v>0</v>
      </c>
    </row>
    <row r="230" spans="2:7" x14ac:dyDescent="0.35">
      <c r="B230" t="s">
        <v>684</v>
      </c>
    </row>
    <row r="231" spans="2:7" x14ac:dyDescent="0.35">
      <c r="B231" t="s">
        <v>662</v>
      </c>
      <c r="C231" t="s">
        <v>663</v>
      </c>
      <c r="D231" t="s">
        <v>685</v>
      </c>
    </row>
    <row r="232" spans="2:7" x14ac:dyDescent="0.35">
      <c r="D232" t="s">
        <v>686</v>
      </c>
      <c r="E232" t="s">
        <v>687</v>
      </c>
      <c r="F232" t="s">
        <v>688</v>
      </c>
      <c r="G232" t="s">
        <v>689</v>
      </c>
    </row>
    <row r="233" spans="2:7" x14ac:dyDescent="0.35">
      <c r="B233" t="s">
        <v>682</v>
      </c>
      <c r="C233" t="s">
        <v>683</v>
      </c>
      <c r="D233">
        <v>700</v>
      </c>
      <c r="E233">
        <v>24.098358000000001</v>
      </c>
      <c r="F233">
        <v>724.09835799999996</v>
      </c>
      <c r="G233">
        <f>F233/F186</f>
        <v>9.2288707219089731E-4</v>
      </c>
    </row>
    <row r="234" spans="2:7" x14ac:dyDescent="0.35">
      <c r="B234" t="s">
        <v>690</v>
      </c>
    </row>
    <row r="236" spans="2:7" x14ac:dyDescent="0.35">
      <c r="B236" t="s">
        <v>691</v>
      </c>
    </row>
    <row r="237" spans="2:7" x14ac:dyDescent="0.35">
      <c r="B237" t="s">
        <v>692</v>
      </c>
      <c r="D237" t="s">
        <v>484</v>
      </c>
    </row>
    <row r="238" spans="2:7" x14ac:dyDescent="0.35">
      <c r="B238" t="s">
        <v>693</v>
      </c>
    </row>
    <row r="240" spans="2:7" x14ac:dyDescent="0.35">
      <c r="B240" t="s">
        <v>694</v>
      </c>
      <c r="D240">
        <v>6.3194298066588068</v>
      </c>
    </row>
    <row r="242" spans="2:4" x14ac:dyDescent="0.35">
      <c r="B242" t="s">
        <v>695</v>
      </c>
      <c r="D242">
        <v>3.141205482653008</v>
      </c>
    </row>
    <row r="243" spans="2:4" x14ac:dyDescent="0.35">
      <c r="B243" t="s">
        <v>696</v>
      </c>
      <c r="D243">
        <v>4.4298038407943734</v>
      </c>
    </row>
    <row r="245" spans="2:4" x14ac:dyDescent="0.35">
      <c r="B245" t="s">
        <v>697</v>
      </c>
      <c r="D245" t="s">
        <v>698</v>
      </c>
    </row>
    <row r="246" spans="2:4" x14ac:dyDescent="0.35">
      <c r="B246" t="s">
        <v>699</v>
      </c>
    </row>
    <row r="248" spans="2:4" x14ac:dyDescent="0.35">
      <c r="B248" t="s">
        <v>192</v>
      </c>
    </row>
    <row r="253" spans="2:4" x14ac:dyDescent="0.35">
      <c r="B253" t="s">
        <v>193</v>
      </c>
    </row>
    <row r="254" spans="2:4" x14ac:dyDescent="0.35">
      <c r="B254" t="s">
        <v>700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17"/>
  <sheetViews>
    <sheetView workbookViewId="0"/>
  </sheetViews>
  <sheetFormatPr defaultRowHeight="14.5" x14ac:dyDescent="0.35"/>
  <sheetData>
    <row r="1" spans="1:9" x14ac:dyDescent="0.35">
      <c r="A1" t="s">
        <v>0</v>
      </c>
      <c r="I1" t="s">
        <v>1</v>
      </c>
    </row>
    <row r="2" spans="1:9" x14ac:dyDescent="0.35">
      <c r="A2" t="s">
        <v>701</v>
      </c>
    </row>
    <row r="3" spans="1:9" x14ac:dyDescent="0.35">
      <c r="A3" t="s">
        <v>3</v>
      </c>
    </row>
    <row r="4" spans="1:9" x14ac:dyDescent="0.35">
      <c r="A4" t="s">
        <v>4</v>
      </c>
      <c r="B4" t="s">
        <v>5</v>
      </c>
      <c r="C4" t="s">
        <v>6</v>
      </c>
      <c r="D4" t="s">
        <v>7</v>
      </c>
      <c r="E4" t="s">
        <v>8</v>
      </c>
      <c r="F4" t="s">
        <v>9</v>
      </c>
      <c r="G4" t="s">
        <v>10</v>
      </c>
      <c r="H4" t="s">
        <v>702</v>
      </c>
    </row>
    <row r="5" spans="1:9" x14ac:dyDescent="0.35">
      <c r="C5" t="s">
        <v>12</v>
      </c>
    </row>
    <row r="6" spans="1:9" x14ac:dyDescent="0.35">
      <c r="C6" t="s">
        <v>13</v>
      </c>
    </row>
    <row r="7" spans="1:9" x14ac:dyDescent="0.35">
      <c r="A7">
        <v>1</v>
      </c>
      <c r="B7" t="s">
        <v>20</v>
      </c>
      <c r="C7" t="s">
        <v>21</v>
      </c>
      <c r="D7" t="s">
        <v>22</v>
      </c>
      <c r="E7">
        <v>186500</v>
      </c>
      <c r="F7">
        <v>2928.7959999999998</v>
      </c>
      <c r="G7">
        <v>9.1125819999999996E-2</v>
      </c>
    </row>
    <row r="8" spans="1:9" x14ac:dyDescent="0.35">
      <c r="A8">
        <v>2</v>
      </c>
      <c r="B8" t="s">
        <v>39</v>
      </c>
      <c r="C8" t="s">
        <v>40</v>
      </c>
      <c r="D8" t="s">
        <v>38</v>
      </c>
      <c r="E8">
        <v>175000</v>
      </c>
      <c r="F8">
        <v>2350.0749999999998</v>
      </c>
      <c r="G8">
        <v>7.311964E-2</v>
      </c>
    </row>
    <row r="9" spans="1:9" x14ac:dyDescent="0.35">
      <c r="A9">
        <v>3</v>
      </c>
      <c r="B9" t="s">
        <v>703</v>
      </c>
      <c r="C9" t="s">
        <v>704</v>
      </c>
      <c r="D9" t="s">
        <v>493</v>
      </c>
      <c r="E9">
        <v>467200</v>
      </c>
      <c r="F9">
        <v>1882.816</v>
      </c>
      <c r="G9">
        <v>5.8581460000000002E-2</v>
      </c>
    </row>
    <row r="10" spans="1:9" x14ac:dyDescent="0.35">
      <c r="A10">
        <v>4</v>
      </c>
      <c r="B10" t="s">
        <v>350</v>
      </c>
      <c r="C10" t="s">
        <v>351</v>
      </c>
      <c r="D10" t="s">
        <v>38</v>
      </c>
      <c r="E10">
        <v>143550</v>
      </c>
      <c r="F10">
        <v>1422.8676</v>
      </c>
      <c r="G10">
        <v>4.4270740000000003E-2</v>
      </c>
    </row>
    <row r="11" spans="1:9" x14ac:dyDescent="0.35">
      <c r="A11">
        <v>5</v>
      </c>
      <c r="B11" t="s">
        <v>352</v>
      </c>
      <c r="C11" t="s">
        <v>353</v>
      </c>
      <c r="D11" t="s">
        <v>38</v>
      </c>
      <c r="E11">
        <v>108125</v>
      </c>
      <c r="F11">
        <v>1372.5387499999999</v>
      </c>
      <c r="G11">
        <v>4.2704819999999998E-2</v>
      </c>
    </row>
    <row r="12" spans="1:9" x14ac:dyDescent="0.35">
      <c r="A12">
        <v>6</v>
      </c>
      <c r="B12" t="s">
        <v>366</v>
      </c>
      <c r="C12" t="s">
        <v>367</v>
      </c>
      <c r="D12" t="s">
        <v>206</v>
      </c>
      <c r="E12">
        <v>125250</v>
      </c>
      <c r="F12">
        <v>1235.9670000000001</v>
      </c>
      <c r="G12">
        <v>3.845556E-2</v>
      </c>
    </row>
    <row r="13" spans="1:9" x14ac:dyDescent="0.35">
      <c r="A13">
        <v>7</v>
      </c>
      <c r="B13" t="s">
        <v>705</v>
      </c>
      <c r="C13" t="s">
        <v>706</v>
      </c>
      <c r="D13" t="s">
        <v>707</v>
      </c>
      <c r="E13">
        <v>197800</v>
      </c>
      <c r="F13">
        <v>1195.5032000000001</v>
      </c>
      <c r="G13">
        <v>3.719658E-2</v>
      </c>
    </row>
    <row r="14" spans="1:9" x14ac:dyDescent="0.35">
      <c r="A14">
        <v>8</v>
      </c>
      <c r="B14" t="s">
        <v>36</v>
      </c>
      <c r="C14" t="s">
        <v>37</v>
      </c>
      <c r="D14" t="s">
        <v>38</v>
      </c>
      <c r="E14">
        <v>114750</v>
      </c>
      <c r="F14">
        <v>1127.0744999999999</v>
      </c>
      <c r="G14">
        <v>3.5067510000000003E-2</v>
      </c>
    </row>
    <row r="15" spans="1:9" x14ac:dyDescent="0.35">
      <c r="A15">
        <v>9</v>
      </c>
      <c r="B15" t="s">
        <v>356</v>
      </c>
      <c r="C15" t="s">
        <v>357</v>
      </c>
      <c r="D15" t="s">
        <v>38</v>
      </c>
      <c r="E15">
        <v>42800</v>
      </c>
      <c r="F15">
        <v>942.07079999999996</v>
      </c>
      <c r="G15">
        <v>2.931135E-2</v>
      </c>
    </row>
    <row r="16" spans="1:9" x14ac:dyDescent="0.35">
      <c r="A16">
        <v>10</v>
      </c>
      <c r="B16" t="s">
        <v>17</v>
      </c>
      <c r="C16" t="s">
        <v>18</v>
      </c>
      <c r="D16" t="s">
        <v>19</v>
      </c>
      <c r="E16">
        <v>19775</v>
      </c>
      <c r="F16">
        <v>807.51212499999997</v>
      </c>
      <c r="G16">
        <v>2.5124730000000001E-2</v>
      </c>
    </row>
    <row r="17" spans="1:7" x14ac:dyDescent="0.35">
      <c r="A17">
        <v>11</v>
      </c>
      <c r="B17" t="s">
        <v>708</v>
      </c>
      <c r="C17" t="s">
        <v>709</v>
      </c>
      <c r="D17" t="s">
        <v>710</v>
      </c>
      <c r="E17">
        <v>240000</v>
      </c>
      <c r="F17">
        <v>754.32</v>
      </c>
      <c r="G17">
        <v>2.3469719999999999E-2</v>
      </c>
    </row>
    <row r="18" spans="1:7" x14ac:dyDescent="0.35">
      <c r="A18">
        <v>12</v>
      </c>
      <c r="B18" t="s">
        <v>711</v>
      </c>
      <c r="C18" t="s">
        <v>712</v>
      </c>
      <c r="D18" t="s">
        <v>710</v>
      </c>
      <c r="E18">
        <v>81200</v>
      </c>
      <c r="F18">
        <v>720.00040000000001</v>
      </c>
      <c r="G18">
        <v>2.2401910000000001E-2</v>
      </c>
    </row>
    <row r="19" spans="1:7" x14ac:dyDescent="0.35">
      <c r="A19">
        <v>13</v>
      </c>
      <c r="B19" t="s">
        <v>104</v>
      </c>
      <c r="C19" t="s">
        <v>105</v>
      </c>
      <c r="D19" t="s">
        <v>28</v>
      </c>
      <c r="E19">
        <v>115500</v>
      </c>
      <c r="F19">
        <v>642.58425</v>
      </c>
      <c r="G19">
        <v>1.9993199999999999E-2</v>
      </c>
    </row>
    <row r="20" spans="1:7" x14ac:dyDescent="0.35">
      <c r="A20">
        <v>14</v>
      </c>
      <c r="B20" t="s">
        <v>713</v>
      </c>
      <c r="C20" t="s">
        <v>714</v>
      </c>
      <c r="D20" t="s">
        <v>252</v>
      </c>
      <c r="E20">
        <v>11100</v>
      </c>
      <c r="F20">
        <v>640.58100000000002</v>
      </c>
      <c r="G20">
        <v>1.9930880000000002E-2</v>
      </c>
    </row>
    <row r="21" spans="1:7" x14ac:dyDescent="0.35">
      <c r="A21">
        <v>15</v>
      </c>
      <c r="B21" t="s">
        <v>288</v>
      </c>
      <c r="C21" t="s">
        <v>289</v>
      </c>
      <c r="D21" t="s">
        <v>290</v>
      </c>
      <c r="E21">
        <v>30400</v>
      </c>
      <c r="F21">
        <v>508.22719999999998</v>
      </c>
      <c r="G21">
        <v>1.581285E-2</v>
      </c>
    </row>
    <row r="22" spans="1:7" x14ac:dyDescent="0.35">
      <c r="A22">
        <v>16</v>
      </c>
      <c r="B22" t="s">
        <v>14</v>
      </c>
      <c r="C22" t="s">
        <v>15</v>
      </c>
      <c r="D22" t="s">
        <v>16</v>
      </c>
      <c r="E22">
        <v>23750</v>
      </c>
      <c r="F22">
        <v>500.08</v>
      </c>
      <c r="G22">
        <v>1.555936E-2</v>
      </c>
    </row>
    <row r="23" spans="1:7" x14ac:dyDescent="0.35">
      <c r="A23">
        <v>17</v>
      </c>
      <c r="B23" t="s">
        <v>715</v>
      </c>
      <c r="C23" t="s">
        <v>716</v>
      </c>
      <c r="D23" t="s">
        <v>206</v>
      </c>
      <c r="E23">
        <v>128800</v>
      </c>
      <c r="F23">
        <v>459.55840000000001</v>
      </c>
      <c r="G23">
        <v>1.429858E-2</v>
      </c>
    </row>
    <row r="24" spans="1:7" x14ac:dyDescent="0.35">
      <c r="A24">
        <v>18</v>
      </c>
      <c r="B24" t="s">
        <v>374</v>
      </c>
      <c r="C24" t="s">
        <v>375</v>
      </c>
      <c r="D24" t="s">
        <v>324</v>
      </c>
      <c r="E24">
        <v>157625</v>
      </c>
      <c r="F24">
        <v>438.27631250000002</v>
      </c>
      <c r="G24">
        <v>1.363642E-2</v>
      </c>
    </row>
    <row r="25" spans="1:7" x14ac:dyDescent="0.35">
      <c r="A25">
        <v>19</v>
      </c>
      <c r="B25" t="s">
        <v>522</v>
      </c>
      <c r="C25" t="s">
        <v>523</v>
      </c>
      <c r="D25" t="s">
        <v>240</v>
      </c>
      <c r="E25">
        <v>58000</v>
      </c>
      <c r="F25">
        <v>428.53300000000002</v>
      </c>
      <c r="G25">
        <v>1.3333269999999999E-2</v>
      </c>
    </row>
    <row r="26" spans="1:7" x14ac:dyDescent="0.35">
      <c r="A26">
        <v>20</v>
      </c>
      <c r="B26" t="s">
        <v>286</v>
      </c>
      <c r="C26" t="s">
        <v>287</v>
      </c>
      <c r="D26" t="s">
        <v>38</v>
      </c>
      <c r="E26">
        <v>46900</v>
      </c>
      <c r="F26">
        <v>405.3098</v>
      </c>
      <c r="G26">
        <v>1.2610710000000001E-2</v>
      </c>
    </row>
    <row r="27" spans="1:7" x14ac:dyDescent="0.35">
      <c r="A27">
        <v>21</v>
      </c>
      <c r="B27" t="s">
        <v>419</v>
      </c>
      <c r="C27" t="s">
        <v>420</v>
      </c>
      <c r="D27" t="s">
        <v>235</v>
      </c>
      <c r="E27">
        <v>17000</v>
      </c>
      <c r="F27">
        <v>398.48</v>
      </c>
      <c r="G27">
        <v>1.239821E-2</v>
      </c>
    </row>
    <row r="28" spans="1:7" x14ac:dyDescent="0.35">
      <c r="A28">
        <v>22</v>
      </c>
      <c r="B28" t="s">
        <v>63</v>
      </c>
      <c r="C28" t="s">
        <v>64</v>
      </c>
      <c r="D28" t="s">
        <v>65</v>
      </c>
      <c r="E28">
        <v>6000</v>
      </c>
      <c r="F28">
        <v>383.22</v>
      </c>
      <c r="G28">
        <v>1.1923410000000001E-2</v>
      </c>
    </row>
    <row r="29" spans="1:7" x14ac:dyDescent="0.35">
      <c r="A29">
        <v>23</v>
      </c>
      <c r="B29" t="s">
        <v>34</v>
      </c>
      <c r="C29" t="s">
        <v>35</v>
      </c>
      <c r="D29" t="s">
        <v>25</v>
      </c>
      <c r="E29">
        <v>140600</v>
      </c>
      <c r="F29">
        <v>372.02760000000001</v>
      </c>
      <c r="G29">
        <v>1.1575169999999999E-2</v>
      </c>
    </row>
    <row r="30" spans="1:7" x14ac:dyDescent="0.35">
      <c r="A30">
        <v>24</v>
      </c>
      <c r="B30" t="s">
        <v>54</v>
      </c>
      <c r="C30" t="s">
        <v>55</v>
      </c>
      <c r="D30" t="s">
        <v>56</v>
      </c>
      <c r="E30">
        <v>21375</v>
      </c>
      <c r="F30">
        <v>314.16975000000002</v>
      </c>
      <c r="G30">
        <v>9.7750000000000007E-3</v>
      </c>
    </row>
    <row r="31" spans="1:7" x14ac:dyDescent="0.35">
      <c r="A31">
        <v>25</v>
      </c>
      <c r="B31" t="s">
        <v>360</v>
      </c>
      <c r="C31" t="s">
        <v>361</v>
      </c>
      <c r="D31" t="s">
        <v>38</v>
      </c>
      <c r="E31">
        <v>102375</v>
      </c>
      <c r="F31">
        <v>302.92762499999998</v>
      </c>
      <c r="G31">
        <v>9.4252099999999998E-3</v>
      </c>
    </row>
    <row r="32" spans="1:7" x14ac:dyDescent="0.35">
      <c r="A32">
        <v>26</v>
      </c>
      <c r="B32" t="s">
        <v>717</v>
      </c>
      <c r="C32" t="s">
        <v>718</v>
      </c>
      <c r="D32" t="s">
        <v>72</v>
      </c>
      <c r="E32">
        <v>68600</v>
      </c>
      <c r="F32">
        <v>291.10410000000002</v>
      </c>
      <c r="G32">
        <v>9.0573400000000005E-3</v>
      </c>
    </row>
    <row r="33" spans="1:7" x14ac:dyDescent="0.35">
      <c r="A33">
        <v>27</v>
      </c>
      <c r="B33" t="s">
        <v>68</v>
      </c>
      <c r="C33" t="s">
        <v>69</v>
      </c>
      <c r="D33" t="s">
        <v>16</v>
      </c>
      <c r="E33">
        <v>62900</v>
      </c>
      <c r="F33">
        <v>263.39375000000001</v>
      </c>
      <c r="G33">
        <v>8.1951699999999999E-3</v>
      </c>
    </row>
    <row r="34" spans="1:7" x14ac:dyDescent="0.35">
      <c r="A34">
        <v>28</v>
      </c>
      <c r="B34" t="s">
        <v>358</v>
      </c>
      <c r="C34" t="s">
        <v>359</v>
      </c>
      <c r="D34" t="s">
        <v>252</v>
      </c>
      <c r="E34">
        <v>6800</v>
      </c>
      <c r="F34">
        <v>252.22559999999999</v>
      </c>
      <c r="G34">
        <v>7.8476799999999992E-3</v>
      </c>
    </row>
    <row r="35" spans="1:7" x14ac:dyDescent="0.35">
      <c r="A35">
        <v>29</v>
      </c>
      <c r="B35" t="s">
        <v>719</v>
      </c>
      <c r="C35" t="s">
        <v>720</v>
      </c>
      <c r="D35" t="s">
        <v>243</v>
      </c>
      <c r="E35">
        <v>15750</v>
      </c>
      <c r="F35">
        <v>238.02975000000001</v>
      </c>
      <c r="G35">
        <v>7.4060000000000003E-3</v>
      </c>
    </row>
    <row r="36" spans="1:7" x14ac:dyDescent="0.35">
      <c r="A36">
        <v>30</v>
      </c>
      <c r="B36" t="s">
        <v>498</v>
      </c>
      <c r="C36" t="s">
        <v>499</v>
      </c>
      <c r="D36" t="s">
        <v>252</v>
      </c>
      <c r="E36">
        <v>1400</v>
      </c>
      <c r="F36">
        <v>233.75800000000001</v>
      </c>
      <c r="G36">
        <v>7.2730900000000003E-3</v>
      </c>
    </row>
    <row r="37" spans="1:7" x14ac:dyDescent="0.35">
      <c r="A37">
        <v>31</v>
      </c>
      <c r="B37" t="s">
        <v>721</v>
      </c>
      <c r="C37" t="s">
        <v>722</v>
      </c>
      <c r="D37" t="s">
        <v>65</v>
      </c>
      <c r="E37">
        <v>15000</v>
      </c>
      <c r="F37">
        <v>213.73500000000001</v>
      </c>
      <c r="G37">
        <v>6.6500999999999999E-3</v>
      </c>
    </row>
    <row r="38" spans="1:7" x14ac:dyDescent="0.35">
      <c r="A38">
        <v>32</v>
      </c>
      <c r="B38" t="s">
        <v>496</v>
      </c>
      <c r="C38" t="s">
        <v>497</v>
      </c>
      <c r="D38" t="s">
        <v>220</v>
      </c>
      <c r="E38">
        <v>17050</v>
      </c>
      <c r="F38">
        <v>203.23599999999999</v>
      </c>
      <c r="G38">
        <v>6.3234299999999997E-3</v>
      </c>
    </row>
    <row r="39" spans="1:7" x14ac:dyDescent="0.35">
      <c r="A39">
        <v>33</v>
      </c>
      <c r="B39" t="s">
        <v>723</v>
      </c>
      <c r="C39" t="s">
        <v>724</v>
      </c>
      <c r="D39" t="s">
        <v>394</v>
      </c>
      <c r="E39">
        <v>3125</v>
      </c>
      <c r="F39">
        <v>188.46875</v>
      </c>
      <c r="G39">
        <v>5.8639699999999996E-3</v>
      </c>
    </row>
    <row r="40" spans="1:7" x14ac:dyDescent="0.35">
      <c r="A40">
        <v>34</v>
      </c>
      <c r="B40" t="s">
        <v>397</v>
      </c>
      <c r="C40" t="s">
        <v>398</v>
      </c>
      <c r="D40" t="s">
        <v>206</v>
      </c>
      <c r="E40">
        <v>15600</v>
      </c>
      <c r="F40">
        <v>148.434</v>
      </c>
      <c r="G40">
        <v>4.6183400000000003E-3</v>
      </c>
    </row>
    <row r="41" spans="1:7" x14ac:dyDescent="0.35">
      <c r="A41">
        <v>35</v>
      </c>
      <c r="B41" t="s">
        <v>725</v>
      </c>
      <c r="C41" t="s">
        <v>726</v>
      </c>
      <c r="D41" t="s">
        <v>25</v>
      </c>
      <c r="E41">
        <v>18000</v>
      </c>
      <c r="F41">
        <v>86.840999999999994</v>
      </c>
      <c r="G41">
        <v>2.7019499999999998E-3</v>
      </c>
    </row>
    <row r="42" spans="1:7" x14ac:dyDescent="0.35">
      <c r="A42">
        <v>36</v>
      </c>
      <c r="B42" t="s">
        <v>727</v>
      </c>
      <c r="C42" t="s">
        <v>728</v>
      </c>
      <c r="D42" t="s">
        <v>97</v>
      </c>
      <c r="E42">
        <v>11550</v>
      </c>
      <c r="F42">
        <v>79.3947</v>
      </c>
      <c r="G42">
        <v>2.4702700000000001E-3</v>
      </c>
    </row>
    <row r="43" spans="1:7" x14ac:dyDescent="0.35">
      <c r="A43">
        <v>37</v>
      </c>
      <c r="B43" t="s">
        <v>729</v>
      </c>
      <c r="C43" t="s">
        <v>730</v>
      </c>
      <c r="D43" t="s">
        <v>206</v>
      </c>
      <c r="E43">
        <v>3500</v>
      </c>
      <c r="F43">
        <v>71.396500000000003</v>
      </c>
      <c r="G43">
        <v>2.2214100000000001E-3</v>
      </c>
    </row>
    <row r="44" spans="1:7" x14ac:dyDescent="0.35">
      <c r="A44">
        <v>38</v>
      </c>
      <c r="B44" t="s">
        <v>233</v>
      </c>
      <c r="C44" t="s">
        <v>234</v>
      </c>
      <c r="D44" t="s">
        <v>235</v>
      </c>
      <c r="E44">
        <v>2625</v>
      </c>
      <c r="F44">
        <v>69.095249999999993</v>
      </c>
      <c r="G44">
        <v>2.1498099999999998E-3</v>
      </c>
    </row>
    <row r="45" spans="1:7" x14ac:dyDescent="0.35">
      <c r="A45">
        <v>39</v>
      </c>
      <c r="B45" t="s">
        <v>731</v>
      </c>
      <c r="C45" t="s">
        <v>732</v>
      </c>
      <c r="D45" t="s">
        <v>38</v>
      </c>
      <c r="E45">
        <v>19050</v>
      </c>
      <c r="F45">
        <v>60.1599</v>
      </c>
      <c r="G45">
        <v>1.8718000000000001E-3</v>
      </c>
    </row>
    <row r="46" spans="1:7" x14ac:dyDescent="0.35">
      <c r="A46">
        <v>40</v>
      </c>
      <c r="B46" t="s">
        <v>733</v>
      </c>
      <c r="C46" t="s">
        <v>734</v>
      </c>
      <c r="D46" t="s">
        <v>206</v>
      </c>
      <c r="E46">
        <v>38700</v>
      </c>
      <c r="F46">
        <v>56.362679999999997</v>
      </c>
      <c r="G46">
        <v>1.75365E-3</v>
      </c>
    </row>
    <row r="47" spans="1:7" x14ac:dyDescent="0.35">
      <c r="C47" t="s">
        <v>139</v>
      </c>
      <c r="F47">
        <v>24989.151292499999</v>
      </c>
      <c r="G47">
        <v>0.77750611999999997</v>
      </c>
    </row>
    <row r="49" spans="1:7" x14ac:dyDescent="0.35">
      <c r="C49" t="s">
        <v>140</v>
      </c>
    </row>
    <row r="50" spans="1:7" x14ac:dyDescent="0.35">
      <c r="C50" t="s">
        <v>139</v>
      </c>
      <c r="F50" t="s">
        <v>141</v>
      </c>
      <c r="G50">
        <v>0</v>
      </c>
    </row>
    <row r="52" spans="1:7" x14ac:dyDescent="0.35">
      <c r="C52" t="s">
        <v>142</v>
      </c>
    </row>
    <row r="53" spans="1:7" x14ac:dyDescent="0.35">
      <c r="C53" t="s">
        <v>139</v>
      </c>
      <c r="F53" t="s">
        <v>141</v>
      </c>
      <c r="G53">
        <v>0</v>
      </c>
    </row>
    <row r="55" spans="1:7" x14ac:dyDescent="0.35">
      <c r="C55" t="s">
        <v>147</v>
      </c>
    </row>
    <row r="56" spans="1:7" x14ac:dyDescent="0.35">
      <c r="C56" t="s">
        <v>139</v>
      </c>
      <c r="F56" t="s">
        <v>141</v>
      </c>
      <c r="G56">
        <v>0</v>
      </c>
    </row>
    <row r="58" spans="1:7" x14ac:dyDescent="0.35">
      <c r="C58" t="s">
        <v>148</v>
      </c>
    </row>
    <row r="59" spans="1:7" x14ac:dyDescent="0.35">
      <c r="C59" t="s">
        <v>139</v>
      </c>
      <c r="F59" t="s">
        <v>141</v>
      </c>
      <c r="G59">
        <v>0</v>
      </c>
    </row>
    <row r="61" spans="1:7" x14ac:dyDescent="0.35">
      <c r="C61" t="s">
        <v>149</v>
      </c>
    </row>
    <row r="62" spans="1:7" x14ac:dyDescent="0.35">
      <c r="A62">
        <v>1</v>
      </c>
      <c r="C62" t="s">
        <v>735</v>
      </c>
      <c r="D62" t="s">
        <v>477</v>
      </c>
      <c r="E62">
        <v>-38700</v>
      </c>
      <c r="F62">
        <v>-56.769030000000001</v>
      </c>
      <c r="G62">
        <f t="shared" ref="G62:G103" si="0">F62/$F$159</f>
        <v>-1.7662972280377033E-3</v>
      </c>
    </row>
    <row r="63" spans="1:7" x14ac:dyDescent="0.35">
      <c r="A63">
        <v>2</v>
      </c>
      <c r="C63" t="s">
        <v>736</v>
      </c>
      <c r="D63" t="s">
        <v>477</v>
      </c>
      <c r="E63">
        <v>-19050</v>
      </c>
      <c r="F63">
        <v>-60.369450000000001</v>
      </c>
      <c r="G63">
        <f t="shared" si="0"/>
        <v>-1.8783197844522044E-3</v>
      </c>
    </row>
    <row r="64" spans="1:7" x14ac:dyDescent="0.35">
      <c r="A64">
        <v>3</v>
      </c>
      <c r="C64" t="s">
        <v>737</v>
      </c>
      <c r="D64" t="s">
        <v>477</v>
      </c>
      <c r="E64">
        <v>-2625</v>
      </c>
      <c r="F64">
        <v>-69.541499999999999</v>
      </c>
      <c r="G64">
        <f t="shared" si="0"/>
        <v>-2.1636966261988962E-3</v>
      </c>
    </row>
    <row r="65" spans="1:7" x14ac:dyDescent="0.35">
      <c r="A65">
        <v>4</v>
      </c>
      <c r="C65" t="s">
        <v>738</v>
      </c>
      <c r="D65" t="s">
        <v>477</v>
      </c>
      <c r="E65">
        <v>-3500</v>
      </c>
      <c r="F65">
        <v>-71.644999999999996</v>
      </c>
      <c r="G65">
        <f t="shared" si="0"/>
        <v>-2.2291443926866681E-3</v>
      </c>
    </row>
    <row r="66" spans="1:7" x14ac:dyDescent="0.35">
      <c r="A66">
        <v>5</v>
      </c>
      <c r="C66" t="s">
        <v>739</v>
      </c>
      <c r="D66" t="s">
        <v>477</v>
      </c>
      <c r="E66">
        <v>-11550</v>
      </c>
      <c r="F66">
        <v>-79.902900000000002</v>
      </c>
      <c r="G66">
        <f t="shared" si="0"/>
        <v>-2.4860786027553015E-3</v>
      </c>
    </row>
    <row r="67" spans="1:7" x14ac:dyDescent="0.35">
      <c r="A67">
        <v>6</v>
      </c>
      <c r="C67" t="s">
        <v>740</v>
      </c>
      <c r="D67" t="s">
        <v>477</v>
      </c>
      <c r="E67">
        <v>-18000</v>
      </c>
      <c r="F67">
        <v>-87.174000000000007</v>
      </c>
      <c r="G67">
        <f t="shared" si="0"/>
        <v>-2.7123097674376108E-3</v>
      </c>
    </row>
    <row r="68" spans="1:7" x14ac:dyDescent="0.35">
      <c r="A68">
        <v>7</v>
      </c>
      <c r="C68" t="s">
        <v>741</v>
      </c>
      <c r="D68" t="s">
        <v>477</v>
      </c>
      <c r="E68">
        <v>-15600</v>
      </c>
      <c r="F68">
        <v>-149.16720000000001</v>
      </c>
      <c r="G68">
        <f t="shared" si="0"/>
        <v>-4.6411504983288549E-3</v>
      </c>
    </row>
    <row r="69" spans="1:7" x14ac:dyDescent="0.35">
      <c r="A69">
        <v>8</v>
      </c>
      <c r="C69" t="s">
        <v>742</v>
      </c>
      <c r="D69" t="s">
        <v>477</v>
      </c>
      <c r="E69">
        <v>-3125</v>
      </c>
      <c r="F69">
        <v>-189.6875</v>
      </c>
      <c r="G69">
        <f t="shared" si="0"/>
        <v>-5.9018888545990982E-3</v>
      </c>
    </row>
    <row r="70" spans="1:7" x14ac:dyDescent="0.35">
      <c r="A70">
        <v>9</v>
      </c>
      <c r="C70" t="s">
        <v>743</v>
      </c>
      <c r="D70" t="s">
        <v>477</v>
      </c>
      <c r="E70">
        <v>-17050</v>
      </c>
      <c r="F70">
        <v>-204.34424999999999</v>
      </c>
      <c r="G70">
        <f t="shared" si="0"/>
        <v>-6.3579152636647727E-3</v>
      </c>
    </row>
    <row r="71" spans="1:7" x14ac:dyDescent="0.35">
      <c r="A71">
        <v>10</v>
      </c>
      <c r="C71" t="s">
        <v>744</v>
      </c>
      <c r="D71" t="s">
        <v>477</v>
      </c>
      <c r="E71">
        <v>-15000</v>
      </c>
      <c r="F71">
        <v>-214.875</v>
      </c>
      <c r="G71">
        <f t="shared" si="0"/>
        <v>-6.6855663532493243E-3</v>
      </c>
    </row>
    <row r="72" spans="1:7" x14ac:dyDescent="0.35">
      <c r="A72">
        <v>11</v>
      </c>
      <c r="C72" t="s">
        <v>745</v>
      </c>
      <c r="D72" t="s">
        <v>477</v>
      </c>
      <c r="E72">
        <v>-61600</v>
      </c>
      <c r="F72">
        <v>-220.71279999999999</v>
      </c>
      <c r="G72">
        <f t="shared" si="0"/>
        <v>-6.8672021845791621E-3</v>
      </c>
    </row>
    <row r="73" spans="1:7" x14ac:dyDescent="0.35">
      <c r="A73">
        <v>12</v>
      </c>
      <c r="C73" t="s">
        <v>746</v>
      </c>
      <c r="D73" t="s">
        <v>477</v>
      </c>
      <c r="E73">
        <v>-1400</v>
      </c>
      <c r="F73">
        <v>-235.31200000000001</v>
      </c>
      <c r="G73">
        <f t="shared" si="0"/>
        <v>-7.3214379975139266E-3</v>
      </c>
    </row>
    <row r="74" spans="1:7" x14ac:dyDescent="0.35">
      <c r="A74">
        <v>13</v>
      </c>
      <c r="C74" t="s">
        <v>747</v>
      </c>
      <c r="D74" t="s">
        <v>477</v>
      </c>
      <c r="E74">
        <v>-15750</v>
      </c>
      <c r="F74">
        <v>-238.833</v>
      </c>
      <c r="G74">
        <f t="shared" si="0"/>
        <v>-7.4309895001540239E-3</v>
      </c>
    </row>
    <row r="75" spans="1:7" x14ac:dyDescent="0.35">
      <c r="A75">
        <v>14</v>
      </c>
      <c r="C75" t="s">
        <v>748</v>
      </c>
      <c r="D75" t="s">
        <v>477</v>
      </c>
      <c r="E75">
        <v>-67200</v>
      </c>
      <c r="F75">
        <v>-241.1808</v>
      </c>
      <c r="G75">
        <f t="shared" si="0"/>
        <v>-7.5040383549959495E-3</v>
      </c>
    </row>
    <row r="76" spans="1:7" x14ac:dyDescent="0.35">
      <c r="A76">
        <v>15</v>
      </c>
      <c r="C76" t="s">
        <v>749</v>
      </c>
      <c r="D76" t="s">
        <v>477</v>
      </c>
      <c r="E76">
        <v>-6800</v>
      </c>
      <c r="F76">
        <v>-253.87119999999999</v>
      </c>
      <c r="G76">
        <f t="shared" si="0"/>
        <v>-7.8988842479536005E-3</v>
      </c>
    </row>
    <row r="77" spans="1:7" x14ac:dyDescent="0.35">
      <c r="A77">
        <v>16</v>
      </c>
      <c r="C77" t="s">
        <v>750</v>
      </c>
      <c r="D77" t="s">
        <v>477</v>
      </c>
      <c r="E77">
        <v>-62900</v>
      </c>
      <c r="F77">
        <v>-264.9348</v>
      </c>
      <c r="G77">
        <f t="shared" si="0"/>
        <v>-8.2431142975443357E-3</v>
      </c>
    </row>
    <row r="78" spans="1:7" x14ac:dyDescent="0.35">
      <c r="A78">
        <v>17</v>
      </c>
      <c r="C78" t="s">
        <v>751</v>
      </c>
      <c r="D78" t="s">
        <v>477</v>
      </c>
      <c r="E78">
        <v>-68600</v>
      </c>
      <c r="F78">
        <v>-291.24130000000002</v>
      </c>
      <c r="G78">
        <f t="shared" si="0"/>
        <v>-9.0616080789137528E-3</v>
      </c>
    </row>
    <row r="79" spans="1:7" x14ac:dyDescent="0.35">
      <c r="A79">
        <v>18</v>
      </c>
      <c r="C79" t="s">
        <v>752</v>
      </c>
      <c r="D79" t="s">
        <v>477</v>
      </c>
      <c r="E79">
        <v>-102375</v>
      </c>
      <c r="F79">
        <v>-304.92393750000002</v>
      </c>
      <c r="G79">
        <f t="shared" si="0"/>
        <v>-9.4873261982561952E-3</v>
      </c>
    </row>
    <row r="80" spans="1:7" x14ac:dyDescent="0.35">
      <c r="A80">
        <v>19</v>
      </c>
      <c r="C80" t="s">
        <v>753</v>
      </c>
      <c r="D80" t="s">
        <v>477</v>
      </c>
      <c r="E80">
        <v>-21375</v>
      </c>
      <c r="F80">
        <v>-316.05074999999999</v>
      </c>
      <c r="G80">
        <f t="shared" si="0"/>
        <v>-9.833523025569349E-3</v>
      </c>
    </row>
    <row r="81" spans="1:7" x14ac:dyDescent="0.35">
      <c r="A81">
        <v>20</v>
      </c>
      <c r="C81" t="s">
        <v>754</v>
      </c>
      <c r="D81" t="s">
        <v>477</v>
      </c>
      <c r="E81">
        <v>-140600</v>
      </c>
      <c r="F81">
        <v>-373.43360000000001</v>
      </c>
      <c r="G81">
        <f t="shared" si="0"/>
        <v>-1.161891849369525E-2</v>
      </c>
    </row>
    <row r="82" spans="1:7" x14ac:dyDescent="0.35">
      <c r="A82">
        <v>21</v>
      </c>
      <c r="C82" t="s">
        <v>476</v>
      </c>
      <c r="D82" t="s">
        <v>477</v>
      </c>
      <c r="E82">
        <v>-6000</v>
      </c>
      <c r="F82">
        <v>-381.96</v>
      </c>
      <c r="G82">
        <f t="shared" si="0"/>
        <v>-1.1884206744791678E-2</v>
      </c>
    </row>
    <row r="83" spans="1:7" x14ac:dyDescent="0.35">
      <c r="A83">
        <v>22</v>
      </c>
      <c r="C83" t="s">
        <v>755</v>
      </c>
      <c r="D83" t="s">
        <v>477</v>
      </c>
      <c r="E83">
        <v>-17000</v>
      </c>
      <c r="F83">
        <v>-399.17700000000002</v>
      </c>
      <c r="G83">
        <f t="shared" si="0"/>
        <v>-1.2419892124216431E-2</v>
      </c>
    </row>
    <row r="84" spans="1:7" x14ac:dyDescent="0.35">
      <c r="A84">
        <v>23</v>
      </c>
      <c r="C84" t="s">
        <v>756</v>
      </c>
      <c r="D84" t="s">
        <v>477</v>
      </c>
      <c r="E84">
        <v>-46900</v>
      </c>
      <c r="F84">
        <v>-406.83404999999999</v>
      </c>
      <c r="G84">
        <f t="shared" si="0"/>
        <v>-1.265813163949344E-2</v>
      </c>
    </row>
    <row r="85" spans="1:7" x14ac:dyDescent="0.35">
      <c r="A85">
        <v>24</v>
      </c>
      <c r="C85" t="s">
        <v>757</v>
      </c>
      <c r="D85" t="s">
        <v>477</v>
      </c>
      <c r="E85">
        <v>-58000</v>
      </c>
      <c r="F85">
        <v>-429.983</v>
      </c>
      <c r="G85">
        <f t="shared" si="0"/>
        <v>-1.3378382209513458E-2</v>
      </c>
    </row>
    <row r="86" spans="1:7" x14ac:dyDescent="0.35">
      <c r="A86">
        <v>25</v>
      </c>
      <c r="C86" t="s">
        <v>758</v>
      </c>
      <c r="D86" t="s">
        <v>477</v>
      </c>
      <c r="E86">
        <v>-157625</v>
      </c>
      <c r="F86">
        <v>-441.03474999999997</v>
      </c>
      <c r="G86">
        <f t="shared" si="0"/>
        <v>-1.3722243561204082E-2</v>
      </c>
    </row>
    <row r="87" spans="1:7" x14ac:dyDescent="0.35">
      <c r="A87">
        <v>26</v>
      </c>
      <c r="C87" t="s">
        <v>759</v>
      </c>
      <c r="D87" t="s">
        <v>477</v>
      </c>
      <c r="E87">
        <v>-113600</v>
      </c>
      <c r="F87">
        <v>-457.46719999999999</v>
      </c>
      <c r="G87">
        <f t="shared" si="0"/>
        <v>-1.4233518650541847E-2</v>
      </c>
    </row>
    <row r="88" spans="1:7" x14ac:dyDescent="0.35">
      <c r="A88">
        <v>27</v>
      </c>
      <c r="C88" t="s">
        <v>760</v>
      </c>
      <c r="D88" t="s">
        <v>477</v>
      </c>
      <c r="E88">
        <v>-23750</v>
      </c>
      <c r="F88">
        <v>-503.23874999999998</v>
      </c>
      <c r="G88">
        <f t="shared" si="0"/>
        <v>-1.5657643069930182E-2</v>
      </c>
    </row>
    <row r="89" spans="1:7" x14ac:dyDescent="0.35">
      <c r="A89">
        <v>28</v>
      </c>
      <c r="C89" t="s">
        <v>761</v>
      </c>
      <c r="D89" t="s">
        <v>477</v>
      </c>
      <c r="E89">
        <v>-30400</v>
      </c>
      <c r="F89">
        <v>-511.66239999999999</v>
      </c>
      <c r="G89">
        <f t="shared" si="0"/>
        <v>-1.5919734383538321E-2</v>
      </c>
    </row>
    <row r="90" spans="1:7" x14ac:dyDescent="0.35">
      <c r="A90">
        <v>29</v>
      </c>
      <c r="C90" t="s">
        <v>762</v>
      </c>
      <c r="D90" t="s">
        <v>477</v>
      </c>
      <c r="E90">
        <v>-11100</v>
      </c>
      <c r="F90">
        <v>-643.02300000000002</v>
      </c>
      <c r="G90">
        <f t="shared" si="0"/>
        <v>-2.0006854837302804E-2</v>
      </c>
    </row>
    <row r="91" spans="1:7" x14ac:dyDescent="0.35">
      <c r="A91">
        <v>30</v>
      </c>
      <c r="C91" t="s">
        <v>763</v>
      </c>
      <c r="D91" t="s">
        <v>477</v>
      </c>
      <c r="E91">
        <v>-115500</v>
      </c>
      <c r="F91">
        <v>-645.64499999999998</v>
      </c>
      <c r="G91">
        <f t="shared" si="0"/>
        <v>-2.0088435081529538E-2</v>
      </c>
    </row>
    <row r="92" spans="1:7" x14ac:dyDescent="0.35">
      <c r="A92">
        <v>31</v>
      </c>
      <c r="C92" t="s">
        <v>764</v>
      </c>
      <c r="D92" t="s">
        <v>477</v>
      </c>
      <c r="E92">
        <v>-81200</v>
      </c>
      <c r="F92">
        <v>-722.8424</v>
      </c>
      <c r="G92">
        <f t="shared" si="0"/>
        <v>-2.2490335442196575E-2</v>
      </c>
    </row>
    <row r="93" spans="1:7" x14ac:dyDescent="0.35">
      <c r="A93">
        <v>32</v>
      </c>
      <c r="C93" t="s">
        <v>765</v>
      </c>
      <c r="D93" t="s">
        <v>477</v>
      </c>
      <c r="E93">
        <v>-240000</v>
      </c>
      <c r="F93">
        <v>-758.76</v>
      </c>
      <c r="G93">
        <f t="shared" si="0"/>
        <v>-2.3607866555864838E-2</v>
      </c>
    </row>
    <row r="94" spans="1:7" x14ac:dyDescent="0.35">
      <c r="A94">
        <v>33</v>
      </c>
      <c r="C94" t="s">
        <v>766</v>
      </c>
      <c r="D94" t="s">
        <v>477</v>
      </c>
      <c r="E94">
        <v>-19775</v>
      </c>
      <c r="F94">
        <v>-812.25812499999995</v>
      </c>
      <c r="G94">
        <f t="shared" si="0"/>
        <v>-2.5272393673779561E-2</v>
      </c>
    </row>
    <row r="95" spans="1:7" x14ac:dyDescent="0.35">
      <c r="A95">
        <v>34</v>
      </c>
      <c r="C95" t="s">
        <v>767</v>
      </c>
      <c r="D95" t="s">
        <v>477</v>
      </c>
      <c r="E95">
        <v>-42800</v>
      </c>
      <c r="F95">
        <v>-945.5376</v>
      </c>
      <c r="G95">
        <f t="shared" si="0"/>
        <v>-2.941921751852062E-2</v>
      </c>
    </row>
    <row r="96" spans="1:7" x14ac:dyDescent="0.35">
      <c r="A96">
        <v>35</v>
      </c>
      <c r="C96" t="s">
        <v>768</v>
      </c>
      <c r="D96" t="s">
        <v>477</v>
      </c>
      <c r="E96">
        <v>-114750</v>
      </c>
      <c r="F96">
        <v>-1131.8366249999999</v>
      </c>
      <c r="G96">
        <f t="shared" si="0"/>
        <v>-3.5215678219780208E-2</v>
      </c>
    </row>
    <row r="97" spans="1:7" x14ac:dyDescent="0.35">
      <c r="A97">
        <v>36</v>
      </c>
      <c r="C97" t="s">
        <v>769</v>
      </c>
      <c r="D97" t="s">
        <v>477</v>
      </c>
      <c r="E97">
        <v>-197800</v>
      </c>
      <c r="F97">
        <v>-1198.4702</v>
      </c>
      <c r="G97">
        <f t="shared" si="0"/>
        <v>-3.7288898403685808E-2</v>
      </c>
    </row>
    <row r="98" spans="1:7" x14ac:dyDescent="0.35">
      <c r="A98">
        <v>37</v>
      </c>
      <c r="C98" t="s">
        <v>770</v>
      </c>
      <c r="D98" t="s">
        <v>477</v>
      </c>
      <c r="E98">
        <v>-125250</v>
      </c>
      <c r="F98">
        <v>-1243.8577499999999</v>
      </c>
      <c r="G98">
        <f t="shared" si="0"/>
        <v>-3.8701075144285786E-2</v>
      </c>
    </row>
    <row r="99" spans="1:7" x14ac:dyDescent="0.35">
      <c r="A99">
        <v>38</v>
      </c>
      <c r="C99" t="s">
        <v>771</v>
      </c>
      <c r="D99" t="s">
        <v>477</v>
      </c>
      <c r="E99">
        <v>-108125</v>
      </c>
      <c r="F99">
        <v>-1377.72875</v>
      </c>
      <c r="G99">
        <f t="shared" si="0"/>
        <v>-4.2866303548129141E-2</v>
      </c>
    </row>
    <row r="100" spans="1:7" x14ac:dyDescent="0.35">
      <c r="A100">
        <v>39</v>
      </c>
      <c r="C100" t="s">
        <v>772</v>
      </c>
      <c r="D100" t="s">
        <v>477</v>
      </c>
      <c r="E100">
        <v>-143550</v>
      </c>
      <c r="F100">
        <v>-1431.7677000000001</v>
      </c>
      <c r="G100">
        <f t="shared" si="0"/>
        <v>-4.454765775818114E-2</v>
      </c>
    </row>
    <row r="101" spans="1:7" x14ac:dyDescent="0.35">
      <c r="A101">
        <v>40</v>
      </c>
      <c r="C101" t="s">
        <v>773</v>
      </c>
      <c r="D101" t="s">
        <v>477</v>
      </c>
      <c r="E101">
        <v>-353600</v>
      </c>
      <c r="F101">
        <v>-1433.4944</v>
      </c>
      <c r="G101">
        <f t="shared" si="0"/>
        <v>-4.4601381864857841E-2</v>
      </c>
    </row>
    <row r="102" spans="1:7" x14ac:dyDescent="0.35">
      <c r="A102">
        <v>41</v>
      </c>
      <c r="C102" t="s">
        <v>774</v>
      </c>
      <c r="D102" t="s">
        <v>477</v>
      </c>
      <c r="E102">
        <v>-175000</v>
      </c>
      <c r="F102">
        <v>-2363.5500000000002</v>
      </c>
      <c r="G102">
        <f t="shared" si="0"/>
        <v>-7.3538896354729225E-2</v>
      </c>
    </row>
    <row r="103" spans="1:7" x14ac:dyDescent="0.35">
      <c r="A103">
        <v>42</v>
      </c>
      <c r="C103" t="s">
        <v>775</v>
      </c>
      <c r="D103" t="s">
        <v>477</v>
      </c>
      <c r="E103">
        <v>-186500</v>
      </c>
      <c r="F103">
        <v>-2942.97</v>
      </c>
      <c r="G103">
        <f t="shared" si="0"/>
        <v>-9.1566823551470208E-2</v>
      </c>
    </row>
    <row r="104" spans="1:7" x14ac:dyDescent="0.35">
      <c r="C104" t="s">
        <v>139</v>
      </c>
      <c r="F104">
        <v>-25107.068717499998</v>
      </c>
      <c r="G104">
        <v>-0.78117499999999995</v>
      </c>
    </row>
    <row r="106" spans="1:7" x14ac:dyDescent="0.35">
      <c r="C106" t="s">
        <v>150</v>
      </c>
      <c r="F106">
        <f>F47</f>
        <v>24989.151292499999</v>
      </c>
      <c r="G106">
        <f>G47</f>
        <v>0.77750611999999997</v>
      </c>
    </row>
    <row r="108" spans="1:7" x14ac:dyDescent="0.35">
      <c r="C108" t="s">
        <v>151</v>
      </c>
    </row>
    <row r="109" spans="1:7" x14ac:dyDescent="0.35">
      <c r="C109" t="s">
        <v>13</v>
      </c>
    </row>
    <row r="110" spans="1:7" x14ac:dyDescent="0.35">
      <c r="C110" t="s">
        <v>139</v>
      </c>
      <c r="F110" t="s">
        <v>141</v>
      </c>
      <c r="G110">
        <v>0</v>
      </c>
    </row>
    <row r="112" spans="1:7" x14ac:dyDescent="0.35">
      <c r="C112" t="s">
        <v>152</v>
      </c>
    </row>
    <row r="113" spans="1:8" x14ac:dyDescent="0.35">
      <c r="C113" t="s">
        <v>139</v>
      </c>
      <c r="F113" t="s">
        <v>141</v>
      </c>
      <c r="G113">
        <v>0</v>
      </c>
    </row>
    <row r="115" spans="1:8" x14ac:dyDescent="0.35">
      <c r="C115" t="s">
        <v>153</v>
      </c>
    </row>
    <row r="116" spans="1:8" x14ac:dyDescent="0.35">
      <c r="A116">
        <v>1</v>
      </c>
      <c r="B116" t="s">
        <v>776</v>
      </c>
      <c r="C116" t="s">
        <v>777</v>
      </c>
      <c r="D116" t="s">
        <v>620</v>
      </c>
      <c r="E116">
        <v>1000000</v>
      </c>
      <c r="F116">
        <v>1023.7569999999999</v>
      </c>
      <c r="G116">
        <v>3.185292E-2</v>
      </c>
      <c r="H116">
        <v>5.7504999999999997</v>
      </c>
    </row>
    <row r="117" spans="1:8" x14ac:dyDescent="0.35">
      <c r="C117" t="s">
        <v>139</v>
      </c>
      <c r="F117">
        <v>1023.7569999999999</v>
      </c>
      <c r="G117">
        <v>3.185292E-2</v>
      </c>
    </row>
    <row r="119" spans="1:8" x14ac:dyDescent="0.35">
      <c r="C119" t="s">
        <v>154</v>
      </c>
    </row>
    <row r="120" spans="1:8" x14ac:dyDescent="0.35">
      <c r="C120" t="s">
        <v>139</v>
      </c>
      <c r="F120" t="s">
        <v>141</v>
      </c>
      <c r="G120">
        <v>0</v>
      </c>
    </row>
    <row r="122" spans="1:8" x14ac:dyDescent="0.35">
      <c r="C122" t="s">
        <v>155</v>
      </c>
      <c r="F122">
        <v>1023.7569999999999</v>
      </c>
      <c r="G122">
        <v>3.185292E-2</v>
      </c>
    </row>
    <row r="124" spans="1:8" x14ac:dyDescent="0.35">
      <c r="C124" t="s">
        <v>156</v>
      </c>
    </row>
    <row r="125" spans="1:8" x14ac:dyDescent="0.35">
      <c r="C125" t="s">
        <v>157</v>
      </c>
    </row>
    <row r="126" spans="1:8" x14ac:dyDescent="0.35">
      <c r="C126" t="s">
        <v>139</v>
      </c>
      <c r="F126" t="s">
        <v>141</v>
      </c>
      <c r="G126">
        <v>0</v>
      </c>
    </row>
    <row r="128" spans="1:8" x14ac:dyDescent="0.35">
      <c r="C128" t="s">
        <v>158</v>
      </c>
    </row>
    <row r="129" spans="1:8" x14ac:dyDescent="0.35">
      <c r="C129" t="s">
        <v>139</v>
      </c>
      <c r="F129" t="s">
        <v>141</v>
      </c>
      <c r="G129">
        <v>0</v>
      </c>
    </row>
    <row r="131" spans="1:8" x14ac:dyDescent="0.35">
      <c r="C131" t="s">
        <v>159</v>
      </c>
    </row>
    <row r="132" spans="1:8" x14ac:dyDescent="0.35">
      <c r="A132">
        <v>1</v>
      </c>
      <c r="B132" t="s">
        <v>778</v>
      </c>
      <c r="C132" t="s">
        <v>779</v>
      </c>
      <c r="D132" t="s">
        <v>620</v>
      </c>
      <c r="E132">
        <v>500000</v>
      </c>
      <c r="F132">
        <v>498.49450000000002</v>
      </c>
      <c r="G132">
        <v>1.5510029999999999E-2</v>
      </c>
      <c r="H132">
        <v>5.2499000000000002</v>
      </c>
    </row>
    <row r="133" spans="1:8" x14ac:dyDescent="0.35">
      <c r="A133">
        <v>2</v>
      </c>
      <c r="B133" t="s">
        <v>780</v>
      </c>
      <c r="C133" t="s">
        <v>781</v>
      </c>
      <c r="D133" t="s">
        <v>620</v>
      </c>
      <c r="E133">
        <v>500000</v>
      </c>
      <c r="F133">
        <v>497.51900000000001</v>
      </c>
      <c r="G133">
        <v>1.5479679999999999E-2</v>
      </c>
      <c r="H133">
        <v>5.2</v>
      </c>
    </row>
    <row r="134" spans="1:8" x14ac:dyDescent="0.35">
      <c r="A134">
        <v>3</v>
      </c>
      <c r="B134" t="s">
        <v>782</v>
      </c>
      <c r="C134" t="s">
        <v>783</v>
      </c>
      <c r="D134" t="s">
        <v>620</v>
      </c>
      <c r="E134">
        <v>500000</v>
      </c>
      <c r="F134">
        <v>496.54</v>
      </c>
      <c r="G134">
        <v>1.544922E-2</v>
      </c>
      <c r="H134">
        <v>5.1913</v>
      </c>
    </row>
    <row r="135" spans="1:8" x14ac:dyDescent="0.35">
      <c r="A135">
        <v>4</v>
      </c>
      <c r="B135" t="s">
        <v>784</v>
      </c>
      <c r="C135" t="s">
        <v>785</v>
      </c>
      <c r="D135" t="s">
        <v>620</v>
      </c>
      <c r="E135">
        <v>500000</v>
      </c>
      <c r="F135">
        <v>481.3415</v>
      </c>
      <c r="G135">
        <v>1.4976339999999999E-2</v>
      </c>
      <c r="H135">
        <v>5.4629000000000003</v>
      </c>
    </row>
    <row r="136" spans="1:8" x14ac:dyDescent="0.35">
      <c r="C136" t="s">
        <v>139</v>
      </c>
      <c r="F136">
        <v>1973.895</v>
      </c>
      <c r="G136">
        <v>6.1415270000000001E-2</v>
      </c>
    </row>
    <row r="138" spans="1:8" x14ac:dyDescent="0.35">
      <c r="C138" t="s">
        <v>160</v>
      </c>
    </row>
    <row r="139" spans="1:8" x14ac:dyDescent="0.35">
      <c r="A139">
        <v>1</v>
      </c>
      <c r="C139" t="s">
        <v>161</v>
      </c>
      <c r="F139">
        <v>1661.8924009970001</v>
      </c>
      <c r="G139">
        <v>5.1707700000000002E-2</v>
      </c>
      <c r="H139">
        <v>5.42</v>
      </c>
    </row>
    <row r="140" spans="1:8" x14ac:dyDescent="0.35">
      <c r="C140" t="s">
        <v>139</v>
      </c>
      <c r="F140">
        <v>1661.8924009970001</v>
      </c>
      <c r="G140">
        <v>5.1707700000000002E-2</v>
      </c>
    </row>
    <row r="142" spans="1:8" x14ac:dyDescent="0.35">
      <c r="C142" t="s">
        <v>162</v>
      </c>
      <c r="F142">
        <v>3635.7874009970001</v>
      </c>
      <c r="G142">
        <v>0.11312297</v>
      </c>
    </row>
    <row r="144" spans="1:8" x14ac:dyDescent="0.35">
      <c r="C144" t="s">
        <v>163</v>
      </c>
    </row>
    <row r="145" spans="1:7" x14ac:dyDescent="0.35">
      <c r="C145" t="s">
        <v>164</v>
      </c>
    </row>
    <row r="146" spans="1:7" x14ac:dyDescent="0.35">
      <c r="A146">
        <v>1</v>
      </c>
      <c r="B146" t="s">
        <v>478</v>
      </c>
      <c r="C146" t="s">
        <v>479</v>
      </c>
      <c r="E146">
        <v>16785119.468899999</v>
      </c>
      <c r="F146">
        <v>2617.622596055</v>
      </c>
      <c r="G146">
        <v>8.1444050000000004E-2</v>
      </c>
    </row>
    <row r="147" spans="1:7" x14ac:dyDescent="0.35">
      <c r="A147">
        <v>2</v>
      </c>
      <c r="B147" t="s">
        <v>344</v>
      </c>
      <c r="C147" t="s">
        <v>345</v>
      </c>
      <c r="E147">
        <v>26303.165000000001</v>
      </c>
      <c r="F147">
        <v>631.00051325599998</v>
      </c>
      <c r="G147">
        <v>1.9632790000000001E-2</v>
      </c>
    </row>
    <row r="148" spans="1:7" x14ac:dyDescent="0.35">
      <c r="C148" t="s">
        <v>139</v>
      </c>
      <c r="F148">
        <v>3248.623109311</v>
      </c>
      <c r="G148">
        <v>0.10107684</v>
      </c>
    </row>
    <row r="150" spans="1:7" x14ac:dyDescent="0.35">
      <c r="C150" t="s">
        <v>165</v>
      </c>
    </row>
    <row r="151" spans="1:7" x14ac:dyDescent="0.35">
      <c r="C151" t="s">
        <v>166</v>
      </c>
    </row>
    <row r="152" spans="1:7" x14ac:dyDescent="0.35">
      <c r="C152" t="s">
        <v>139</v>
      </c>
      <c r="F152" t="s">
        <v>141</v>
      </c>
      <c r="G152">
        <v>0</v>
      </c>
    </row>
    <row r="154" spans="1:7" x14ac:dyDescent="0.35">
      <c r="C154" t="s">
        <v>167</v>
      </c>
    </row>
    <row r="155" spans="1:7" x14ac:dyDescent="0.35">
      <c r="C155" t="s">
        <v>139</v>
      </c>
      <c r="F155" t="s">
        <v>141</v>
      </c>
      <c r="G155">
        <v>0</v>
      </c>
    </row>
    <row r="157" spans="1:7" x14ac:dyDescent="0.35">
      <c r="C157" t="s">
        <v>480</v>
      </c>
      <c r="F157">
        <v>-123.717052</v>
      </c>
      <c r="G157">
        <v>-3.8492999999999999E-3</v>
      </c>
    </row>
    <row r="158" spans="1:7" x14ac:dyDescent="0.35">
      <c r="C158" t="s">
        <v>655</v>
      </c>
      <c r="F158">
        <f>24473.60119714+F104</f>
        <v>-633.46752035999816</v>
      </c>
      <c r="G158">
        <f>F158/F159</f>
        <v>-1.9709548062804352E-2</v>
      </c>
    </row>
    <row r="159" spans="1:7" x14ac:dyDescent="0.35">
      <c r="C159" t="s">
        <v>169</v>
      </c>
      <c r="F159">
        <v>32140.134230447999</v>
      </c>
      <c r="G159">
        <v>0.99999998000000001</v>
      </c>
    </row>
    <row r="161" spans="2:4" x14ac:dyDescent="0.35">
      <c r="B161" t="s">
        <v>170</v>
      </c>
    </row>
    <row r="162" spans="2:4" x14ac:dyDescent="0.35">
      <c r="B162" t="s">
        <v>171</v>
      </c>
    </row>
    <row r="163" spans="2:4" x14ac:dyDescent="0.35">
      <c r="B163" t="s">
        <v>172</v>
      </c>
    </row>
    <row r="164" spans="2:4" x14ac:dyDescent="0.35">
      <c r="B164" t="s">
        <v>173</v>
      </c>
    </row>
    <row r="165" spans="2:4" x14ac:dyDescent="0.35">
      <c r="B165" t="s">
        <v>174</v>
      </c>
    </row>
    <row r="167" spans="2:4" x14ac:dyDescent="0.35">
      <c r="B167" t="s">
        <v>175</v>
      </c>
    </row>
    <row r="168" spans="2:4" x14ac:dyDescent="0.35">
      <c r="B168" t="s">
        <v>176</v>
      </c>
      <c r="D168" t="s">
        <v>656</v>
      </c>
    </row>
    <row r="169" spans="2:4" x14ac:dyDescent="0.35">
      <c r="B169" t="s">
        <v>178</v>
      </c>
      <c r="D169" t="s">
        <v>177</v>
      </c>
    </row>
    <row r="170" spans="2:4" x14ac:dyDescent="0.35">
      <c r="B170" t="s">
        <v>179</v>
      </c>
    </row>
    <row r="171" spans="2:4" x14ac:dyDescent="0.35">
      <c r="C171" t="s">
        <v>180</v>
      </c>
      <c r="D171" t="s">
        <v>181</v>
      </c>
    </row>
    <row r="172" spans="2:4" x14ac:dyDescent="0.35">
      <c r="B172" t="s">
        <v>182</v>
      </c>
      <c r="C172" s="1">
        <v>45991</v>
      </c>
      <c r="D172" s="1">
        <v>46022</v>
      </c>
    </row>
    <row r="173" spans="2:4" x14ac:dyDescent="0.35">
      <c r="B173" t="s">
        <v>183</v>
      </c>
      <c r="C173">
        <v>15.6272</v>
      </c>
      <c r="D173">
        <v>15.7239</v>
      </c>
    </row>
    <row r="174" spans="2:4" x14ac:dyDescent="0.35">
      <c r="B174" t="s">
        <v>657</v>
      </c>
      <c r="C174">
        <v>13.5122</v>
      </c>
      <c r="D174">
        <v>13.595800000000001</v>
      </c>
    </row>
    <row r="175" spans="2:4" x14ac:dyDescent="0.35">
      <c r="B175" t="s">
        <v>185</v>
      </c>
      <c r="C175">
        <v>14.7624</v>
      </c>
      <c r="D175">
        <v>14.8437</v>
      </c>
    </row>
    <row r="176" spans="2:4" x14ac:dyDescent="0.35">
      <c r="B176" t="s">
        <v>658</v>
      </c>
      <c r="C176">
        <v>12.9793</v>
      </c>
      <c r="D176">
        <v>13.050700000000001</v>
      </c>
    </row>
    <row r="178" spans="2:9" x14ac:dyDescent="0.35">
      <c r="B178" t="s">
        <v>187</v>
      </c>
      <c r="D178" t="s">
        <v>177</v>
      </c>
    </row>
    <row r="180" spans="2:9" x14ac:dyDescent="0.35">
      <c r="B180" t="s">
        <v>188</v>
      </c>
      <c r="D180" t="s">
        <v>481</v>
      </c>
    </row>
    <row r="181" spans="2:9" x14ac:dyDescent="0.35">
      <c r="B181" t="s">
        <v>189</v>
      </c>
      <c r="D181" t="s">
        <v>177</v>
      </c>
    </row>
    <row r="182" spans="2:9" x14ac:dyDescent="0.35">
      <c r="B182" t="s">
        <v>190</v>
      </c>
      <c r="D182" t="s">
        <v>177</v>
      </c>
    </row>
    <row r="183" spans="2:9" x14ac:dyDescent="0.35">
      <c r="B183" t="s">
        <v>191</v>
      </c>
      <c r="D183">
        <v>9.5834003160238428</v>
      </c>
    </row>
    <row r="185" spans="2:9" x14ac:dyDescent="0.35">
      <c r="B185" t="s">
        <v>661</v>
      </c>
    </row>
    <row r="186" spans="2:9" x14ac:dyDescent="0.35">
      <c r="B186" t="s">
        <v>662</v>
      </c>
      <c r="C186" t="s">
        <v>663</v>
      </c>
      <c r="D186" t="s">
        <v>664</v>
      </c>
      <c r="G186" t="s">
        <v>665</v>
      </c>
    </row>
    <row r="187" spans="2:9" x14ac:dyDescent="0.35">
      <c r="D187" t="s">
        <v>666</v>
      </c>
      <c r="E187" t="s">
        <v>667</v>
      </c>
      <c r="F187" t="s">
        <v>668</v>
      </c>
      <c r="G187" t="s">
        <v>669</v>
      </c>
      <c r="I187" t="s">
        <v>670</v>
      </c>
    </row>
    <row r="188" spans="2:9" x14ac:dyDescent="0.35">
      <c r="G188" t="s">
        <v>671</v>
      </c>
      <c r="H188" t="s">
        <v>672</v>
      </c>
    </row>
    <row r="189" spans="2:9" x14ac:dyDescent="0.35">
      <c r="B189" t="s">
        <v>673</v>
      </c>
      <c r="C189" t="s">
        <v>674</v>
      </c>
      <c r="D189">
        <v>48.884799999999998</v>
      </c>
      <c r="E189">
        <v>1.1152</v>
      </c>
      <c r="F189">
        <f>D189+E189</f>
        <v>50</v>
      </c>
      <c r="G189">
        <v>2.1270963690000002</v>
      </c>
      <c r="H189">
        <v>1.34</v>
      </c>
      <c r="I189">
        <f>G189+H189</f>
        <v>3.4670963690000001</v>
      </c>
    </row>
    <row r="191" spans="2:9" x14ac:dyDescent="0.35">
      <c r="B191" t="s">
        <v>675</v>
      </c>
    </row>
    <row r="192" spans="2:9" x14ac:dyDescent="0.35">
      <c r="B192" t="s">
        <v>676</v>
      </c>
    </row>
    <row r="193" spans="2:4" x14ac:dyDescent="0.35">
      <c r="B193" t="s">
        <v>677</v>
      </c>
    </row>
    <row r="195" spans="2:4" x14ac:dyDescent="0.35">
      <c r="B195" t="s">
        <v>678</v>
      </c>
    </row>
    <row r="197" spans="2:4" x14ac:dyDescent="0.35">
      <c r="B197" t="s">
        <v>679</v>
      </c>
    </row>
    <row r="199" spans="2:4" x14ac:dyDescent="0.35">
      <c r="B199" t="s">
        <v>691</v>
      </c>
    </row>
    <row r="200" spans="2:4" x14ac:dyDescent="0.35">
      <c r="B200" t="s">
        <v>692</v>
      </c>
      <c r="D200" t="s">
        <v>701</v>
      </c>
    </row>
    <row r="201" spans="2:4" x14ac:dyDescent="0.35">
      <c r="B201" t="s">
        <v>693</v>
      </c>
    </row>
    <row r="203" spans="2:4" x14ac:dyDescent="0.35">
      <c r="B203" t="s">
        <v>694</v>
      </c>
      <c r="D203">
        <v>5.4426785505517454</v>
      </c>
    </row>
    <row r="205" spans="2:4" x14ac:dyDescent="0.35">
      <c r="B205" t="s">
        <v>695</v>
      </c>
      <c r="D205">
        <v>0.49836220246704083</v>
      </c>
    </row>
    <row r="206" spans="2:4" x14ac:dyDescent="0.35">
      <c r="B206" t="s">
        <v>696</v>
      </c>
      <c r="D206">
        <v>0.5122970107339424</v>
      </c>
    </row>
    <row r="208" spans="2:4" x14ac:dyDescent="0.35">
      <c r="B208" t="s">
        <v>697</v>
      </c>
      <c r="D208" t="s">
        <v>698</v>
      </c>
    </row>
    <row r="209" spans="2:2" x14ac:dyDescent="0.35">
      <c r="B209" t="s">
        <v>699</v>
      </c>
    </row>
    <row r="211" spans="2:2" x14ac:dyDescent="0.35">
      <c r="B211" t="s">
        <v>192</v>
      </c>
    </row>
    <row r="216" spans="2:2" x14ac:dyDescent="0.35">
      <c r="B216" t="s">
        <v>193</v>
      </c>
    </row>
    <row r="217" spans="2:2" x14ac:dyDescent="0.35">
      <c r="B217" t="s">
        <v>786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14"/>
  <sheetViews>
    <sheetView workbookViewId="0"/>
  </sheetViews>
  <sheetFormatPr defaultRowHeight="14.5" x14ac:dyDescent="0.35"/>
  <sheetData>
    <row r="1" spans="1:9" x14ac:dyDescent="0.35">
      <c r="A1" t="s">
        <v>0</v>
      </c>
      <c r="I1" t="s">
        <v>1</v>
      </c>
    </row>
    <row r="2" spans="1:9" x14ac:dyDescent="0.35">
      <c r="A2" t="s">
        <v>787</v>
      </c>
    </row>
    <row r="3" spans="1:9" x14ac:dyDescent="0.35">
      <c r="A3" t="s">
        <v>3</v>
      </c>
    </row>
    <row r="4" spans="1:9" x14ac:dyDescent="0.35">
      <c r="A4" t="s">
        <v>4</v>
      </c>
      <c r="B4" t="s">
        <v>5</v>
      </c>
      <c r="C4" t="s">
        <v>6</v>
      </c>
      <c r="D4" t="s">
        <v>7</v>
      </c>
      <c r="E4" t="s">
        <v>8</v>
      </c>
      <c r="F4" t="s">
        <v>9</v>
      </c>
      <c r="G4" t="s">
        <v>10</v>
      </c>
      <c r="H4" t="s">
        <v>485</v>
      </c>
    </row>
    <row r="5" spans="1:9" x14ac:dyDescent="0.35">
      <c r="C5" t="s">
        <v>12</v>
      </c>
    </row>
    <row r="6" spans="1:9" x14ac:dyDescent="0.35">
      <c r="C6" t="s">
        <v>13</v>
      </c>
    </row>
    <row r="7" spans="1:9" x14ac:dyDescent="0.35">
      <c r="A7">
        <v>1</v>
      </c>
      <c r="B7" t="s">
        <v>350</v>
      </c>
      <c r="C7" t="s">
        <v>351</v>
      </c>
      <c r="D7" t="s">
        <v>38</v>
      </c>
      <c r="E7">
        <v>1064208</v>
      </c>
      <c r="F7">
        <v>10548.429695999999</v>
      </c>
      <c r="G7">
        <v>6.0745220000000003E-2</v>
      </c>
    </row>
    <row r="8" spans="1:9" x14ac:dyDescent="0.35">
      <c r="A8">
        <v>2</v>
      </c>
      <c r="B8" t="s">
        <v>39</v>
      </c>
      <c r="C8" t="s">
        <v>40</v>
      </c>
      <c r="D8" t="s">
        <v>38</v>
      </c>
      <c r="E8">
        <v>727318</v>
      </c>
      <c r="F8">
        <v>9767.1534219999994</v>
      </c>
      <c r="G8">
        <v>5.6246089999999999E-2</v>
      </c>
    </row>
    <row r="9" spans="1:9" x14ac:dyDescent="0.35">
      <c r="A9">
        <v>3</v>
      </c>
      <c r="B9" t="s">
        <v>20</v>
      </c>
      <c r="C9" t="s">
        <v>21</v>
      </c>
      <c r="D9" t="s">
        <v>22</v>
      </c>
      <c r="E9">
        <v>510482</v>
      </c>
      <c r="F9">
        <v>8016.6093279999996</v>
      </c>
      <c r="G9">
        <v>4.6165230000000002E-2</v>
      </c>
    </row>
    <row r="10" spans="1:9" x14ac:dyDescent="0.35">
      <c r="A10">
        <v>4</v>
      </c>
      <c r="B10" t="s">
        <v>14</v>
      </c>
      <c r="C10" t="s">
        <v>15</v>
      </c>
      <c r="D10" t="s">
        <v>16</v>
      </c>
      <c r="E10">
        <v>379252</v>
      </c>
      <c r="F10">
        <v>7985.5301120000004</v>
      </c>
      <c r="G10">
        <v>4.5986260000000001E-2</v>
      </c>
    </row>
    <row r="11" spans="1:9" x14ac:dyDescent="0.35">
      <c r="A11">
        <v>5</v>
      </c>
      <c r="B11" t="s">
        <v>356</v>
      </c>
      <c r="C11" t="s">
        <v>357</v>
      </c>
      <c r="D11" t="s">
        <v>38</v>
      </c>
      <c r="E11">
        <v>294166</v>
      </c>
      <c r="F11">
        <v>6474.8878260000001</v>
      </c>
      <c r="G11">
        <v>3.7286920000000001E-2</v>
      </c>
    </row>
    <row r="12" spans="1:9" x14ac:dyDescent="0.35">
      <c r="A12">
        <v>6</v>
      </c>
      <c r="B12" t="s">
        <v>489</v>
      </c>
      <c r="C12" t="s">
        <v>490</v>
      </c>
      <c r="D12" t="s">
        <v>97</v>
      </c>
      <c r="E12">
        <v>1075000</v>
      </c>
      <c r="F12">
        <f>46.7969*100</f>
        <v>4679.6900000000005</v>
      </c>
      <c r="G12">
        <f>F12/F167</f>
        <v>2.6948920482387336E-2</v>
      </c>
    </row>
    <row r="13" spans="1:9" x14ac:dyDescent="0.35">
      <c r="A13">
        <v>7</v>
      </c>
      <c r="B13" t="s">
        <v>17</v>
      </c>
      <c r="C13" t="s">
        <v>18</v>
      </c>
      <c r="D13" t="s">
        <v>19</v>
      </c>
      <c r="E13">
        <v>107140</v>
      </c>
      <c r="F13">
        <v>4375.0618999999997</v>
      </c>
      <c r="G13">
        <v>2.5194660000000001E-2</v>
      </c>
    </row>
    <row r="14" spans="1:9" x14ac:dyDescent="0.35">
      <c r="A14">
        <v>8</v>
      </c>
      <c r="B14" t="s">
        <v>358</v>
      </c>
      <c r="C14" t="s">
        <v>359</v>
      </c>
      <c r="D14" t="s">
        <v>252</v>
      </c>
      <c r="E14">
        <v>104640</v>
      </c>
      <c r="F14">
        <v>3881.3068800000001</v>
      </c>
      <c r="G14">
        <v>2.2351269999999999E-2</v>
      </c>
    </row>
    <row r="15" spans="1:9" x14ac:dyDescent="0.35">
      <c r="A15">
        <v>9</v>
      </c>
      <c r="B15" t="s">
        <v>366</v>
      </c>
      <c r="C15" t="s">
        <v>367</v>
      </c>
      <c r="D15" t="s">
        <v>206</v>
      </c>
      <c r="E15">
        <v>301555</v>
      </c>
      <c r="F15">
        <v>2975.7447400000001</v>
      </c>
      <c r="G15">
        <v>1.7136419999999999E-2</v>
      </c>
    </row>
    <row r="16" spans="1:9" x14ac:dyDescent="0.35">
      <c r="A16">
        <v>10</v>
      </c>
      <c r="B16" t="s">
        <v>360</v>
      </c>
      <c r="C16" t="s">
        <v>361</v>
      </c>
      <c r="D16" t="s">
        <v>38</v>
      </c>
      <c r="E16">
        <v>936000</v>
      </c>
      <c r="F16">
        <v>2769.6239999999998</v>
      </c>
      <c r="G16">
        <v>1.5949430000000001E-2</v>
      </c>
    </row>
    <row r="17" spans="1:7" x14ac:dyDescent="0.35">
      <c r="A17">
        <v>11</v>
      </c>
      <c r="B17" t="s">
        <v>487</v>
      </c>
      <c r="C17" t="s">
        <v>488</v>
      </c>
      <c r="D17" t="s">
        <v>230</v>
      </c>
      <c r="E17">
        <v>168234</v>
      </c>
      <c r="F17">
        <v>2730.9425219999998</v>
      </c>
      <c r="G17">
        <v>1.5726670000000002E-2</v>
      </c>
    </row>
    <row r="18" spans="1:7" x14ac:dyDescent="0.35">
      <c r="A18">
        <v>12</v>
      </c>
      <c r="B18" t="s">
        <v>374</v>
      </c>
      <c r="C18" t="s">
        <v>375</v>
      </c>
      <c r="D18" t="s">
        <v>324</v>
      </c>
      <c r="E18">
        <v>892400</v>
      </c>
      <c r="F18">
        <v>2481.3182000000002</v>
      </c>
      <c r="G18">
        <v>1.428916E-2</v>
      </c>
    </row>
    <row r="19" spans="1:7" x14ac:dyDescent="0.35">
      <c r="A19">
        <v>13</v>
      </c>
      <c r="B19" t="s">
        <v>370</v>
      </c>
      <c r="C19" t="s">
        <v>371</v>
      </c>
      <c r="D19" t="s">
        <v>206</v>
      </c>
      <c r="E19">
        <v>140080</v>
      </c>
      <c r="F19">
        <v>2384.4417600000002</v>
      </c>
      <c r="G19">
        <v>1.373128E-2</v>
      </c>
    </row>
    <row r="20" spans="1:7" x14ac:dyDescent="0.35">
      <c r="A20">
        <v>14</v>
      </c>
      <c r="B20" t="s">
        <v>207</v>
      </c>
      <c r="C20" t="s">
        <v>208</v>
      </c>
      <c r="D20" t="s">
        <v>209</v>
      </c>
      <c r="E20">
        <v>97455</v>
      </c>
      <c r="F20">
        <v>2208.72012</v>
      </c>
      <c r="G20">
        <v>1.2719350000000001E-2</v>
      </c>
    </row>
    <row r="21" spans="1:7" x14ac:dyDescent="0.35">
      <c r="A21">
        <v>15</v>
      </c>
      <c r="B21" t="s">
        <v>36</v>
      </c>
      <c r="C21" t="s">
        <v>37</v>
      </c>
      <c r="D21" t="s">
        <v>38</v>
      </c>
      <c r="E21">
        <v>217870</v>
      </c>
      <c r="F21">
        <v>2139.91914</v>
      </c>
      <c r="G21">
        <v>1.232315E-2</v>
      </c>
    </row>
    <row r="22" spans="1:7" x14ac:dyDescent="0.35">
      <c r="A22">
        <v>16</v>
      </c>
      <c r="B22" t="s">
        <v>491</v>
      </c>
      <c r="C22" t="s">
        <v>492</v>
      </c>
      <c r="D22" t="s">
        <v>493</v>
      </c>
      <c r="E22">
        <v>92101</v>
      </c>
      <c r="F22">
        <v>2132.9670590000001</v>
      </c>
      <c r="G22">
        <v>1.228311E-2</v>
      </c>
    </row>
    <row r="23" spans="1:7" x14ac:dyDescent="0.35">
      <c r="A23">
        <v>17</v>
      </c>
      <c r="B23" t="s">
        <v>29</v>
      </c>
      <c r="C23" t="s">
        <v>30</v>
      </c>
      <c r="D23" t="s">
        <v>31</v>
      </c>
      <c r="E23">
        <v>517430</v>
      </c>
      <c r="F23">
        <v>2067.6502799999998</v>
      </c>
      <c r="G23">
        <v>1.1906969999999999E-2</v>
      </c>
    </row>
    <row r="24" spans="1:7" x14ac:dyDescent="0.35">
      <c r="A24">
        <v>18</v>
      </c>
      <c r="B24" t="s">
        <v>729</v>
      </c>
      <c r="C24" t="s">
        <v>730</v>
      </c>
      <c r="D24" t="s">
        <v>206</v>
      </c>
      <c r="E24">
        <v>96500</v>
      </c>
      <c r="F24">
        <v>1968.5035</v>
      </c>
      <c r="G24">
        <v>1.133602E-2</v>
      </c>
    </row>
    <row r="25" spans="1:7" x14ac:dyDescent="0.35">
      <c r="A25">
        <v>19</v>
      </c>
      <c r="B25" t="s">
        <v>57</v>
      </c>
      <c r="C25" t="s">
        <v>58</v>
      </c>
      <c r="D25" t="s">
        <v>53</v>
      </c>
      <c r="E25">
        <v>43756</v>
      </c>
      <c r="F25">
        <v>1940.3160640000001</v>
      </c>
      <c r="G25">
        <v>1.117369E-2</v>
      </c>
    </row>
    <row r="26" spans="1:7" x14ac:dyDescent="0.35">
      <c r="A26">
        <v>20</v>
      </c>
      <c r="B26" t="s">
        <v>238</v>
      </c>
      <c r="C26" t="s">
        <v>239</v>
      </c>
      <c r="D26" t="s">
        <v>240</v>
      </c>
      <c r="E26">
        <v>326016</v>
      </c>
      <c r="F26">
        <v>1821.125376</v>
      </c>
      <c r="G26">
        <v>1.048731E-2</v>
      </c>
    </row>
    <row r="27" spans="1:7" x14ac:dyDescent="0.35">
      <c r="A27">
        <v>21</v>
      </c>
      <c r="B27" t="s">
        <v>354</v>
      </c>
      <c r="C27" t="s">
        <v>355</v>
      </c>
      <c r="D27" t="s">
        <v>230</v>
      </c>
      <c r="E27">
        <v>110188</v>
      </c>
      <c r="F27">
        <v>1779.976952</v>
      </c>
      <c r="G27">
        <v>1.025035E-2</v>
      </c>
    </row>
    <row r="28" spans="1:7" x14ac:dyDescent="0.35">
      <c r="A28">
        <v>22</v>
      </c>
      <c r="B28" t="s">
        <v>494</v>
      </c>
      <c r="C28" t="s">
        <v>495</v>
      </c>
      <c r="D28" t="s">
        <v>206</v>
      </c>
      <c r="E28">
        <v>468690</v>
      </c>
      <c r="F28">
        <v>1665.72426</v>
      </c>
      <c r="G28">
        <v>9.5923999999999992E-3</v>
      </c>
    </row>
    <row r="29" spans="1:7" x14ac:dyDescent="0.35">
      <c r="A29">
        <v>23</v>
      </c>
      <c r="B29" t="s">
        <v>233</v>
      </c>
      <c r="C29" t="s">
        <v>234</v>
      </c>
      <c r="D29" t="s">
        <v>235</v>
      </c>
      <c r="E29">
        <v>61950</v>
      </c>
      <c r="F29">
        <v>1630.6478999999999</v>
      </c>
      <c r="G29">
        <v>9.3904100000000001E-3</v>
      </c>
    </row>
    <row r="30" spans="1:7" x14ac:dyDescent="0.35">
      <c r="A30">
        <v>24</v>
      </c>
      <c r="B30" t="s">
        <v>221</v>
      </c>
      <c r="C30" t="s">
        <v>222</v>
      </c>
      <c r="D30" t="s">
        <v>223</v>
      </c>
      <c r="E30">
        <v>87520</v>
      </c>
      <c r="F30">
        <v>1597.76512</v>
      </c>
      <c r="G30">
        <v>9.2010500000000005E-3</v>
      </c>
    </row>
    <row r="31" spans="1:7" x14ac:dyDescent="0.35">
      <c r="A31">
        <v>25</v>
      </c>
      <c r="B31" t="s">
        <v>77</v>
      </c>
      <c r="C31" t="s">
        <v>78</v>
      </c>
      <c r="D31" t="s">
        <v>79</v>
      </c>
      <c r="E31">
        <v>31070</v>
      </c>
      <c r="F31">
        <v>1571.9866500000001</v>
      </c>
      <c r="G31">
        <v>9.0525999999999992E-3</v>
      </c>
    </row>
    <row r="32" spans="1:7" x14ac:dyDescent="0.35">
      <c r="A32">
        <v>26</v>
      </c>
      <c r="B32" t="s">
        <v>496</v>
      </c>
      <c r="C32" t="s">
        <v>497</v>
      </c>
      <c r="D32" t="s">
        <v>220</v>
      </c>
      <c r="E32">
        <v>127295</v>
      </c>
      <c r="F32">
        <v>1517.3563999999999</v>
      </c>
      <c r="G32">
        <v>8.7379999999999992E-3</v>
      </c>
    </row>
    <row r="33" spans="1:7" x14ac:dyDescent="0.35">
      <c r="A33">
        <v>27</v>
      </c>
      <c r="B33" t="s">
        <v>26</v>
      </c>
      <c r="C33" t="s">
        <v>27</v>
      </c>
      <c r="D33" t="s">
        <v>28</v>
      </c>
      <c r="E33">
        <v>12530</v>
      </c>
      <c r="F33">
        <v>1476.5352</v>
      </c>
      <c r="G33">
        <v>8.5029200000000006E-3</v>
      </c>
    </row>
    <row r="34" spans="1:7" x14ac:dyDescent="0.35">
      <c r="A34">
        <v>28</v>
      </c>
      <c r="B34" t="s">
        <v>250</v>
      </c>
      <c r="C34" t="s">
        <v>251</v>
      </c>
      <c r="D34" t="s">
        <v>252</v>
      </c>
      <c r="E34">
        <v>39240</v>
      </c>
      <c r="F34">
        <v>1459.6495199999999</v>
      </c>
      <c r="G34">
        <v>8.4056800000000004E-3</v>
      </c>
    </row>
    <row r="35" spans="1:7" x14ac:dyDescent="0.35">
      <c r="A35">
        <v>29</v>
      </c>
      <c r="B35" t="s">
        <v>32</v>
      </c>
      <c r="C35" t="s">
        <v>33</v>
      </c>
      <c r="D35" t="s">
        <v>22</v>
      </c>
      <c r="E35">
        <v>379031</v>
      </c>
      <c r="F35">
        <v>1455.4790399999999</v>
      </c>
      <c r="G35">
        <v>8.3816600000000008E-3</v>
      </c>
    </row>
    <row r="36" spans="1:7" x14ac:dyDescent="0.35">
      <c r="A36">
        <v>30</v>
      </c>
      <c r="B36" t="s">
        <v>788</v>
      </c>
      <c r="C36" t="s">
        <v>789</v>
      </c>
      <c r="D36" t="s">
        <v>230</v>
      </c>
      <c r="E36">
        <v>43925</v>
      </c>
      <c r="F36">
        <v>1408.3233499999999</v>
      </c>
      <c r="G36">
        <v>8.1101100000000002E-3</v>
      </c>
    </row>
    <row r="37" spans="1:7" x14ac:dyDescent="0.35">
      <c r="A37">
        <v>31</v>
      </c>
      <c r="B37" t="s">
        <v>364</v>
      </c>
      <c r="C37" t="s">
        <v>365</v>
      </c>
      <c r="D37" t="s">
        <v>31</v>
      </c>
      <c r="E37">
        <v>31950</v>
      </c>
      <c r="F37">
        <v>1402.18965</v>
      </c>
      <c r="G37">
        <v>8.0747900000000001E-3</v>
      </c>
    </row>
    <row r="38" spans="1:7" x14ac:dyDescent="0.35">
      <c r="A38">
        <v>32</v>
      </c>
      <c r="B38" t="s">
        <v>63</v>
      </c>
      <c r="C38" t="s">
        <v>64</v>
      </c>
      <c r="D38" t="s">
        <v>65</v>
      </c>
      <c r="E38">
        <v>20524</v>
      </c>
      <c r="F38">
        <v>1310.86788</v>
      </c>
      <c r="G38">
        <v>7.5488899999999999E-3</v>
      </c>
    </row>
    <row r="39" spans="1:7" x14ac:dyDescent="0.35">
      <c r="A39">
        <v>33</v>
      </c>
      <c r="B39" t="s">
        <v>362</v>
      </c>
      <c r="C39" t="s">
        <v>363</v>
      </c>
      <c r="D39" t="s">
        <v>235</v>
      </c>
      <c r="E39">
        <v>11750</v>
      </c>
      <c r="F39">
        <v>1308.48</v>
      </c>
      <c r="G39">
        <v>7.5351400000000001E-3</v>
      </c>
    </row>
    <row r="40" spans="1:7" x14ac:dyDescent="0.35">
      <c r="A40">
        <v>34</v>
      </c>
      <c r="B40" t="s">
        <v>498</v>
      </c>
      <c r="C40" t="s">
        <v>499</v>
      </c>
      <c r="D40" t="s">
        <v>252</v>
      </c>
      <c r="E40">
        <v>7824</v>
      </c>
      <c r="F40">
        <v>1306.37328</v>
      </c>
      <c r="G40">
        <v>7.5230100000000001E-3</v>
      </c>
    </row>
    <row r="41" spans="1:7" x14ac:dyDescent="0.35">
      <c r="A41">
        <v>35</v>
      </c>
      <c r="B41" t="s">
        <v>500</v>
      </c>
      <c r="C41" t="s">
        <v>501</v>
      </c>
      <c r="D41" t="s">
        <v>43</v>
      </c>
      <c r="E41">
        <v>143585</v>
      </c>
      <c r="F41">
        <v>1305.9773674999999</v>
      </c>
      <c r="G41">
        <v>7.5207299999999998E-3</v>
      </c>
    </row>
    <row r="42" spans="1:7" x14ac:dyDescent="0.35">
      <c r="A42">
        <v>36</v>
      </c>
      <c r="B42" t="s">
        <v>302</v>
      </c>
      <c r="C42" t="s">
        <v>303</v>
      </c>
      <c r="D42" t="s">
        <v>243</v>
      </c>
      <c r="E42">
        <v>54975</v>
      </c>
      <c r="F42">
        <v>1207.525875</v>
      </c>
      <c r="G42">
        <v>6.9537799999999997E-3</v>
      </c>
    </row>
    <row r="43" spans="1:7" x14ac:dyDescent="0.35">
      <c r="A43">
        <v>37</v>
      </c>
      <c r="B43" t="s">
        <v>504</v>
      </c>
      <c r="C43" t="s">
        <v>505</v>
      </c>
      <c r="D43" t="s">
        <v>97</v>
      </c>
      <c r="E43">
        <v>360489</v>
      </c>
      <c r="F43">
        <f>11.95381524*100</f>
        <v>1195.3815240000001</v>
      </c>
      <c r="G43">
        <f>F43/F167</f>
        <v>6.8838409459581699E-3</v>
      </c>
    </row>
    <row r="44" spans="1:7" x14ac:dyDescent="0.35">
      <c r="A44">
        <v>38</v>
      </c>
      <c r="B44" t="s">
        <v>502</v>
      </c>
      <c r="C44" t="s">
        <v>503</v>
      </c>
      <c r="D44" t="s">
        <v>252</v>
      </c>
      <c r="E44">
        <v>11920</v>
      </c>
      <c r="F44">
        <v>1113.6856</v>
      </c>
      <c r="G44">
        <v>6.4133799999999998E-3</v>
      </c>
    </row>
    <row r="45" spans="1:7" x14ac:dyDescent="0.35">
      <c r="A45">
        <v>39</v>
      </c>
      <c r="B45" t="s">
        <v>506</v>
      </c>
      <c r="C45" t="s">
        <v>507</v>
      </c>
      <c r="D45" t="s">
        <v>206</v>
      </c>
      <c r="E45">
        <v>100029</v>
      </c>
      <c r="F45">
        <v>1102.519638</v>
      </c>
      <c r="G45">
        <v>6.34908E-3</v>
      </c>
    </row>
    <row r="46" spans="1:7" x14ac:dyDescent="0.35">
      <c r="A46">
        <v>40</v>
      </c>
      <c r="B46" t="s">
        <v>90</v>
      </c>
      <c r="C46" t="s">
        <v>91</v>
      </c>
      <c r="D46" t="s">
        <v>28</v>
      </c>
      <c r="E46">
        <v>19800</v>
      </c>
      <c r="F46">
        <v>1095.1379999999999</v>
      </c>
      <c r="G46">
        <v>6.3065700000000001E-3</v>
      </c>
    </row>
    <row r="47" spans="1:7" x14ac:dyDescent="0.35">
      <c r="A47">
        <v>41</v>
      </c>
      <c r="B47" t="s">
        <v>372</v>
      </c>
      <c r="C47" t="s">
        <v>373</v>
      </c>
      <c r="D47" t="s">
        <v>243</v>
      </c>
      <c r="E47">
        <v>62780</v>
      </c>
      <c r="F47">
        <v>1079.6276600000001</v>
      </c>
      <c r="G47">
        <v>6.2172499999999997E-3</v>
      </c>
    </row>
    <row r="48" spans="1:7" x14ac:dyDescent="0.35">
      <c r="A48">
        <v>42</v>
      </c>
      <c r="B48" t="s">
        <v>327</v>
      </c>
      <c r="C48" t="s">
        <v>328</v>
      </c>
      <c r="D48" t="s">
        <v>206</v>
      </c>
      <c r="E48">
        <v>24768</v>
      </c>
      <c r="F48">
        <v>1070.3738880000001</v>
      </c>
      <c r="G48">
        <v>6.1639599999999996E-3</v>
      </c>
    </row>
    <row r="49" spans="1:7" x14ac:dyDescent="0.35">
      <c r="A49">
        <v>43</v>
      </c>
      <c r="B49" t="s">
        <v>284</v>
      </c>
      <c r="C49" t="s">
        <v>285</v>
      </c>
      <c r="D49" t="s">
        <v>43</v>
      </c>
      <c r="E49">
        <v>80750</v>
      </c>
      <c r="F49">
        <v>1038.2835</v>
      </c>
      <c r="G49">
        <v>5.9791599999999999E-3</v>
      </c>
    </row>
    <row r="50" spans="1:7" x14ac:dyDescent="0.35">
      <c r="A50">
        <v>44</v>
      </c>
      <c r="B50" t="s">
        <v>49</v>
      </c>
      <c r="C50" t="s">
        <v>50</v>
      </c>
      <c r="D50" t="s">
        <v>25</v>
      </c>
      <c r="E50">
        <v>269327</v>
      </c>
      <c r="F50">
        <v>1022.365292</v>
      </c>
      <c r="G50">
        <v>5.8874900000000004E-3</v>
      </c>
    </row>
    <row r="51" spans="1:7" x14ac:dyDescent="0.35">
      <c r="A51">
        <v>45</v>
      </c>
      <c r="B51" t="s">
        <v>442</v>
      </c>
      <c r="C51" t="s">
        <v>443</v>
      </c>
      <c r="D51" t="s">
        <v>235</v>
      </c>
      <c r="E51">
        <v>38661</v>
      </c>
      <c r="F51">
        <v>985.23692400000004</v>
      </c>
      <c r="G51">
        <v>5.6736800000000004E-3</v>
      </c>
    </row>
    <row r="52" spans="1:7" x14ac:dyDescent="0.35">
      <c r="A52">
        <v>46</v>
      </c>
      <c r="B52" t="s">
        <v>510</v>
      </c>
      <c r="C52" t="s">
        <v>511</v>
      </c>
      <c r="D52" t="s">
        <v>299</v>
      </c>
      <c r="E52">
        <v>57870</v>
      </c>
      <c r="F52">
        <v>857.86487999999997</v>
      </c>
      <c r="G52">
        <v>4.9401899999999997E-3</v>
      </c>
    </row>
    <row r="53" spans="1:7" x14ac:dyDescent="0.35">
      <c r="A53">
        <v>47</v>
      </c>
      <c r="B53" t="s">
        <v>508</v>
      </c>
      <c r="C53" t="s">
        <v>509</v>
      </c>
      <c r="D53" t="s">
        <v>257</v>
      </c>
      <c r="E53">
        <v>57858</v>
      </c>
      <c r="F53">
        <v>835.29594599999996</v>
      </c>
      <c r="G53">
        <v>4.8102199999999996E-3</v>
      </c>
    </row>
    <row r="54" spans="1:7" x14ac:dyDescent="0.35">
      <c r="A54">
        <v>48</v>
      </c>
      <c r="B54" t="s">
        <v>512</v>
      </c>
      <c r="C54" t="s">
        <v>513</v>
      </c>
      <c r="D54" t="s">
        <v>257</v>
      </c>
      <c r="E54">
        <v>162720</v>
      </c>
      <c r="F54">
        <v>797.08392000000003</v>
      </c>
      <c r="G54">
        <v>4.5901700000000002E-3</v>
      </c>
    </row>
    <row r="55" spans="1:7" x14ac:dyDescent="0.35">
      <c r="A55">
        <v>49</v>
      </c>
      <c r="B55" t="s">
        <v>282</v>
      </c>
      <c r="C55" t="s">
        <v>283</v>
      </c>
      <c r="D55" t="s">
        <v>97</v>
      </c>
      <c r="E55">
        <v>48690</v>
      </c>
      <c r="F55">
        <v>776.50811999999996</v>
      </c>
      <c r="G55">
        <v>4.4716799999999996E-3</v>
      </c>
    </row>
    <row r="56" spans="1:7" x14ac:dyDescent="0.35">
      <c r="A56">
        <v>50</v>
      </c>
      <c r="B56" t="s">
        <v>790</v>
      </c>
      <c r="C56" t="s">
        <v>791</v>
      </c>
      <c r="D56" t="s">
        <v>38</v>
      </c>
      <c r="E56">
        <v>472500</v>
      </c>
      <c r="F56">
        <v>731.94974999999999</v>
      </c>
      <c r="G56">
        <v>4.2150800000000004E-3</v>
      </c>
    </row>
    <row r="57" spans="1:7" x14ac:dyDescent="0.35">
      <c r="A57">
        <v>51</v>
      </c>
      <c r="B57" t="s">
        <v>310</v>
      </c>
      <c r="C57" t="s">
        <v>311</v>
      </c>
      <c r="D57" t="s">
        <v>235</v>
      </c>
      <c r="E57">
        <v>466610</v>
      </c>
      <c r="F57">
        <v>728.704837</v>
      </c>
      <c r="G57">
        <v>4.1963900000000004E-3</v>
      </c>
    </row>
    <row r="58" spans="1:7" x14ac:dyDescent="0.35">
      <c r="A58">
        <v>52</v>
      </c>
      <c r="B58" t="s">
        <v>325</v>
      </c>
      <c r="C58" t="s">
        <v>326</v>
      </c>
      <c r="D58" t="s">
        <v>114</v>
      </c>
      <c r="E58">
        <v>116972</v>
      </c>
      <c r="F58">
        <v>608.78077399999995</v>
      </c>
      <c r="G58">
        <v>3.5057899999999999E-3</v>
      </c>
    </row>
    <row r="59" spans="1:7" x14ac:dyDescent="0.35">
      <c r="A59">
        <v>53</v>
      </c>
      <c r="B59" t="s">
        <v>228</v>
      </c>
      <c r="C59" t="s">
        <v>229</v>
      </c>
      <c r="D59" t="s">
        <v>230</v>
      </c>
      <c r="E59">
        <v>34035</v>
      </c>
      <c r="F59">
        <v>566.00205000000005</v>
      </c>
      <c r="G59">
        <v>3.2594400000000002E-3</v>
      </c>
    </row>
    <row r="60" spans="1:7" x14ac:dyDescent="0.35">
      <c r="A60">
        <v>54</v>
      </c>
      <c r="B60" t="s">
        <v>514</v>
      </c>
      <c r="C60" t="s">
        <v>515</v>
      </c>
      <c r="D60" t="s">
        <v>324</v>
      </c>
      <c r="E60">
        <v>13030</v>
      </c>
      <c r="F60">
        <v>557.55370000000005</v>
      </c>
      <c r="G60">
        <v>3.2107799999999999E-3</v>
      </c>
    </row>
    <row r="61" spans="1:7" x14ac:dyDescent="0.35">
      <c r="A61">
        <v>55</v>
      </c>
      <c r="B61" t="s">
        <v>516</v>
      </c>
      <c r="C61" t="s">
        <v>517</v>
      </c>
      <c r="D61" t="s">
        <v>230</v>
      </c>
      <c r="E61">
        <v>34681</v>
      </c>
      <c r="F61">
        <v>551.74002900000005</v>
      </c>
      <c r="G61">
        <v>3.1773000000000001E-3</v>
      </c>
    </row>
    <row r="62" spans="1:7" x14ac:dyDescent="0.35">
      <c r="A62">
        <v>56</v>
      </c>
      <c r="B62" t="s">
        <v>518</v>
      </c>
      <c r="C62" t="s">
        <v>519</v>
      </c>
      <c r="D62" t="s">
        <v>290</v>
      </c>
      <c r="E62">
        <v>25735</v>
      </c>
      <c r="F62">
        <v>523.68151499999999</v>
      </c>
      <c r="G62">
        <v>3.0157199999999999E-3</v>
      </c>
    </row>
    <row r="63" spans="1:7" x14ac:dyDescent="0.35">
      <c r="A63">
        <v>57</v>
      </c>
      <c r="B63" t="s">
        <v>522</v>
      </c>
      <c r="C63" t="s">
        <v>523</v>
      </c>
      <c r="D63" t="s">
        <v>240</v>
      </c>
      <c r="E63">
        <v>60937</v>
      </c>
      <c r="F63">
        <v>450.2330245</v>
      </c>
      <c r="G63">
        <v>2.5927599999999999E-3</v>
      </c>
    </row>
    <row r="64" spans="1:7" x14ac:dyDescent="0.35">
      <c r="A64">
        <v>58</v>
      </c>
      <c r="B64" t="s">
        <v>520</v>
      </c>
      <c r="C64" t="s">
        <v>521</v>
      </c>
      <c r="D64" t="s">
        <v>94</v>
      </c>
      <c r="E64">
        <v>226820</v>
      </c>
      <c r="F64">
        <v>441.32367399999998</v>
      </c>
      <c r="G64">
        <v>2.5414499999999998E-3</v>
      </c>
    </row>
    <row r="65" spans="1:7" x14ac:dyDescent="0.35">
      <c r="A65">
        <v>59</v>
      </c>
      <c r="B65" t="s">
        <v>719</v>
      </c>
      <c r="C65" t="s">
        <v>720</v>
      </c>
      <c r="D65" t="s">
        <v>243</v>
      </c>
      <c r="E65">
        <v>27550</v>
      </c>
      <c r="F65">
        <v>416.36315000000002</v>
      </c>
      <c r="G65">
        <v>2.3977099999999999E-3</v>
      </c>
    </row>
    <row r="66" spans="1:7" x14ac:dyDescent="0.35">
      <c r="A66">
        <v>59</v>
      </c>
      <c r="B66" t="s">
        <v>92</v>
      </c>
      <c r="C66" t="s">
        <v>93</v>
      </c>
      <c r="D66" t="s">
        <v>94</v>
      </c>
      <c r="E66">
        <v>222925</v>
      </c>
      <c r="F66">
        <v>383.78768000000002</v>
      </c>
      <c r="G66">
        <v>2.2101199999999999E-3</v>
      </c>
    </row>
    <row r="67" spans="1:7" x14ac:dyDescent="0.35">
      <c r="A67">
        <v>60</v>
      </c>
      <c r="B67" t="s">
        <v>524</v>
      </c>
      <c r="C67" t="s">
        <v>525</v>
      </c>
      <c r="D67" t="s">
        <v>526</v>
      </c>
      <c r="E67">
        <v>90441</v>
      </c>
      <c r="F67">
        <v>36.357281999999998</v>
      </c>
      <c r="G67">
        <v>2.0937000000000001E-4</v>
      </c>
    </row>
    <row r="68" spans="1:7" x14ac:dyDescent="0.35">
      <c r="C68" t="s">
        <v>139</v>
      </c>
      <c r="F68">
        <f>SUM(F7:F67)</f>
        <v>125720.64272700001</v>
      </c>
      <c r="G68">
        <f>SUM(G7:G67)</f>
        <v>0.72398723142834531</v>
      </c>
    </row>
    <row r="70" spans="1:7" x14ac:dyDescent="0.35">
      <c r="C70" t="s">
        <v>140</v>
      </c>
    </row>
    <row r="71" spans="1:7" x14ac:dyDescent="0.35">
      <c r="C71" t="s">
        <v>139</v>
      </c>
      <c r="F71" t="s">
        <v>141</v>
      </c>
      <c r="G71">
        <v>0</v>
      </c>
    </row>
    <row r="73" spans="1:7" x14ac:dyDescent="0.35">
      <c r="C73" t="s">
        <v>142</v>
      </c>
    </row>
    <row r="74" spans="1:7" x14ac:dyDescent="0.35">
      <c r="C74" t="s">
        <v>139</v>
      </c>
      <c r="F74" t="s">
        <v>141</v>
      </c>
      <c r="G74">
        <v>0</v>
      </c>
    </row>
    <row r="76" spans="1:7" x14ac:dyDescent="0.35">
      <c r="C76" t="s">
        <v>147</v>
      </c>
    </row>
    <row r="77" spans="1:7" x14ac:dyDescent="0.35">
      <c r="C77" t="s">
        <v>139</v>
      </c>
      <c r="F77" t="s">
        <v>141</v>
      </c>
      <c r="G77">
        <v>0</v>
      </c>
    </row>
    <row r="79" spans="1:7" x14ac:dyDescent="0.35">
      <c r="C79" t="s">
        <v>148</v>
      </c>
    </row>
    <row r="80" spans="1:7" x14ac:dyDescent="0.35">
      <c r="C80" t="s">
        <v>139</v>
      </c>
      <c r="F80" t="s">
        <v>141</v>
      </c>
      <c r="G80">
        <v>0</v>
      </c>
    </row>
    <row r="82" spans="1:8" x14ac:dyDescent="0.35">
      <c r="C82" t="s">
        <v>529</v>
      </c>
    </row>
    <row r="83" spans="1:8" x14ac:dyDescent="0.35">
      <c r="A83">
        <v>1</v>
      </c>
      <c r="B83" t="s">
        <v>530</v>
      </c>
      <c r="C83" t="s">
        <v>531</v>
      </c>
      <c r="D83" t="s">
        <v>532</v>
      </c>
      <c r="E83">
        <v>750</v>
      </c>
      <c r="F83">
        <f>8.924884*100</f>
        <v>892.48840000000007</v>
      </c>
      <c r="G83">
        <f>F83/F167</f>
        <v>5.1395709807814409E-3</v>
      </c>
      <c r="H83">
        <v>7.26</v>
      </c>
    </row>
    <row r="84" spans="1:8" x14ac:dyDescent="0.35">
      <c r="C84" t="s">
        <v>139</v>
      </c>
      <c r="F84">
        <f>SUM(F83)</f>
        <v>892.48840000000007</v>
      </c>
      <c r="G84">
        <f>SUM(G83)</f>
        <v>5.1395709807814409E-3</v>
      </c>
    </row>
    <row r="86" spans="1:8" x14ac:dyDescent="0.35">
      <c r="C86" t="s">
        <v>792</v>
      </c>
    </row>
    <row r="87" spans="1:8" x14ac:dyDescent="0.35">
      <c r="A87">
        <v>1</v>
      </c>
      <c r="C87" t="s">
        <v>747</v>
      </c>
      <c r="D87" t="s">
        <v>477</v>
      </c>
      <c r="E87">
        <v>-27375</v>
      </c>
      <c r="F87">
        <v>-415.11450000000002</v>
      </c>
      <c r="G87">
        <f t="shared" ref="G87:G98" si="0">F87/$F$167</f>
        <v>-2.3905189556543225E-3</v>
      </c>
    </row>
    <row r="88" spans="1:8" x14ac:dyDescent="0.35">
      <c r="A88">
        <v>2</v>
      </c>
      <c r="C88" t="s">
        <v>793</v>
      </c>
      <c r="D88" t="s">
        <v>477</v>
      </c>
      <c r="E88">
        <v>-472500</v>
      </c>
      <c r="F88">
        <v>-732.98924999999997</v>
      </c>
      <c r="G88">
        <f t="shared" si="0"/>
        <v>-4.2210635774366954E-3</v>
      </c>
    </row>
    <row r="89" spans="1:8" x14ac:dyDescent="0.35">
      <c r="A89">
        <v>3</v>
      </c>
      <c r="C89" t="s">
        <v>794</v>
      </c>
      <c r="D89" t="s">
        <v>477</v>
      </c>
      <c r="E89">
        <v>-11750</v>
      </c>
      <c r="F89">
        <v>-1315.4124999999999</v>
      </c>
      <c r="G89">
        <f t="shared" si="0"/>
        <v>-7.5750630627324294E-3</v>
      </c>
    </row>
    <row r="90" spans="1:8" x14ac:dyDescent="0.35">
      <c r="A90">
        <v>4</v>
      </c>
      <c r="C90" t="s">
        <v>795</v>
      </c>
      <c r="D90" t="s">
        <v>477</v>
      </c>
      <c r="E90">
        <v>-31950</v>
      </c>
      <c r="F90">
        <v>-1413.3402000000001</v>
      </c>
      <c r="G90">
        <f t="shared" si="0"/>
        <v>-8.1389990927521715E-3</v>
      </c>
    </row>
    <row r="91" spans="1:8" x14ac:dyDescent="0.35">
      <c r="A91">
        <v>5</v>
      </c>
      <c r="C91" t="s">
        <v>796</v>
      </c>
      <c r="D91" t="s">
        <v>477</v>
      </c>
      <c r="E91">
        <v>-43925</v>
      </c>
      <c r="F91">
        <v>-1414.6046249999999</v>
      </c>
      <c r="G91">
        <f t="shared" si="0"/>
        <v>-8.1462805342111012E-3</v>
      </c>
    </row>
    <row r="92" spans="1:8" x14ac:dyDescent="0.35">
      <c r="A92">
        <v>6</v>
      </c>
      <c r="C92" t="s">
        <v>738</v>
      </c>
      <c r="D92" t="s">
        <v>477</v>
      </c>
      <c r="E92">
        <v>-96500</v>
      </c>
      <c r="F92">
        <v>-1975.355</v>
      </c>
      <c r="G92">
        <f t="shared" si="0"/>
        <v>-1.1375472482041809E-2</v>
      </c>
    </row>
    <row r="93" spans="1:8" x14ac:dyDescent="0.35">
      <c r="A93">
        <v>7</v>
      </c>
      <c r="C93" t="s">
        <v>775</v>
      </c>
      <c r="D93" t="s">
        <v>477</v>
      </c>
      <c r="E93">
        <v>-147000</v>
      </c>
      <c r="F93">
        <v>-2319.66</v>
      </c>
      <c r="G93">
        <f t="shared" si="0"/>
        <v>-1.3358220926209769E-2</v>
      </c>
    </row>
    <row r="94" spans="1:8" x14ac:dyDescent="0.35">
      <c r="A94">
        <v>8</v>
      </c>
      <c r="C94" t="s">
        <v>767</v>
      </c>
      <c r="D94" t="s">
        <v>477</v>
      </c>
      <c r="E94">
        <v>-110800</v>
      </c>
      <c r="F94">
        <v>-2447.7936</v>
      </c>
      <c r="G94">
        <f t="shared" si="0"/>
        <v>-1.4096103605943261E-2</v>
      </c>
    </row>
    <row r="95" spans="1:8" x14ac:dyDescent="0.35">
      <c r="A95">
        <v>9</v>
      </c>
      <c r="C95" t="s">
        <v>758</v>
      </c>
      <c r="D95" t="s">
        <v>477</v>
      </c>
      <c r="E95">
        <v>-892400</v>
      </c>
      <c r="F95">
        <v>-2496.9351999999999</v>
      </c>
      <c r="G95">
        <f t="shared" si="0"/>
        <v>-1.4379095229486121E-2</v>
      </c>
    </row>
    <row r="96" spans="1:8" x14ac:dyDescent="0.35">
      <c r="A96">
        <v>10</v>
      </c>
      <c r="C96" t="s">
        <v>760</v>
      </c>
      <c r="D96" t="s">
        <v>477</v>
      </c>
      <c r="E96">
        <v>-128725</v>
      </c>
      <c r="F96">
        <v>-2727.5540249999999</v>
      </c>
      <c r="G96">
        <f t="shared" si="0"/>
        <v>-1.5707159348405664E-2</v>
      </c>
    </row>
    <row r="97" spans="1:8" x14ac:dyDescent="0.35">
      <c r="A97">
        <v>11</v>
      </c>
      <c r="C97" t="s">
        <v>752</v>
      </c>
      <c r="D97" t="s">
        <v>477</v>
      </c>
      <c r="E97">
        <v>-936000</v>
      </c>
      <c r="F97">
        <v>-2787.8760000000002</v>
      </c>
      <c r="G97">
        <f t="shared" si="0"/>
        <v>-1.6054535372803769E-2</v>
      </c>
    </row>
    <row r="98" spans="1:8" x14ac:dyDescent="0.35">
      <c r="A98">
        <v>12</v>
      </c>
      <c r="C98" t="s">
        <v>774</v>
      </c>
      <c r="D98" t="s">
        <v>477</v>
      </c>
      <c r="E98">
        <v>-226800</v>
      </c>
      <c r="F98">
        <v>-3063.1608000000001</v>
      </c>
      <c r="G98">
        <f t="shared" si="0"/>
        <v>-1.763981734344924E-2</v>
      </c>
    </row>
    <row r="99" spans="1:8" x14ac:dyDescent="0.35">
      <c r="C99" t="s">
        <v>139</v>
      </c>
      <c r="F99">
        <v>-23109.795699999999</v>
      </c>
      <c r="G99">
        <f>SUM(G87:G98)</f>
        <v>-0.13308232953112636</v>
      </c>
    </row>
    <row r="101" spans="1:8" x14ac:dyDescent="0.35">
      <c r="C101" t="s">
        <v>150</v>
      </c>
      <c r="F101">
        <f>F84+F68</f>
        <v>126613.13112700002</v>
      </c>
      <c r="G101">
        <f>G84+G68</f>
        <v>0.72912680240912675</v>
      </c>
    </row>
    <row r="103" spans="1:8" x14ac:dyDescent="0.35">
      <c r="C103" t="s">
        <v>151</v>
      </c>
    </row>
    <row r="104" spans="1:8" x14ac:dyDescent="0.35">
      <c r="C104" t="s">
        <v>13</v>
      </c>
    </row>
    <row r="105" spans="1:8" x14ac:dyDescent="0.35">
      <c r="A105">
        <v>1</v>
      </c>
      <c r="B105" t="s">
        <v>797</v>
      </c>
      <c r="C105" t="s">
        <v>798</v>
      </c>
      <c r="D105" t="s">
        <v>535</v>
      </c>
      <c r="E105">
        <v>2500</v>
      </c>
      <c r="F105">
        <v>2545.9949999999999</v>
      </c>
      <c r="G105">
        <v>1.466162E-2</v>
      </c>
      <c r="H105">
        <v>6.9349999999999996</v>
      </c>
    </row>
    <row r="106" spans="1:8" x14ac:dyDescent="0.35">
      <c r="A106">
        <v>2</v>
      </c>
      <c r="B106" t="s">
        <v>550</v>
      </c>
      <c r="C106" t="s">
        <v>551</v>
      </c>
      <c r="D106" t="s">
        <v>538</v>
      </c>
      <c r="E106">
        <v>150</v>
      </c>
      <c r="F106">
        <v>1552.8</v>
      </c>
      <c r="G106">
        <v>8.9421099999999996E-3</v>
      </c>
      <c r="H106">
        <v>7.37</v>
      </c>
    </row>
    <row r="107" spans="1:8" x14ac:dyDescent="0.35">
      <c r="A107">
        <v>3</v>
      </c>
      <c r="B107" t="s">
        <v>556</v>
      </c>
      <c r="C107" t="s">
        <v>557</v>
      </c>
      <c r="D107" t="s">
        <v>535</v>
      </c>
      <c r="E107">
        <v>1500</v>
      </c>
      <c r="F107">
        <v>1522.17</v>
      </c>
      <c r="G107">
        <v>8.7657199999999994E-3</v>
      </c>
      <c r="H107">
        <v>6.8243</v>
      </c>
    </row>
    <row r="108" spans="1:8" x14ac:dyDescent="0.35">
      <c r="A108">
        <v>4</v>
      </c>
      <c r="B108" t="s">
        <v>799</v>
      </c>
      <c r="C108" t="s">
        <v>800</v>
      </c>
      <c r="D108" t="s">
        <v>538</v>
      </c>
      <c r="E108">
        <v>1500</v>
      </c>
      <c r="F108">
        <v>1505.1255000000001</v>
      </c>
      <c r="G108">
        <v>8.6675599999999995E-3</v>
      </c>
      <c r="H108">
        <v>6.75</v>
      </c>
    </row>
    <row r="109" spans="1:8" x14ac:dyDescent="0.35">
      <c r="A109">
        <v>5</v>
      </c>
      <c r="B109" t="s">
        <v>541</v>
      </c>
      <c r="C109" t="s">
        <v>542</v>
      </c>
      <c r="D109" t="s">
        <v>535</v>
      </c>
      <c r="E109">
        <v>1500</v>
      </c>
      <c r="F109">
        <v>1490.1645000000001</v>
      </c>
      <c r="G109">
        <v>8.5814099999999994E-3</v>
      </c>
      <c r="H109">
        <v>6.9119000000000002</v>
      </c>
    </row>
    <row r="110" spans="1:8" x14ac:dyDescent="0.35">
      <c r="A110">
        <v>6</v>
      </c>
      <c r="B110" t="s">
        <v>579</v>
      </c>
      <c r="C110" t="s">
        <v>580</v>
      </c>
      <c r="D110" t="s">
        <v>535</v>
      </c>
      <c r="E110">
        <v>1000</v>
      </c>
      <c r="F110">
        <v>1036.3699999999999</v>
      </c>
      <c r="G110">
        <v>5.9681400000000003E-3</v>
      </c>
      <c r="H110">
        <v>7.28</v>
      </c>
    </row>
    <row r="111" spans="1:8" x14ac:dyDescent="0.35">
      <c r="A111">
        <v>7</v>
      </c>
      <c r="B111" t="s">
        <v>608</v>
      </c>
      <c r="C111" t="s">
        <v>609</v>
      </c>
      <c r="D111" t="s">
        <v>535</v>
      </c>
      <c r="E111">
        <v>1000</v>
      </c>
      <c r="F111">
        <v>1002.751</v>
      </c>
      <c r="G111">
        <v>5.7745399999999999E-3</v>
      </c>
      <c r="H111">
        <v>6.8</v>
      </c>
    </row>
    <row r="112" spans="1:8" x14ac:dyDescent="0.35">
      <c r="A112">
        <v>8</v>
      </c>
      <c r="B112" t="s">
        <v>595</v>
      </c>
      <c r="C112" t="s">
        <v>596</v>
      </c>
      <c r="D112" t="s">
        <v>597</v>
      </c>
      <c r="E112">
        <v>1000</v>
      </c>
      <c r="F112">
        <v>999.50300000000004</v>
      </c>
      <c r="G112">
        <v>5.7558399999999999E-3</v>
      </c>
      <c r="H112">
        <v>7.3240999999999996</v>
      </c>
    </row>
    <row r="113" spans="1:8" x14ac:dyDescent="0.35">
      <c r="A113">
        <v>9</v>
      </c>
      <c r="B113" t="s">
        <v>593</v>
      </c>
      <c r="C113" t="s">
        <v>594</v>
      </c>
      <c r="D113" t="s">
        <v>538</v>
      </c>
      <c r="E113">
        <v>50</v>
      </c>
      <c r="F113">
        <v>497.40499999999997</v>
      </c>
      <c r="G113">
        <v>2.86441E-3</v>
      </c>
      <c r="H113">
        <v>6.84</v>
      </c>
    </row>
    <row r="114" spans="1:8" x14ac:dyDescent="0.35">
      <c r="C114" t="s">
        <v>139</v>
      </c>
      <c r="F114">
        <v>12152.284</v>
      </c>
      <c r="G114">
        <v>6.9981349999999998E-2</v>
      </c>
    </row>
    <row r="116" spans="1:8" x14ac:dyDescent="0.35">
      <c r="C116" t="s">
        <v>152</v>
      </c>
    </row>
    <row r="117" spans="1:8" x14ac:dyDescent="0.35">
      <c r="C117" t="s">
        <v>139</v>
      </c>
      <c r="F117" t="s">
        <v>141</v>
      </c>
      <c r="G117">
        <v>0</v>
      </c>
    </row>
    <row r="119" spans="1:8" x14ac:dyDescent="0.35">
      <c r="C119" t="s">
        <v>153</v>
      </c>
    </row>
    <row r="120" spans="1:8" x14ac:dyDescent="0.35">
      <c r="A120">
        <v>1</v>
      </c>
      <c r="B120" t="s">
        <v>618</v>
      </c>
      <c r="C120" t="s">
        <v>619</v>
      </c>
      <c r="D120" t="s">
        <v>620</v>
      </c>
      <c r="E120">
        <v>6500000</v>
      </c>
      <c r="F120">
        <v>6686.0039999999999</v>
      </c>
      <c r="G120">
        <v>3.8502679999999997E-2</v>
      </c>
      <c r="H120">
        <v>6.7526999999999999</v>
      </c>
    </row>
    <row r="121" spans="1:8" x14ac:dyDescent="0.35">
      <c r="A121">
        <v>2</v>
      </c>
      <c r="B121" t="s">
        <v>621</v>
      </c>
      <c r="C121" t="s">
        <v>622</v>
      </c>
      <c r="D121" t="s">
        <v>620</v>
      </c>
      <c r="E121">
        <v>3400000</v>
      </c>
      <c r="F121">
        <v>3370.6206000000002</v>
      </c>
      <c r="G121">
        <v>1.941039E-2</v>
      </c>
      <c r="H121">
        <v>6.7084999999999999</v>
      </c>
    </row>
    <row r="122" spans="1:8" x14ac:dyDescent="0.35">
      <c r="A122">
        <v>3</v>
      </c>
      <c r="B122" t="s">
        <v>801</v>
      </c>
      <c r="C122" t="s">
        <v>802</v>
      </c>
      <c r="D122" t="s">
        <v>620</v>
      </c>
      <c r="E122">
        <v>3000000</v>
      </c>
      <c r="F122">
        <v>3115.4189999999999</v>
      </c>
      <c r="G122">
        <v>1.794076E-2</v>
      </c>
      <c r="H122">
        <v>6.4870000000000001</v>
      </c>
    </row>
    <row r="123" spans="1:8" x14ac:dyDescent="0.35">
      <c r="A123">
        <v>4</v>
      </c>
      <c r="B123" t="s">
        <v>776</v>
      </c>
      <c r="C123" t="s">
        <v>803</v>
      </c>
      <c r="D123" t="s">
        <v>620</v>
      </c>
      <c r="E123">
        <v>3000000</v>
      </c>
      <c r="F123">
        <v>3071.2710000000002</v>
      </c>
      <c r="G123">
        <v>1.7686520000000001E-2</v>
      </c>
      <c r="H123">
        <v>5.7504999999999997</v>
      </c>
    </row>
    <row r="124" spans="1:8" x14ac:dyDescent="0.35">
      <c r="A124">
        <v>5</v>
      </c>
      <c r="B124" t="s">
        <v>623</v>
      </c>
      <c r="C124" t="s">
        <v>624</v>
      </c>
      <c r="D124" t="s">
        <v>620</v>
      </c>
      <c r="E124">
        <v>2000000</v>
      </c>
      <c r="F124">
        <v>2049.9459999999999</v>
      </c>
      <c r="G124">
        <v>1.1805019999999999E-2</v>
      </c>
      <c r="H124">
        <v>7.0579000000000001</v>
      </c>
    </row>
    <row r="125" spans="1:8" x14ac:dyDescent="0.35">
      <c r="A125">
        <v>6</v>
      </c>
      <c r="B125" t="s">
        <v>625</v>
      </c>
      <c r="C125" t="s">
        <v>626</v>
      </c>
      <c r="D125" t="s">
        <v>620</v>
      </c>
      <c r="E125">
        <v>2000000</v>
      </c>
      <c r="F125">
        <v>2017.9259999999999</v>
      </c>
      <c r="G125">
        <v>1.162063E-2</v>
      </c>
      <c r="H125">
        <v>6.7618999999999998</v>
      </c>
    </row>
    <row r="126" spans="1:8" x14ac:dyDescent="0.35">
      <c r="A126">
        <v>7</v>
      </c>
      <c r="B126" t="s">
        <v>633</v>
      </c>
      <c r="C126" t="s">
        <v>634</v>
      </c>
      <c r="D126" t="s">
        <v>620</v>
      </c>
      <c r="E126">
        <v>1500000</v>
      </c>
      <c r="F126">
        <v>1495.4880000000001</v>
      </c>
      <c r="G126">
        <v>8.6120599999999995E-3</v>
      </c>
      <c r="H126">
        <v>7.4978999999999996</v>
      </c>
    </row>
    <row r="127" spans="1:8" x14ac:dyDescent="0.35">
      <c r="A127">
        <v>8</v>
      </c>
      <c r="B127" t="s">
        <v>804</v>
      </c>
      <c r="C127" t="s">
        <v>805</v>
      </c>
      <c r="D127" t="s">
        <v>620</v>
      </c>
      <c r="E127">
        <v>1000000</v>
      </c>
      <c r="F127">
        <v>1031.3979999999999</v>
      </c>
      <c r="G127">
        <v>5.9395100000000003E-3</v>
      </c>
      <c r="H127">
        <v>6.42</v>
      </c>
    </row>
    <row r="128" spans="1:8" x14ac:dyDescent="0.35">
      <c r="A128">
        <v>9</v>
      </c>
      <c r="B128" t="s">
        <v>637</v>
      </c>
      <c r="C128" t="s">
        <v>638</v>
      </c>
      <c r="D128" t="s">
        <v>620</v>
      </c>
      <c r="E128">
        <v>500000</v>
      </c>
      <c r="F128">
        <v>504</v>
      </c>
      <c r="G128">
        <v>2.90238E-3</v>
      </c>
      <c r="H128">
        <v>6.0799681990945214</v>
      </c>
    </row>
    <row r="129" spans="1:8" x14ac:dyDescent="0.35">
      <c r="A129">
        <v>10</v>
      </c>
      <c r="B129" t="s">
        <v>639</v>
      </c>
      <c r="C129" t="s">
        <v>640</v>
      </c>
      <c r="D129" t="s">
        <v>620</v>
      </c>
      <c r="E129">
        <v>500000</v>
      </c>
      <c r="F129">
        <v>503.59199999999998</v>
      </c>
      <c r="G129">
        <v>2.9000300000000001E-3</v>
      </c>
      <c r="H129">
        <v>7.4534000000000002</v>
      </c>
    </row>
    <row r="130" spans="1:8" x14ac:dyDescent="0.35">
      <c r="C130" t="s">
        <v>139</v>
      </c>
      <c r="F130">
        <v>23845.6646</v>
      </c>
      <c r="G130">
        <v>0.13731998000000001</v>
      </c>
    </row>
    <row r="132" spans="1:8" x14ac:dyDescent="0.35">
      <c r="C132" t="s">
        <v>154</v>
      </c>
    </row>
    <row r="133" spans="1:8" x14ac:dyDescent="0.35">
      <c r="C133" t="s">
        <v>139</v>
      </c>
      <c r="F133" t="s">
        <v>141</v>
      </c>
      <c r="G133">
        <v>0</v>
      </c>
    </row>
    <row r="135" spans="1:8" x14ac:dyDescent="0.35">
      <c r="C135" t="s">
        <v>155</v>
      </c>
      <c r="F135">
        <v>35997.948600000003</v>
      </c>
      <c r="G135">
        <v>0.20730133000000001</v>
      </c>
    </row>
    <row r="137" spans="1:8" x14ac:dyDescent="0.35">
      <c r="C137" t="s">
        <v>156</v>
      </c>
    </row>
    <row r="138" spans="1:8" x14ac:dyDescent="0.35">
      <c r="C138" t="s">
        <v>157</v>
      </c>
    </row>
    <row r="139" spans="1:8" x14ac:dyDescent="0.35">
      <c r="C139" t="s">
        <v>139</v>
      </c>
      <c r="F139" t="s">
        <v>141</v>
      </c>
      <c r="G139">
        <v>0</v>
      </c>
    </row>
    <row r="141" spans="1:8" x14ac:dyDescent="0.35">
      <c r="C141" t="s">
        <v>158</v>
      </c>
    </row>
    <row r="142" spans="1:8" x14ac:dyDescent="0.35">
      <c r="C142" t="s">
        <v>139</v>
      </c>
      <c r="F142" t="s">
        <v>141</v>
      </c>
      <c r="G142">
        <v>0</v>
      </c>
    </row>
    <row r="144" spans="1:8" x14ac:dyDescent="0.35">
      <c r="C144" t="s">
        <v>159</v>
      </c>
    </row>
    <row r="145" spans="1:8" x14ac:dyDescent="0.35">
      <c r="C145" t="s">
        <v>139</v>
      </c>
      <c r="F145" t="s">
        <v>141</v>
      </c>
      <c r="G145">
        <v>0</v>
      </c>
    </row>
    <row r="147" spans="1:8" x14ac:dyDescent="0.35">
      <c r="C147" t="s">
        <v>160</v>
      </c>
    </row>
    <row r="148" spans="1:8" x14ac:dyDescent="0.35">
      <c r="A148">
        <v>1</v>
      </c>
      <c r="C148" t="s">
        <v>161</v>
      </c>
      <c r="F148">
        <v>7239.7386810320004</v>
      </c>
      <c r="G148">
        <v>4.1691470000000001E-2</v>
      </c>
      <c r="H148">
        <v>5.42</v>
      </c>
    </row>
    <row r="149" spans="1:8" x14ac:dyDescent="0.35">
      <c r="C149" t="s">
        <v>139</v>
      </c>
      <c r="F149">
        <v>7239.7386810320004</v>
      </c>
      <c r="G149">
        <v>4.1691470000000001E-2</v>
      </c>
    </row>
    <row r="151" spans="1:8" x14ac:dyDescent="0.35">
      <c r="C151" t="s">
        <v>162</v>
      </c>
      <c r="F151">
        <v>7239.7386810320004</v>
      </c>
      <c r="G151">
        <v>4.1691470000000001E-2</v>
      </c>
    </row>
    <row r="153" spans="1:8" x14ac:dyDescent="0.35">
      <c r="C153" t="s">
        <v>163</v>
      </c>
    </row>
    <row r="154" spans="1:8" x14ac:dyDescent="0.35">
      <c r="C154" t="s">
        <v>164</v>
      </c>
    </row>
    <row r="155" spans="1:8" x14ac:dyDescent="0.35">
      <c r="A155">
        <v>1</v>
      </c>
      <c r="B155" t="s">
        <v>344</v>
      </c>
      <c r="C155" t="s">
        <v>383</v>
      </c>
      <c r="E155">
        <v>104274.462</v>
      </c>
      <c r="F155">
        <v>2501.4951258340002</v>
      </c>
      <c r="G155">
        <v>1.4405350000000001E-2</v>
      </c>
    </row>
    <row r="156" spans="1:8" x14ac:dyDescent="0.35">
      <c r="C156" t="s">
        <v>139</v>
      </c>
      <c r="F156">
        <v>2501.4951258340002</v>
      </c>
      <c r="G156">
        <v>1.4405350000000001E-2</v>
      </c>
    </row>
    <row r="158" spans="1:8" x14ac:dyDescent="0.35">
      <c r="C158" t="s">
        <v>165</v>
      </c>
    </row>
    <row r="159" spans="1:8" x14ac:dyDescent="0.35">
      <c r="C159" t="s">
        <v>166</v>
      </c>
    </row>
    <row r="160" spans="1:8" x14ac:dyDescent="0.35">
      <c r="C160" t="s">
        <v>139</v>
      </c>
      <c r="F160" t="s">
        <v>141</v>
      </c>
      <c r="G160">
        <v>0</v>
      </c>
    </row>
    <row r="162" spans="2:7" x14ac:dyDescent="0.35">
      <c r="C162" t="s">
        <v>167</v>
      </c>
    </row>
    <row r="163" spans="2:7" x14ac:dyDescent="0.35">
      <c r="C163" t="s">
        <v>139</v>
      </c>
      <c r="F163" t="s">
        <v>141</v>
      </c>
      <c r="G163">
        <v>0</v>
      </c>
    </row>
    <row r="165" spans="2:7" x14ac:dyDescent="0.35">
      <c r="C165" t="s">
        <v>480</v>
      </c>
      <c r="F165">
        <v>-92.199081300000003</v>
      </c>
      <c r="G165">
        <v>-5.3094999999999998E-4</v>
      </c>
    </row>
    <row r="166" spans="2:7" x14ac:dyDescent="0.35">
      <c r="C166" t="s">
        <v>655</v>
      </c>
      <c r="F166">
        <f>24500.05076997+F99</f>
        <v>1390.2550699700005</v>
      </c>
      <c r="G166">
        <f>F166/F167</f>
        <v>8.0060588053604779E-3</v>
      </c>
    </row>
    <row r="167" spans="2:7" x14ac:dyDescent="0.35">
      <c r="C167" t="s">
        <v>169</v>
      </c>
      <c r="F167">
        <f>F166+F165+F156+F151+F101+F135</f>
        <v>173650.36952253603</v>
      </c>
      <c r="G167">
        <f>G166+G165+G156+G151+G101+G135</f>
        <v>1.0000000612144873</v>
      </c>
    </row>
    <row r="169" spans="2:7" x14ac:dyDescent="0.35">
      <c r="B169" t="s">
        <v>170</v>
      </c>
    </row>
    <row r="170" spans="2:7" x14ac:dyDescent="0.35">
      <c r="B170" t="s">
        <v>171</v>
      </c>
    </row>
    <row r="171" spans="2:7" x14ac:dyDescent="0.35">
      <c r="B171" t="s">
        <v>172</v>
      </c>
    </row>
    <row r="172" spans="2:7" x14ac:dyDescent="0.35">
      <c r="B172" t="s">
        <v>173</v>
      </c>
    </row>
    <row r="173" spans="2:7" x14ac:dyDescent="0.35">
      <c r="B173" t="s">
        <v>174</v>
      </c>
    </row>
    <row r="175" spans="2:7" x14ac:dyDescent="0.35">
      <c r="B175" t="s">
        <v>175</v>
      </c>
    </row>
    <row r="176" spans="2:7" x14ac:dyDescent="0.35">
      <c r="B176" t="s">
        <v>176</v>
      </c>
      <c r="D176" t="s">
        <v>177</v>
      </c>
    </row>
    <row r="177" spans="2:4" x14ac:dyDescent="0.35">
      <c r="B177" t="s">
        <v>178</v>
      </c>
      <c r="D177" t="s">
        <v>177</v>
      </c>
    </row>
    <row r="178" spans="2:4" x14ac:dyDescent="0.35">
      <c r="B178" t="s">
        <v>179</v>
      </c>
    </row>
    <row r="179" spans="2:4" x14ac:dyDescent="0.35">
      <c r="C179" t="s">
        <v>180</v>
      </c>
      <c r="D179" t="s">
        <v>181</v>
      </c>
    </row>
    <row r="180" spans="2:4" x14ac:dyDescent="0.35">
      <c r="B180" t="s">
        <v>182</v>
      </c>
      <c r="C180" s="1">
        <v>45991</v>
      </c>
      <c r="D180" s="1">
        <v>46022</v>
      </c>
    </row>
    <row r="181" spans="2:4" x14ac:dyDescent="0.35">
      <c r="B181" t="s">
        <v>183</v>
      </c>
      <c r="C181">
        <v>42.810200000000002</v>
      </c>
      <c r="D181">
        <v>42.520200000000003</v>
      </c>
    </row>
    <row r="182" spans="2:4" x14ac:dyDescent="0.35">
      <c r="B182" t="s">
        <v>657</v>
      </c>
      <c r="C182">
        <v>19.228400000000001</v>
      </c>
      <c r="D182">
        <v>18.9573</v>
      </c>
    </row>
    <row r="183" spans="2:4" x14ac:dyDescent="0.35">
      <c r="B183" t="s">
        <v>185</v>
      </c>
      <c r="C183">
        <v>36.2971</v>
      </c>
      <c r="D183">
        <v>36.006500000000003</v>
      </c>
    </row>
    <row r="184" spans="2:4" x14ac:dyDescent="0.35">
      <c r="B184" t="s">
        <v>658</v>
      </c>
      <c r="C184">
        <v>15.6411</v>
      </c>
      <c r="D184">
        <v>15.4002</v>
      </c>
    </row>
    <row r="186" spans="2:4" x14ac:dyDescent="0.35">
      <c r="B186" t="s">
        <v>187</v>
      </c>
    </row>
    <row r="187" spans="2:4" x14ac:dyDescent="0.35">
      <c r="B187" t="s">
        <v>182</v>
      </c>
      <c r="C187" t="s">
        <v>659</v>
      </c>
      <c r="D187" t="s">
        <v>660</v>
      </c>
    </row>
    <row r="188" spans="2:4" x14ac:dyDescent="0.35">
      <c r="B188" t="s">
        <v>657</v>
      </c>
      <c r="C188">
        <v>0.14000000000000001</v>
      </c>
      <c r="D188" t="s">
        <v>806</v>
      </c>
    </row>
    <row r="189" spans="2:4" x14ac:dyDescent="0.35">
      <c r="B189" t="s">
        <v>658</v>
      </c>
      <c r="C189">
        <v>0.115</v>
      </c>
      <c r="D189">
        <v>0.115</v>
      </c>
    </row>
    <row r="191" spans="2:4" x14ac:dyDescent="0.35">
      <c r="B191" t="s">
        <v>188</v>
      </c>
      <c r="D191" t="s">
        <v>481</v>
      </c>
    </row>
    <row r="192" spans="2:4" x14ac:dyDescent="0.35">
      <c r="B192" t="s">
        <v>189</v>
      </c>
      <c r="D192" t="s">
        <v>177</v>
      </c>
    </row>
    <row r="193" spans="2:4" x14ac:dyDescent="0.35">
      <c r="B193" t="s">
        <v>190</v>
      </c>
      <c r="D193" t="s">
        <v>177</v>
      </c>
    </row>
    <row r="194" spans="2:4" x14ac:dyDescent="0.35">
      <c r="B194" t="s">
        <v>191</v>
      </c>
      <c r="D194">
        <v>2.8161385891235309</v>
      </c>
    </row>
    <row r="196" spans="2:4" x14ac:dyDescent="0.35">
      <c r="B196" t="s">
        <v>691</v>
      </c>
    </row>
    <row r="197" spans="2:4" x14ac:dyDescent="0.35">
      <c r="B197" t="s">
        <v>692</v>
      </c>
      <c r="D197" t="s">
        <v>787</v>
      </c>
    </row>
    <row r="198" spans="2:4" x14ac:dyDescent="0.35">
      <c r="B198" t="s">
        <v>693</v>
      </c>
    </row>
    <row r="200" spans="2:4" x14ac:dyDescent="0.35">
      <c r="B200" t="s">
        <v>694</v>
      </c>
      <c r="D200">
        <v>6.5683435236793581</v>
      </c>
    </row>
    <row r="202" spans="2:4" x14ac:dyDescent="0.35">
      <c r="B202" t="s">
        <v>695</v>
      </c>
      <c r="D202">
        <v>3.9947460820201539</v>
      </c>
    </row>
    <row r="203" spans="2:4" x14ac:dyDescent="0.35">
      <c r="B203" t="s">
        <v>696</v>
      </c>
      <c r="D203">
        <v>5.9405469352687117</v>
      </c>
    </row>
    <row r="205" spans="2:4" x14ac:dyDescent="0.35">
      <c r="B205" t="s">
        <v>697</v>
      </c>
      <c r="D205" t="s">
        <v>698</v>
      </c>
    </row>
    <row r="206" spans="2:4" x14ac:dyDescent="0.35">
      <c r="B206" t="s">
        <v>699</v>
      </c>
    </row>
    <row r="208" spans="2:4" x14ac:dyDescent="0.35">
      <c r="B208" t="s">
        <v>192</v>
      </c>
    </row>
    <row r="213" spans="2:2" x14ac:dyDescent="0.35">
      <c r="B213" t="s">
        <v>193</v>
      </c>
    </row>
    <row r="214" spans="2:2" x14ac:dyDescent="0.35">
      <c r="B214" t="s">
        <v>807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65"/>
  <sheetViews>
    <sheetView workbookViewId="0"/>
  </sheetViews>
  <sheetFormatPr defaultRowHeight="14.5" x14ac:dyDescent="0.35"/>
  <sheetData>
    <row r="1" spans="1:9" x14ac:dyDescent="0.35">
      <c r="A1" t="s">
        <v>0</v>
      </c>
      <c r="I1" t="s">
        <v>1</v>
      </c>
    </row>
    <row r="2" spans="1:9" x14ac:dyDescent="0.35">
      <c r="A2" t="s">
        <v>808</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650000</v>
      </c>
      <c r="F7">
        <v>6442.8</v>
      </c>
      <c r="G7">
        <v>7.0085999999999996E-2</v>
      </c>
    </row>
    <row r="8" spans="1:9" x14ac:dyDescent="0.35">
      <c r="A8">
        <v>2</v>
      </c>
      <c r="B8" t="s">
        <v>39</v>
      </c>
      <c r="C8" t="s">
        <v>40</v>
      </c>
      <c r="D8" t="s">
        <v>38</v>
      </c>
      <c r="E8">
        <v>265000</v>
      </c>
      <c r="F8">
        <v>3558.6849999999999</v>
      </c>
      <c r="G8">
        <v>3.8712049999999998E-2</v>
      </c>
    </row>
    <row r="9" spans="1:9" x14ac:dyDescent="0.35">
      <c r="A9">
        <v>3</v>
      </c>
      <c r="B9" t="s">
        <v>354</v>
      </c>
      <c r="C9" t="s">
        <v>355</v>
      </c>
      <c r="D9" t="s">
        <v>230</v>
      </c>
      <c r="E9">
        <v>213555</v>
      </c>
      <c r="F9">
        <v>3449.7674699999998</v>
      </c>
      <c r="G9">
        <v>3.752722E-2</v>
      </c>
    </row>
    <row r="10" spans="1:9" x14ac:dyDescent="0.35">
      <c r="A10">
        <v>4</v>
      </c>
      <c r="B10" t="s">
        <v>23</v>
      </c>
      <c r="C10" t="s">
        <v>24</v>
      </c>
      <c r="D10" t="s">
        <v>25</v>
      </c>
      <c r="E10">
        <v>950000</v>
      </c>
      <c r="F10">
        <v>3130.7249999999999</v>
      </c>
      <c r="G10">
        <v>3.4056620000000003E-2</v>
      </c>
    </row>
    <row r="11" spans="1:9" x14ac:dyDescent="0.35">
      <c r="A11">
        <v>5</v>
      </c>
      <c r="B11" t="s">
        <v>489</v>
      </c>
      <c r="C11" t="s">
        <v>490</v>
      </c>
      <c r="D11" t="s">
        <v>97</v>
      </c>
      <c r="E11">
        <v>719587</v>
      </c>
      <c r="F11">
        <f>31.325061*100</f>
        <v>3132.5061000000001</v>
      </c>
      <c r="G11">
        <f>F11/F128</f>
        <v>3.4075994607331989E-2</v>
      </c>
    </row>
    <row r="12" spans="1:9" x14ac:dyDescent="0.35">
      <c r="A12">
        <v>6</v>
      </c>
      <c r="B12" t="s">
        <v>36</v>
      </c>
      <c r="C12" t="s">
        <v>37</v>
      </c>
      <c r="D12" t="s">
        <v>38</v>
      </c>
      <c r="E12">
        <v>297000</v>
      </c>
      <c r="F12">
        <v>2917.134</v>
      </c>
      <c r="G12">
        <v>3.173314E-2</v>
      </c>
    </row>
    <row r="13" spans="1:9" x14ac:dyDescent="0.35">
      <c r="A13">
        <v>7</v>
      </c>
      <c r="B13" t="s">
        <v>703</v>
      </c>
      <c r="C13" t="s">
        <v>704</v>
      </c>
      <c r="D13" t="s">
        <v>493</v>
      </c>
      <c r="E13">
        <v>700000</v>
      </c>
      <c r="F13">
        <v>2821</v>
      </c>
      <c r="G13">
        <v>3.0687369999999999E-2</v>
      </c>
    </row>
    <row r="14" spans="1:9" x14ac:dyDescent="0.35">
      <c r="A14">
        <v>8</v>
      </c>
      <c r="B14" t="s">
        <v>70</v>
      </c>
      <c r="C14" t="s">
        <v>71</v>
      </c>
      <c r="D14" t="s">
        <v>72</v>
      </c>
      <c r="E14">
        <v>1000000</v>
      </c>
      <c r="F14">
        <v>2403.8000000000002</v>
      </c>
      <c r="G14">
        <v>2.614899E-2</v>
      </c>
    </row>
    <row r="15" spans="1:9" x14ac:dyDescent="0.35">
      <c r="A15">
        <v>9</v>
      </c>
      <c r="B15" t="s">
        <v>809</v>
      </c>
      <c r="C15" t="s">
        <v>810</v>
      </c>
      <c r="D15" t="s">
        <v>811</v>
      </c>
      <c r="E15">
        <v>600000</v>
      </c>
      <c r="F15">
        <v>2394</v>
      </c>
      <c r="G15">
        <v>2.6042389999999999E-2</v>
      </c>
    </row>
    <row r="16" spans="1:9" x14ac:dyDescent="0.35">
      <c r="A16">
        <v>10</v>
      </c>
      <c r="B16" t="s">
        <v>34</v>
      </c>
      <c r="C16" t="s">
        <v>35</v>
      </c>
      <c r="D16" t="s">
        <v>25</v>
      </c>
      <c r="E16">
        <v>875000</v>
      </c>
      <c r="F16">
        <v>2315.25</v>
      </c>
      <c r="G16">
        <v>2.518573E-2</v>
      </c>
    </row>
    <row r="17" spans="1:7" x14ac:dyDescent="0.35">
      <c r="A17">
        <v>11</v>
      </c>
      <c r="B17" t="s">
        <v>17</v>
      </c>
      <c r="C17" t="s">
        <v>18</v>
      </c>
      <c r="D17" t="s">
        <v>19</v>
      </c>
      <c r="E17">
        <v>55000</v>
      </c>
      <c r="F17">
        <v>2245.9250000000002</v>
      </c>
      <c r="G17">
        <v>2.4431600000000001E-2</v>
      </c>
    </row>
    <row r="18" spans="1:7" x14ac:dyDescent="0.35">
      <c r="A18">
        <v>12</v>
      </c>
      <c r="B18" t="s">
        <v>516</v>
      </c>
      <c r="C18" t="s">
        <v>517</v>
      </c>
      <c r="D18" t="s">
        <v>230</v>
      </c>
      <c r="E18">
        <v>140000</v>
      </c>
      <c r="F18">
        <v>2227.2600000000002</v>
      </c>
      <c r="G18">
        <v>2.422856E-2</v>
      </c>
    </row>
    <row r="19" spans="1:7" x14ac:dyDescent="0.35">
      <c r="A19">
        <v>13</v>
      </c>
      <c r="B19" t="s">
        <v>487</v>
      </c>
      <c r="C19" t="s">
        <v>488</v>
      </c>
      <c r="D19" t="s">
        <v>230</v>
      </c>
      <c r="E19">
        <v>135000</v>
      </c>
      <c r="F19">
        <v>2191.4549999999999</v>
      </c>
      <c r="G19">
        <v>2.3839059999999999E-2</v>
      </c>
    </row>
    <row r="20" spans="1:7" x14ac:dyDescent="0.35">
      <c r="A20">
        <v>14</v>
      </c>
      <c r="B20" t="s">
        <v>214</v>
      </c>
      <c r="C20" t="s">
        <v>215</v>
      </c>
      <c r="D20" t="s">
        <v>22</v>
      </c>
      <c r="E20">
        <v>420000</v>
      </c>
      <c r="F20">
        <v>2096.0100000000002</v>
      </c>
      <c r="G20">
        <v>2.2800790000000001E-2</v>
      </c>
    </row>
    <row r="21" spans="1:7" x14ac:dyDescent="0.35">
      <c r="A21">
        <v>15</v>
      </c>
      <c r="B21" t="s">
        <v>92</v>
      </c>
      <c r="C21" t="s">
        <v>93</v>
      </c>
      <c r="D21" t="s">
        <v>94</v>
      </c>
      <c r="E21">
        <v>1175000</v>
      </c>
      <c r="F21">
        <v>2022.88</v>
      </c>
      <c r="G21">
        <v>2.200527E-2</v>
      </c>
    </row>
    <row r="22" spans="1:7" x14ac:dyDescent="0.35">
      <c r="A22">
        <v>16</v>
      </c>
      <c r="B22" t="s">
        <v>14</v>
      </c>
      <c r="C22" t="s">
        <v>15</v>
      </c>
      <c r="D22" t="s">
        <v>16</v>
      </c>
      <c r="E22">
        <v>95000</v>
      </c>
      <c r="F22">
        <v>2000.32</v>
      </c>
      <c r="G22">
        <v>2.1759859999999999E-2</v>
      </c>
    </row>
    <row r="23" spans="1:7" x14ac:dyDescent="0.35">
      <c r="A23">
        <v>17</v>
      </c>
      <c r="B23" t="s">
        <v>498</v>
      </c>
      <c r="C23" t="s">
        <v>499</v>
      </c>
      <c r="D23" t="s">
        <v>252</v>
      </c>
      <c r="E23">
        <v>10500</v>
      </c>
      <c r="F23">
        <v>1753.1849999999999</v>
      </c>
      <c r="G23">
        <v>1.9071479999999998E-2</v>
      </c>
    </row>
    <row r="24" spans="1:7" x14ac:dyDescent="0.35">
      <c r="A24">
        <v>18</v>
      </c>
      <c r="B24" t="s">
        <v>20</v>
      </c>
      <c r="C24" t="s">
        <v>21</v>
      </c>
      <c r="D24" t="s">
        <v>22</v>
      </c>
      <c r="E24">
        <v>110000</v>
      </c>
      <c r="F24">
        <v>1727.44</v>
      </c>
      <c r="G24">
        <v>1.879142E-2</v>
      </c>
    </row>
    <row r="25" spans="1:7" x14ac:dyDescent="0.35">
      <c r="A25">
        <v>19</v>
      </c>
      <c r="B25" t="s">
        <v>360</v>
      </c>
      <c r="C25" t="s">
        <v>361</v>
      </c>
      <c r="D25" t="s">
        <v>38</v>
      </c>
      <c r="E25">
        <v>550000</v>
      </c>
      <c r="F25">
        <v>1627.45</v>
      </c>
      <c r="G25">
        <v>1.7703710000000001E-2</v>
      </c>
    </row>
    <row r="26" spans="1:7" x14ac:dyDescent="0.35">
      <c r="A26">
        <v>20</v>
      </c>
      <c r="B26" t="s">
        <v>491</v>
      </c>
      <c r="C26" t="s">
        <v>492</v>
      </c>
      <c r="D26" t="s">
        <v>493</v>
      </c>
      <c r="E26">
        <v>65000</v>
      </c>
      <c r="F26">
        <v>1505.335</v>
      </c>
      <c r="G26">
        <v>1.6375319999999999E-2</v>
      </c>
    </row>
    <row r="27" spans="1:7" x14ac:dyDescent="0.35">
      <c r="A27">
        <v>21</v>
      </c>
      <c r="B27" t="s">
        <v>502</v>
      </c>
      <c r="C27" t="s">
        <v>503</v>
      </c>
      <c r="D27" t="s">
        <v>252</v>
      </c>
      <c r="E27">
        <v>16000</v>
      </c>
      <c r="F27">
        <v>1494.88</v>
      </c>
      <c r="G27">
        <v>1.6261589999999999E-2</v>
      </c>
    </row>
    <row r="28" spans="1:7" x14ac:dyDescent="0.35">
      <c r="A28">
        <v>22</v>
      </c>
      <c r="B28" t="s">
        <v>812</v>
      </c>
      <c r="C28" t="s">
        <v>813</v>
      </c>
      <c r="D28" t="s">
        <v>129</v>
      </c>
      <c r="E28">
        <v>800000</v>
      </c>
      <c r="F28">
        <v>1440.64</v>
      </c>
      <c r="G28">
        <v>1.5671560000000001E-2</v>
      </c>
    </row>
    <row r="29" spans="1:7" x14ac:dyDescent="0.35">
      <c r="A29">
        <v>23</v>
      </c>
      <c r="B29" t="s">
        <v>204</v>
      </c>
      <c r="C29" t="s">
        <v>205</v>
      </c>
      <c r="D29" t="s">
        <v>206</v>
      </c>
      <c r="E29">
        <v>350000</v>
      </c>
      <c r="F29">
        <v>1410.5</v>
      </c>
      <c r="G29">
        <v>1.534369E-2</v>
      </c>
    </row>
    <row r="30" spans="1:7" x14ac:dyDescent="0.35">
      <c r="A30">
        <v>24</v>
      </c>
      <c r="B30" t="s">
        <v>29</v>
      </c>
      <c r="C30" t="s">
        <v>30</v>
      </c>
      <c r="D30" t="s">
        <v>31</v>
      </c>
      <c r="E30">
        <v>350000</v>
      </c>
      <c r="F30">
        <v>1398.6</v>
      </c>
      <c r="G30">
        <v>1.521424E-2</v>
      </c>
    </row>
    <row r="31" spans="1:7" x14ac:dyDescent="0.35">
      <c r="A31">
        <v>25</v>
      </c>
      <c r="B31" t="s">
        <v>723</v>
      </c>
      <c r="C31" t="s">
        <v>724</v>
      </c>
      <c r="D31" t="s">
        <v>394</v>
      </c>
      <c r="E31">
        <v>23000</v>
      </c>
      <c r="F31">
        <v>1387.13</v>
      </c>
      <c r="G31">
        <v>1.5089460000000001E-2</v>
      </c>
    </row>
    <row r="32" spans="1:7" x14ac:dyDescent="0.35">
      <c r="A32">
        <v>26</v>
      </c>
      <c r="B32" t="s">
        <v>814</v>
      </c>
      <c r="C32" t="s">
        <v>815</v>
      </c>
      <c r="D32" t="s">
        <v>25</v>
      </c>
      <c r="E32">
        <v>825000</v>
      </c>
      <c r="F32">
        <v>1382.37</v>
      </c>
      <c r="G32">
        <v>1.5037679999999999E-2</v>
      </c>
    </row>
    <row r="33" spans="1:7" x14ac:dyDescent="0.35">
      <c r="A33">
        <v>27</v>
      </c>
      <c r="B33" t="s">
        <v>358</v>
      </c>
      <c r="C33" t="s">
        <v>359</v>
      </c>
      <c r="D33" t="s">
        <v>252</v>
      </c>
      <c r="E33">
        <v>37000</v>
      </c>
      <c r="F33">
        <v>1372.404</v>
      </c>
      <c r="G33">
        <v>1.492927E-2</v>
      </c>
    </row>
    <row r="34" spans="1:7" x14ac:dyDescent="0.35">
      <c r="A34">
        <v>28</v>
      </c>
      <c r="B34" t="s">
        <v>306</v>
      </c>
      <c r="C34" t="s">
        <v>307</v>
      </c>
      <c r="D34" t="s">
        <v>25</v>
      </c>
      <c r="E34">
        <v>1700000</v>
      </c>
      <c r="F34">
        <v>1346.74</v>
      </c>
      <c r="G34">
        <v>1.4650089999999999E-2</v>
      </c>
    </row>
    <row r="35" spans="1:7" x14ac:dyDescent="0.35">
      <c r="A35">
        <v>29</v>
      </c>
      <c r="B35" t="s">
        <v>57</v>
      </c>
      <c r="C35" t="s">
        <v>58</v>
      </c>
      <c r="D35" t="s">
        <v>53</v>
      </c>
      <c r="E35">
        <v>30000</v>
      </c>
      <c r="F35">
        <v>1330.32</v>
      </c>
      <c r="G35">
        <v>1.447147E-2</v>
      </c>
    </row>
    <row r="36" spans="1:7" x14ac:dyDescent="0.35">
      <c r="A36">
        <v>30</v>
      </c>
      <c r="B36" t="s">
        <v>372</v>
      </c>
      <c r="C36" t="s">
        <v>373</v>
      </c>
      <c r="D36" t="s">
        <v>243</v>
      </c>
      <c r="E36">
        <v>75000</v>
      </c>
      <c r="F36">
        <v>1289.7750000000001</v>
      </c>
      <c r="G36">
        <v>1.403042E-2</v>
      </c>
    </row>
    <row r="37" spans="1:7" x14ac:dyDescent="0.35">
      <c r="A37">
        <v>31</v>
      </c>
      <c r="B37" t="s">
        <v>788</v>
      </c>
      <c r="C37" t="s">
        <v>789</v>
      </c>
      <c r="D37" t="s">
        <v>230</v>
      </c>
      <c r="E37">
        <v>35000</v>
      </c>
      <c r="F37">
        <v>1122.17</v>
      </c>
      <c r="G37">
        <v>1.220718E-2</v>
      </c>
    </row>
    <row r="38" spans="1:7" x14ac:dyDescent="0.35">
      <c r="A38">
        <v>32</v>
      </c>
      <c r="B38" t="s">
        <v>816</v>
      </c>
      <c r="C38" t="s">
        <v>817</v>
      </c>
      <c r="D38" t="s">
        <v>22</v>
      </c>
      <c r="E38">
        <v>575000</v>
      </c>
      <c r="F38">
        <v>1107.1624999999999</v>
      </c>
      <c r="G38">
        <v>1.204392E-2</v>
      </c>
    </row>
    <row r="39" spans="1:7" x14ac:dyDescent="0.35">
      <c r="A39">
        <v>33</v>
      </c>
      <c r="B39" t="s">
        <v>818</v>
      </c>
      <c r="C39" t="s">
        <v>819</v>
      </c>
      <c r="D39" t="s">
        <v>230</v>
      </c>
      <c r="E39">
        <v>18000</v>
      </c>
      <c r="F39">
        <v>1091.43</v>
      </c>
      <c r="G39">
        <v>1.1872779999999999E-2</v>
      </c>
    </row>
    <row r="40" spans="1:7" x14ac:dyDescent="0.35">
      <c r="A40">
        <v>34</v>
      </c>
      <c r="B40" t="s">
        <v>352</v>
      </c>
      <c r="C40" t="s">
        <v>353</v>
      </c>
      <c r="D40" t="s">
        <v>38</v>
      </c>
      <c r="E40">
        <v>85000</v>
      </c>
      <c r="F40">
        <v>1078.99</v>
      </c>
      <c r="G40">
        <v>1.173746E-2</v>
      </c>
    </row>
    <row r="41" spans="1:7" x14ac:dyDescent="0.35">
      <c r="A41">
        <v>35</v>
      </c>
      <c r="B41" t="s">
        <v>715</v>
      </c>
      <c r="C41" t="s">
        <v>716</v>
      </c>
      <c r="D41" t="s">
        <v>206</v>
      </c>
      <c r="E41">
        <v>300000</v>
      </c>
      <c r="F41">
        <v>1070.4000000000001</v>
      </c>
      <c r="G41">
        <v>1.164401E-2</v>
      </c>
    </row>
    <row r="42" spans="1:7" x14ac:dyDescent="0.35">
      <c r="A42">
        <v>36</v>
      </c>
      <c r="B42" t="s">
        <v>293</v>
      </c>
      <c r="C42" t="s">
        <v>294</v>
      </c>
      <c r="D42" t="s">
        <v>281</v>
      </c>
      <c r="E42">
        <v>200000</v>
      </c>
      <c r="F42">
        <v>1057.2</v>
      </c>
      <c r="G42">
        <v>1.1500420000000001E-2</v>
      </c>
    </row>
    <row r="43" spans="1:7" x14ac:dyDescent="0.35">
      <c r="A43">
        <v>37</v>
      </c>
      <c r="B43" t="s">
        <v>820</v>
      </c>
      <c r="C43" t="s">
        <v>821</v>
      </c>
      <c r="D43" t="s">
        <v>22</v>
      </c>
      <c r="E43">
        <v>625000</v>
      </c>
      <c r="F43">
        <v>1040.375</v>
      </c>
      <c r="G43">
        <v>1.13174E-2</v>
      </c>
    </row>
    <row r="44" spans="1:7" x14ac:dyDescent="0.35">
      <c r="A44">
        <v>38</v>
      </c>
      <c r="B44" t="s">
        <v>713</v>
      </c>
      <c r="C44" t="s">
        <v>714</v>
      </c>
      <c r="D44" t="s">
        <v>252</v>
      </c>
      <c r="E44">
        <v>18000</v>
      </c>
      <c r="F44">
        <v>1038.78</v>
      </c>
      <c r="G44">
        <v>1.1300050000000001E-2</v>
      </c>
    </row>
    <row r="45" spans="1:7" x14ac:dyDescent="0.35">
      <c r="A45">
        <v>39</v>
      </c>
      <c r="B45" t="s">
        <v>228</v>
      </c>
      <c r="C45" t="s">
        <v>229</v>
      </c>
      <c r="D45" t="s">
        <v>230</v>
      </c>
      <c r="E45">
        <v>60000</v>
      </c>
      <c r="F45">
        <v>997.8</v>
      </c>
      <c r="G45">
        <v>1.0854259999999999E-2</v>
      </c>
    </row>
    <row r="46" spans="1:7" x14ac:dyDescent="0.35">
      <c r="A46">
        <v>40</v>
      </c>
      <c r="B46" t="s">
        <v>356</v>
      </c>
      <c r="C46" t="s">
        <v>357</v>
      </c>
      <c r="D46" t="s">
        <v>38</v>
      </c>
      <c r="E46">
        <v>45000</v>
      </c>
      <c r="F46">
        <v>990.495</v>
      </c>
      <c r="G46">
        <v>1.0774789999999999E-2</v>
      </c>
    </row>
    <row r="47" spans="1:7" x14ac:dyDescent="0.35">
      <c r="A47">
        <v>41</v>
      </c>
      <c r="B47" t="s">
        <v>717</v>
      </c>
      <c r="C47" t="s">
        <v>718</v>
      </c>
      <c r="D47" t="s">
        <v>72</v>
      </c>
      <c r="E47">
        <v>220000</v>
      </c>
      <c r="F47">
        <v>933.57</v>
      </c>
      <c r="G47">
        <v>1.0155549999999999E-2</v>
      </c>
    </row>
    <row r="48" spans="1:7" x14ac:dyDescent="0.35">
      <c r="A48">
        <v>42</v>
      </c>
      <c r="B48" t="s">
        <v>388</v>
      </c>
      <c r="C48" t="s">
        <v>389</v>
      </c>
      <c r="D48" t="s">
        <v>114</v>
      </c>
      <c r="E48">
        <v>150000</v>
      </c>
      <c r="F48">
        <v>925.27499999999998</v>
      </c>
      <c r="G48">
        <v>1.0065320000000001E-2</v>
      </c>
    </row>
    <row r="49" spans="1:7" x14ac:dyDescent="0.35">
      <c r="A49">
        <v>43</v>
      </c>
      <c r="B49" t="s">
        <v>822</v>
      </c>
      <c r="C49" t="s">
        <v>823</v>
      </c>
      <c r="D49" t="s">
        <v>281</v>
      </c>
      <c r="E49">
        <v>75000</v>
      </c>
      <c r="F49">
        <v>916.65</v>
      </c>
      <c r="G49">
        <v>9.9714899999999995E-3</v>
      </c>
    </row>
    <row r="50" spans="1:7" x14ac:dyDescent="0.35">
      <c r="A50">
        <v>44</v>
      </c>
      <c r="B50" t="s">
        <v>824</v>
      </c>
      <c r="C50" t="s">
        <v>825</v>
      </c>
      <c r="D50" t="s">
        <v>230</v>
      </c>
      <c r="E50">
        <v>32000</v>
      </c>
      <c r="F50">
        <v>893.18399999999997</v>
      </c>
      <c r="G50">
        <v>9.7162299999999993E-3</v>
      </c>
    </row>
    <row r="51" spans="1:7" x14ac:dyDescent="0.35">
      <c r="A51">
        <v>45</v>
      </c>
      <c r="B51" t="s">
        <v>26</v>
      </c>
      <c r="C51" t="s">
        <v>27</v>
      </c>
      <c r="D51" t="s">
        <v>28</v>
      </c>
      <c r="E51">
        <v>7500</v>
      </c>
      <c r="F51">
        <v>883.8</v>
      </c>
      <c r="G51">
        <v>9.6141400000000002E-3</v>
      </c>
    </row>
    <row r="52" spans="1:7" x14ac:dyDescent="0.35">
      <c r="A52">
        <v>46</v>
      </c>
      <c r="B52" t="s">
        <v>504</v>
      </c>
      <c r="C52" t="s">
        <v>505</v>
      </c>
      <c r="D52" t="s">
        <v>97</v>
      </c>
      <c r="E52">
        <v>262787</v>
      </c>
      <c r="F52">
        <f>8.714017*100</f>
        <v>871.40170000000001</v>
      </c>
      <c r="G52">
        <f>F52/F128</f>
        <v>9.4792727235295492E-3</v>
      </c>
    </row>
    <row r="53" spans="1:7" x14ac:dyDescent="0.35">
      <c r="A53">
        <v>47</v>
      </c>
      <c r="B53" t="s">
        <v>364</v>
      </c>
      <c r="C53" t="s">
        <v>365</v>
      </c>
      <c r="D53" t="s">
        <v>31</v>
      </c>
      <c r="E53">
        <v>20000</v>
      </c>
      <c r="F53">
        <v>877.74</v>
      </c>
      <c r="G53">
        <v>9.5482199999999996E-3</v>
      </c>
    </row>
    <row r="54" spans="1:7" x14ac:dyDescent="0.35">
      <c r="A54">
        <v>48</v>
      </c>
      <c r="B54" t="s">
        <v>337</v>
      </c>
      <c r="C54" t="s">
        <v>338</v>
      </c>
      <c r="D54" t="s">
        <v>206</v>
      </c>
      <c r="E54">
        <v>75000</v>
      </c>
      <c r="F54">
        <v>747.15</v>
      </c>
      <c r="G54">
        <v>8.1276400000000002E-3</v>
      </c>
    </row>
    <row r="55" spans="1:7" x14ac:dyDescent="0.35">
      <c r="A55">
        <v>49</v>
      </c>
      <c r="B55" t="s">
        <v>826</v>
      </c>
      <c r="C55" t="s">
        <v>827</v>
      </c>
      <c r="D55" t="s">
        <v>97</v>
      </c>
      <c r="E55">
        <v>824023</v>
      </c>
      <c r="F55">
        <f>7.36347*100</f>
        <v>736.34700000000009</v>
      </c>
      <c r="G55">
        <f>F55/F128</f>
        <v>8.0101221195148162E-3</v>
      </c>
    </row>
    <row r="56" spans="1:7" x14ac:dyDescent="0.35">
      <c r="A56">
        <v>50</v>
      </c>
      <c r="B56" t="s">
        <v>828</v>
      </c>
      <c r="C56" t="s">
        <v>829</v>
      </c>
      <c r="D56" t="s">
        <v>65</v>
      </c>
      <c r="E56">
        <v>25000</v>
      </c>
      <c r="F56">
        <v>692.375</v>
      </c>
      <c r="G56">
        <v>7.53179E-3</v>
      </c>
    </row>
    <row r="57" spans="1:7" x14ac:dyDescent="0.35">
      <c r="A57">
        <v>51</v>
      </c>
      <c r="B57" t="s">
        <v>452</v>
      </c>
      <c r="C57" t="s">
        <v>453</v>
      </c>
      <c r="D57" t="s">
        <v>235</v>
      </c>
      <c r="E57">
        <v>61000</v>
      </c>
      <c r="F57">
        <v>688.995</v>
      </c>
      <c r="G57">
        <v>7.4950199999999998E-3</v>
      </c>
    </row>
    <row r="58" spans="1:7" x14ac:dyDescent="0.35">
      <c r="A58">
        <v>52</v>
      </c>
      <c r="B58" t="s">
        <v>366</v>
      </c>
      <c r="C58" t="s">
        <v>367</v>
      </c>
      <c r="D58" t="s">
        <v>206</v>
      </c>
      <c r="E58">
        <v>60000</v>
      </c>
      <c r="F58">
        <v>592.08000000000004</v>
      </c>
      <c r="G58">
        <v>6.4407600000000002E-3</v>
      </c>
    </row>
    <row r="59" spans="1:7" x14ac:dyDescent="0.35">
      <c r="A59">
        <v>53</v>
      </c>
      <c r="B59" t="s">
        <v>830</v>
      </c>
      <c r="C59" t="s">
        <v>831</v>
      </c>
      <c r="D59" t="s">
        <v>243</v>
      </c>
      <c r="E59">
        <v>11397</v>
      </c>
      <c r="F59">
        <v>465.81818399999997</v>
      </c>
      <c r="G59">
        <v>5.0672599999999996E-3</v>
      </c>
    </row>
    <row r="60" spans="1:7" x14ac:dyDescent="0.35">
      <c r="A60">
        <v>54</v>
      </c>
      <c r="B60" t="s">
        <v>832</v>
      </c>
      <c r="C60" t="s">
        <v>833</v>
      </c>
      <c r="D60" t="s">
        <v>209</v>
      </c>
      <c r="E60">
        <v>10000</v>
      </c>
      <c r="F60">
        <v>455.8</v>
      </c>
      <c r="G60">
        <v>4.9582799999999998E-3</v>
      </c>
    </row>
    <row r="61" spans="1:7" x14ac:dyDescent="0.35">
      <c r="A61">
        <v>55</v>
      </c>
      <c r="B61" t="s">
        <v>524</v>
      </c>
      <c r="C61" t="s">
        <v>525</v>
      </c>
      <c r="D61" t="s">
        <v>526</v>
      </c>
      <c r="E61">
        <v>65000</v>
      </c>
      <c r="F61">
        <v>26.13</v>
      </c>
      <c r="G61">
        <v>2.8425E-4</v>
      </c>
    </row>
    <row r="62" spans="1:7" x14ac:dyDescent="0.35">
      <c r="C62" t="s">
        <v>139</v>
      </c>
      <c r="F62">
        <f>SUM(F7:F61)</f>
        <v>87117.404953999969</v>
      </c>
      <c r="G62">
        <f>SUM(G7:G61)</f>
        <v>0.9476796594503768</v>
      </c>
    </row>
    <row r="64" spans="1:7" x14ac:dyDescent="0.35">
      <c r="C64" t="s">
        <v>140</v>
      </c>
    </row>
    <row r="65" spans="1:7" x14ac:dyDescent="0.35">
      <c r="C65" t="s">
        <v>139</v>
      </c>
      <c r="F65" t="s">
        <v>141</v>
      </c>
      <c r="G65">
        <v>0</v>
      </c>
    </row>
    <row r="67" spans="1:7" x14ac:dyDescent="0.35">
      <c r="C67" t="s">
        <v>142</v>
      </c>
    </row>
    <row r="68" spans="1:7" x14ac:dyDescent="0.35">
      <c r="A68">
        <v>1</v>
      </c>
      <c r="B68" t="s">
        <v>834</v>
      </c>
      <c r="C68" t="s">
        <v>835</v>
      </c>
      <c r="E68">
        <v>200000</v>
      </c>
      <c r="F68">
        <v>1.9999999999999999E-6</v>
      </c>
      <c r="G68" t="s">
        <v>146</v>
      </c>
    </row>
    <row r="69" spans="1:7" x14ac:dyDescent="0.35">
      <c r="A69">
        <v>2</v>
      </c>
      <c r="B69" t="s">
        <v>836</v>
      </c>
      <c r="C69" t="s">
        <v>837</v>
      </c>
      <c r="E69">
        <v>50000</v>
      </c>
      <c r="F69">
        <v>4.9999999999999998E-7</v>
      </c>
      <c r="G69" t="s">
        <v>146</v>
      </c>
    </row>
    <row r="70" spans="1:7" x14ac:dyDescent="0.35">
      <c r="A70">
        <v>3</v>
      </c>
      <c r="B70" t="s">
        <v>838</v>
      </c>
      <c r="C70" t="s">
        <v>839</v>
      </c>
      <c r="E70">
        <v>50000</v>
      </c>
      <c r="F70">
        <v>4.9999999999999998E-7</v>
      </c>
      <c r="G70" t="s">
        <v>146</v>
      </c>
    </row>
    <row r="71" spans="1:7" x14ac:dyDescent="0.35">
      <c r="A71">
        <v>4</v>
      </c>
      <c r="B71" t="s">
        <v>840</v>
      </c>
      <c r="C71" t="s">
        <v>841</v>
      </c>
      <c r="E71">
        <v>20</v>
      </c>
      <c r="F71">
        <v>0</v>
      </c>
      <c r="G71" t="s">
        <v>146</v>
      </c>
    </row>
    <row r="72" spans="1:7" x14ac:dyDescent="0.35">
      <c r="C72" t="s">
        <v>139</v>
      </c>
      <c r="F72" t="s">
        <v>141</v>
      </c>
      <c r="G72">
        <v>0</v>
      </c>
    </row>
    <row r="74" spans="1:7" x14ac:dyDescent="0.35">
      <c r="C74" t="s">
        <v>147</v>
      </c>
    </row>
    <row r="75" spans="1:7" x14ac:dyDescent="0.35">
      <c r="C75" t="s">
        <v>139</v>
      </c>
      <c r="F75" t="s">
        <v>141</v>
      </c>
      <c r="G75">
        <v>0</v>
      </c>
    </row>
    <row r="77" spans="1:7" x14ac:dyDescent="0.35">
      <c r="C77" t="s">
        <v>148</v>
      </c>
    </row>
    <row r="78" spans="1:7" x14ac:dyDescent="0.35">
      <c r="C78" t="s">
        <v>139</v>
      </c>
      <c r="F78" t="s">
        <v>141</v>
      </c>
      <c r="G78">
        <v>0</v>
      </c>
    </row>
    <row r="80" spans="1:7" x14ac:dyDescent="0.35">
      <c r="C80" t="s">
        <v>149</v>
      </c>
    </row>
    <row r="81" spans="3:7" x14ac:dyDescent="0.35">
      <c r="C81" t="s">
        <v>139</v>
      </c>
      <c r="F81" t="s">
        <v>141</v>
      </c>
      <c r="G81">
        <v>0</v>
      </c>
    </row>
    <row r="83" spans="3:7" x14ac:dyDescent="0.35">
      <c r="C83" t="s">
        <v>150</v>
      </c>
      <c r="F83">
        <f>F62+F72</f>
        <v>87117.404953999969</v>
      </c>
      <c r="G83">
        <f>G62</f>
        <v>0.9476796594503768</v>
      </c>
    </row>
    <row r="85" spans="3:7" x14ac:dyDescent="0.35">
      <c r="C85" t="s">
        <v>151</v>
      </c>
    </row>
    <row r="86" spans="3:7" x14ac:dyDescent="0.35">
      <c r="C86" t="s">
        <v>13</v>
      </c>
    </row>
    <row r="87" spans="3:7" x14ac:dyDescent="0.35">
      <c r="C87" t="s">
        <v>139</v>
      </c>
      <c r="F87" t="s">
        <v>141</v>
      </c>
      <c r="G87">
        <v>0</v>
      </c>
    </row>
    <row r="89" spans="3:7" x14ac:dyDescent="0.35">
      <c r="C89" t="s">
        <v>152</v>
      </c>
    </row>
    <row r="90" spans="3:7" x14ac:dyDescent="0.35">
      <c r="C90" t="s">
        <v>139</v>
      </c>
      <c r="F90" t="s">
        <v>141</v>
      </c>
      <c r="G90">
        <v>0</v>
      </c>
    </row>
    <row r="92" spans="3:7" x14ac:dyDescent="0.35">
      <c r="C92" t="s">
        <v>153</v>
      </c>
    </row>
    <row r="93" spans="3:7" x14ac:dyDescent="0.35">
      <c r="C93" t="s">
        <v>139</v>
      </c>
      <c r="F93" t="s">
        <v>141</v>
      </c>
      <c r="G93">
        <v>0</v>
      </c>
    </row>
    <row r="95" spans="3:7" x14ac:dyDescent="0.35">
      <c r="C95" t="s">
        <v>154</v>
      </c>
    </row>
    <row r="96" spans="3:7" x14ac:dyDescent="0.35">
      <c r="C96" t="s">
        <v>139</v>
      </c>
      <c r="F96" t="s">
        <v>141</v>
      </c>
      <c r="G96">
        <v>0</v>
      </c>
    </row>
    <row r="98" spans="1:8" x14ac:dyDescent="0.35">
      <c r="C98" t="s">
        <v>155</v>
      </c>
      <c r="F98">
        <v>0</v>
      </c>
      <c r="G98">
        <v>0</v>
      </c>
    </row>
    <row r="100" spans="1:8" x14ac:dyDescent="0.35">
      <c r="C100" t="s">
        <v>156</v>
      </c>
    </row>
    <row r="101" spans="1:8" x14ac:dyDescent="0.35">
      <c r="C101" t="s">
        <v>157</v>
      </c>
    </row>
    <row r="102" spans="1:8" x14ac:dyDescent="0.35">
      <c r="C102" t="s">
        <v>139</v>
      </c>
      <c r="F102" t="s">
        <v>141</v>
      </c>
      <c r="G102">
        <v>0</v>
      </c>
    </row>
    <row r="104" spans="1:8" x14ac:dyDescent="0.35">
      <c r="C104" t="s">
        <v>158</v>
      </c>
    </row>
    <row r="105" spans="1:8" x14ac:dyDescent="0.35">
      <c r="C105" t="s">
        <v>139</v>
      </c>
      <c r="F105" t="s">
        <v>141</v>
      </c>
      <c r="G105">
        <v>0</v>
      </c>
    </row>
    <row r="107" spans="1:8" x14ac:dyDescent="0.35">
      <c r="C107" t="s">
        <v>159</v>
      </c>
    </row>
    <row r="108" spans="1:8" x14ac:dyDescent="0.35">
      <c r="C108" t="s">
        <v>139</v>
      </c>
      <c r="F108" t="s">
        <v>141</v>
      </c>
      <c r="G108">
        <v>0</v>
      </c>
    </row>
    <row r="110" spans="1:8" x14ac:dyDescent="0.35">
      <c r="C110" t="s">
        <v>160</v>
      </c>
    </row>
    <row r="111" spans="1:8" x14ac:dyDescent="0.35">
      <c r="A111">
        <v>1</v>
      </c>
      <c r="C111" t="s">
        <v>161</v>
      </c>
      <c r="F111">
        <v>3979.7201349820002</v>
      </c>
      <c r="G111">
        <v>4.3292150000000001E-2</v>
      </c>
      <c r="H111">
        <v>5.42</v>
      </c>
    </row>
    <row r="112" spans="1:8" x14ac:dyDescent="0.35">
      <c r="C112" t="s">
        <v>139</v>
      </c>
      <c r="F112">
        <v>3979.7201349820002</v>
      </c>
      <c r="G112">
        <v>4.3292150000000001E-2</v>
      </c>
    </row>
    <row r="114" spans="3:7" x14ac:dyDescent="0.35">
      <c r="C114" t="s">
        <v>162</v>
      </c>
      <c r="F114">
        <v>3979.7201349820002</v>
      </c>
      <c r="G114">
        <v>4.3292150000000001E-2</v>
      </c>
    </row>
    <row r="116" spans="3:7" x14ac:dyDescent="0.35">
      <c r="C116" t="s">
        <v>163</v>
      </c>
    </row>
    <row r="117" spans="3:7" x14ac:dyDescent="0.35">
      <c r="C117" t="s">
        <v>164</v>
      </c>
    </row>
    <row r="118" spans="3:7" x14ac:dyDescent="0.35">
      <c r="C118" t="s">
        <v>139</v>
      </c>
      <c r="F118" t="s">
        <v>141</v>
      </c>
      <c r="G118">
        <v>0</v>
      </c>
    </row>
    <row r="120" spans="3:7" x14ac:dyDescent="0.35">
      <c r="C120" t="s">
        <v>165</v>
      </c>
    </row>
    <row r="121" spans="3:7" x14ac:dyDescent="0.35">
      <c r="C121" t="s">
        <v>166</v>
      </c>
    </row>
    <row r="122" spans="3:7" x14ac:dyDescent="0.35">
      <c r="C122" t="s">
        <v>139</v>
      </c>
      <c r="F122" t="s">
        <v>141</v>
      </c>
      <c r="G122">
        <v>0</v>
      </c>
    </row>
    <row r="124" spans="3:7" x14ac:dyDescent="0.35">
      <c r="C124" t="s">
        <v>167</v>
      </c>
    </row>
    <row r="125" spans="3:7" x14ac:dyDescent="0.35">
      <c r="C125" t="s">
        <v>139</v>
      </c>
      <c r="F125" t="s">
        <v>141</v>
      </c>
      <c r="G125">
        <v>0</v>
      </c>
    </row>
    <row r="127" spans="3:7" x14ac:dyDescent="0.35">
      <c r="C127" t="s">
        <v>168</v>
      </c>
      <c r="F127">
        <v>829.93782134000003</v>
      </c>
      <c r="G127">
        <f>F127/F128</f>
        <v>9.0282207988047342E-3</v>
      </c>
    </row>
    <row r="128" spans="3:7" x14ac:dyDescent="0.35">
      <c r="C128" t="s">
        <v>169</v>
      </c>
      <c r="F128">
        <f>F127+F114+F98+F83</f>
        <v>91927.062910321969</v>
      </c>
      <c r="G128">
        <f>G127+G114+G98+G83</f>
        <v>1.0000000302491816</v>
      </c>
    </row>
    <row r="130" spans="2:4" x14ac:dyDescent="0.35">
      <c r="B130" t="s">
        <v>170</v>
      </c>
    </row>
    <row r="131" spans="2:4" x14ac:dyDescent="0.35">
      <c r="B131" t="s">
        <v>171</v>
      </c>
    </row>
    <row r="132" spans="2:4" x14ac:dyDescent="0.35">
      <c r="B132" t="s">
        <v>172</v>
      </c>
    </row>
    <row r="133" spans="2:4" x14ac:dyDescent="0.35">
      <c r="B133" t="s">
        <v>173</v>
      </c>
    </row>
    <row r="134" spans="2:4" x14ac:dyDescent="0.35">
      <c r="B134" t="s">
        <v>174</v>
      </c>
    </row>
    <row r="136" spans="2:4" x14ac:dyDescent="0.35">
      <c r="B136" t="s">
        <v>175</v>
      </c>
    </row>
    <row r="137" spans="2:4" x14ac:dyDescent="0.35">
      <c r="B137" t="s">
        <v>176</v>
      </c>
      <c r="D137" t="s">
        <v>656</v>
      </c>
    </row>
    <row r="138" spans="2:4" x14ac:dyDescent="0.35">
      <c r="B138" t="s">
        <v>178</v>
      </c>
      <c r="D138" t="str">
        <f>"Rs. "&amp;TEXT(F74,"0.00")&amp;" lacs/ #"</f>
        <v>Rs. 0.00 lacs/ #</v>
      </c>
    </row>
    <row r="139" spans="2:4" x14ac:dyDescent="0.35">
      <c r="B139" t="s">
        <v>179</v>
      </c>
    </row>
    <row r="140" spans="2:4" x14ac:dyDescent="0.35">
      <c r="C140" t="s">
        <v>180</v>
      </c>
      <c r="D140" t="s">
        <v>181</v>
      </c>
    </row>
    <row r="141" spans="2:4" x14ac:dyDescent="0.35">
      <c r="B141" t="s">
        <v>182</v>
      </c>
      <c r="C141" s="1">
        <v>45991</v>
      </c>
      <c r="D141" s="1">
        <v>46022</v>
      </c>
    </row>
    <row r="142" spans="2:4" x14ac:dyDescent="0.35">
      <c r="B142" t="s">
        <v>183</v>
      </c>
      <c r="C142">
        <v>153.2088</v>
      </c>
      <c r="D142">
        <v>153.54429999999999</v>
      </c>
    </row>
    <row r="143" spans="2:4" x14ac:dyDescent="0.35">
      <c r="B143" t="s">
        <v>842</v>
      </c>
      <c r="C143">
        <v>68.338700000000003</v>
      </c>
      <c r="D143">
        <v>68.488399999999999</v>
      </c>
    </row>
    <row r="144" spans="2:4" x14ac:dyDescent="0.35">
      <c r="B144" t="s">
        <v>185</v>
      </c>
      <c r="C144">
        <v>139.7645</v>
      </c>
      <c r="D144">
        <v>139.92449999999999</v>
      </c>
    </row>
    <row r="145" spans="2:6" x14ac:dyDescent="0.35">
      <c r="B145" t="s">
        <v>843</v>
      </c>
      <c r="C145">
        <v>40.642800000000001</v>
      </c>
      <c r="D145">
        <v>40.689300000000003</v>
      </c>
    </row>
    <row r="147" spans="2:6" x14ac:dyDescent="0.35">
      <c r="B147" t="s">
        <v>187</v>
      </c>
      <c r="D147" t="s">
        <v>177</v>
      </c>
    </row>
    <row r="149" spans="2:6" x14ac:dyDescent="0.35">
      <c r="B149" t="s">
        <v>188</v>
      </c>
      <c r="D149" t="s">
        <v>177</v>
      </c>
    </row>
    <row r="150" spans="2:6" x14ac:dyDescent="0.35">
      <c r="B150" t="s">
        <v>189</v>
      </c>
      <c r="D150" t="s">
        <v>177</v>
      </c>
    </row>
    <row r="151" spans="2:6" x14ac:dyDescent="0.35">
      <c r="B151" t="s">
        <v>190</v>
      </c>
      <c r="D151" t="s">
        <v>177</v>
      </c>
    </row>
    <row r="152" spans="2:6" x14ac:dyDescent="0.35">
      <c r="B152" t="s">
        <v>191</v>
      </c>
      <c r="D152">
        <v>0.50748951009323173</v>
      </c>
    </row>
    <row r="154" spans="2:6" x14ac:dyDescent="0.35">
      <c r="B154" t="s">
        <v>661</v>
      </c>
    </row>
    <row r="155" spans="2:6" x14ac:dyDescent="0.35">
      <c r="B155" t="s">
        <v>844</v>
      </c>
      <c r="C155" t="s">
        <v>845</v>
      </c>
      <c r="D155" t="s">
        <v>846</v>
      </c>
      <c r="E155" t="s">
        <v>847</v>
      </c>
      <c r="F155" t="s">
        <v>848</v>
      </c>
    </row>
    <row r="156" spans="2:6" x14ac:dyDescent="0.35">
      <c r="B156" t="s">
        <v>849</v>
      </c>
      <c r="C156" t="s">
        <v>850</v>
      </c>
      <c r="D156">
        <v>0</v>
      </c>
      <c r="E156">
        <v>0</v>
      </c>
      <c r="F156">
        <v>241.97234</v>
      </c>
    </row>
    <row r="157" spans="2:6" x14ac:dyDescent="0.35">
      <c r="B157" t="s">
        <v>851</v>
      </c>
      <c r="C157" t="s">
        <v>850</v>
      </c>
      <c r="D157">
        <v>0</v>
      </c>
      <c r="E157">
        <v>0</v>
      </c>
      <c r="F157">
        <v>23.186299999999999</v>
      </c>
    </row>
    <row r="159" spans="2:6" x14ac:dyDescent="0.35">
      <c r="B159" t="s">
        <v>192</v>
      </c>
    </row>
    <row r="164" spans="2:4" x14ac:dyDescent="0.35">
      <c r="B164" t="s">
        <v>193</v>
      </c>
      <c r="D164" t="s">
        <v>346</v>
      </c>
    </row>
    <row r="165" spans="2:4" x14ac:dyDescent="0.35">
      <c r="B165" t="s">
        <v>852</v>
      </c>
      <c r="D165" t="s">
        <v>853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13"/>
  <sheetViews>
    <sheetView workbookViewId="0"/>
  </sheetViews>
  <sheetFormatPr defaultRowHeight="14.5" x14ac:dyDescent="0.35"/>
  <sheetData>
    <row r="1" spans="1:9" x14ac:dyDescent="0.35">
      <c r="A1" t="s">
        <v>0</v>
      </c>
      <c r="I1" t="s">
        <v>1</v>
      </c>
    </row>
    <row r="2" spans="1:9" x14ac:dyDescent="0.35">
      <c r="A2" t="s">
        <v>854</v>
      </c>
    </row>
    <row r="3" spans="1:9" x14ac:dyDescent="0.35">
      <c r="A3" t="s">
        <v>3</v>
      </c>
    </row>
    <row r="4" spans="1:9" x14ac:dyDescent="0.35">
      <c r="A4" t="s">
        <v>4</v>
      </c>
      <c r="B4" t="s">
        <v>5</v>
      </c>
      <c r="C4" t="s">
        <v>6</v>
      </c>
      <c r="D4" t="s">
        <v>7</v>
      </c>
      <c r="E4" t="s">
        <v>8</v>
      </c>
      <c r="F4" t="s">
        <v>9</v>
      </c>
      <c r="G4" t="s">
        <v>10</v>
      </c>
      <c r="H4" t="s">
        <v>702</v>
      </c>
    </row>
    <row r="5" spans="1:9" x14ac:dyDescent="0.35">
      <c r="C5" t="s">
        <v>12</v>
      </c>
    </row>
    <row r="6" spans="1:9" x14ac:dyDescent="0.35">
      <c r="C6" t="s">
        <v>13</v>
      </c>
    </row>
    <row r="7" spans="1:9" x14ac:dyDescent="0.35">
      <c r="A7">
        <v>1</v>
      </c>
      <c r="B7" t="s">
        <v>14</v>
      </c>
      <c r="C7" t="s">
        <v>15</v>
      </c>
      <c r="D7" t="s">
        <v>16</v>
      </c>
      <c r="E7">
        <v>567825</v>
      </c>
      <c r="F7">
        <v>11956.1232</v>
      </c>
      <c r="G7">
        <v>9.9079899999999999E-2</v>
      </c>
    </row>
    <row r="8" spans="1:9" x14ac:dyDescent="0.35">
      <c r="A8">
        <v>2</v>
      </c>
      <c r="B8" t="s">
        <v>20</v>
      </c>
      <c r="C8" t="s">
        <v>21</v>
      </c>
      <c r="D8" t="s">
        <v>22</v>
      </c>
      <c r="E8">
        <v>687341</v>
      </c>
      <c r="F8">
        <v>10794.003064</v>
      </c>
      <c r="G8">
        <v>8.9449459999999995E-2</v>
      </c>
    </row>
    <row r="9" spans="1:9" x14ac:dyDescent="0.35">
      <c r="A9">
        <v>3</v>
      </c>
      <c r="B9" t="s">
        <v>39</v>
      </c>
      <c r="C9" t="s">
        <v>40</v>
      </c>
      <c r="D9" t="s">
        <v>38</v>
      </c>
      <c r="E9">
        <v>633220</v>
      </c>
      <c r="F9">
        <v>8503.5113799999999</v>
      </c>
      <c r="G9">
        <v>7.0468249999999996E-2</v>
      </c>
    </row>
    <row r="10" spans="1:9" x14ac:dyDescent="0.35">
      <c r="A10">
        <v>4</v>
      </c>
      <c r="B10" t="s">
        <v>350</v>
      </c>
      <c r="C10" t="s">
        <v>351</v>
      </c>
      <c r="D10" t="s">
        <v>38</v>
      </c>
      <c r="E10">
        <v>634877</v>
      </c>
      <c r="F10">
        <v>6292.9008240000003</v>
      </c>
      <c r="G10">
        <v>5.2149010000000003E-2</v>
      </c>
    </row>
    <row r="11" spans="1:9" x14ac:dyDescent="0.35">
      <c r="A11">
        <v>5</v>
      </c>
      <c r="B11" t="s">
        <v>352</v>
      </c>
      <c r="C11" t="s">
        <v>353</v>
      </c>
      <c r="D11" t="s">
        <v>38</v>
      </c>
      <c r="E11">
        <v>374375</v>
      </c>
      <c r="F11">
        <v>4752.3162499999999</v>
      </c>
      <c r="G11">
        <v>3.9382250000000001E-2</v>
      </c>
    </row>
    <row r="12" spans="1:9" x14ac:dyDescent="0.35">
      <c r="A12">
        <v>6</v>
      </c>
      <c r="B12" t="s">
        <v>36</v>
      </c>
      <c r="C12" t="s">
        <v>37</v>
      </c>
      <c r="D12" t="s">
        <v>38</v>
      </c>
      <c r="E12">
        <v>482640</v>
      </c>
      <c r="F12">
        <v>4740.4900799999996</v>
      </c>
      <c r="G12">
        <v>3.928425E-2</v>
      </c>
    </row>
    <row r="13" spans="1:9" x14ac:dyDescent="0.35">
      <c r="A13">
        <v>7</v>
      </c>
      <c r="B13" t="s">
        <v>17</v>
      </c>
      <c r="C13" t="s">
        <v>18</v>
      </c>
      <c r="D13" t="s">
        <v>19</v>
      </c>
      <c r="E13">
        <v>84770</v>
      </c>
      <c r="F13">
        <v>3461.58295</v>
      </c>
      <c r="G13">
        <v>2.8686E-2</v>
      </c>
    </row>
    <row r="14" spans="1:9" x14ac:dyDescent="0.35">
      <c r="A14">
        <v>8</v>
      </c>
      <c r="B14" t="s">
        <v>358</v>
      </c>
      <c r="C14" t="s">
        <v>359</v>
      </c>
      <c r="D14" t="s">
        <v>252</v>
      </c>
      <c r="E14">
        <v>90445</v>
      </c>
      <c r="F14">
        <v>3354.7859400000002</v>
      </c>
      <c r="G14">
        <v>2.7800970000000001E-2</v>
      </c>
    </row>
    <row r="15" spans="1:9" x14ac:dyDescent="0.35">
      <c r="A15">
        <v>9</v>
      </c>
      <c r="B15" t="s">
        <v>356</v>
      </c>
      <c r="C15" t="s">
        <v>357</v>
      </c>
      <c r="D15" t="s">
        <v>38</v>
      </c>
      <c r="E15">
        <v>140795</v>
      </c>
      <c r="F15">
        <v>3099.0387449999998</v>
      </c>
      <c r="G15">
        <v>2.5681610000000001E-2</v>
      </c>
    </row>
    <row r="16" spans="1:9" x14ac:dyDescent="0.35">
      <c r="A16">
        <v>10</v>
      </c>
      <c r="B16" t="s">
        <v>366</v>
      </c>
      <c r="C16" t="s">
        <v>367</v>
      </c>
      <c r="D16" t="s">
        <v>206</v>
      </c>
      <c r="E16">
        <v>274125</v>
      </c>
      <c r="F16">
        <v>2705.0655000000002</v>
      </c>
      <c r="G16">
        <v>2.2416769999999999E-2</v>
      </c>
    </row>
    <row r="17" spans="1:7" x14ac:dyDescent="0.35">
      <c r="A17">
        <v>11</v>
      </c>
      <c r="B17" t="s">
        <v>703</v>
      </c>
      <c r="C17" t="s">
        <v>704</v>
      </c>
      <c r="D17" t="s">
        <v>493</v>
      </c>
      <c r="E17">
        <v>353600</v>
      </c>
      <c r="F17">
        <v>1425.008</v>
      </c>
      <c r="G17">
        <v>1.180898E-2</v>
      </c>
    </row>
    <row r="18" spans="1:7" x14ac:dyDescent="0.35">
      <c r="A18">
        <v>12</v>
      </c>
      <c r="B18" t="s">
        <v>487</v>
      </c>
      <c r="C18" t="s">
        <v>488</v>
      </c>
      <c r="D18" t="s">
        <v>230</v>
      </c>
      <c r="E18">
        <v>82978</v>
      </c>
      <c r="F18">
        <v>1346.9818740000001</v>
      </c>
      <c r="G18">
        <v>1.116238E-2</v>
      </c>
    </row>
    <row r="19" spans="1:7" x14ac:dyDescent="0.35">
      <c r="A19">
        <v>13</v>
      </c>
      <c r="B19" t="s">
        <v>711</v>
      </c>
      <c r="C19" t="s">
        <v>712</v>
      </c>
      <c r="D19" t="s">
        <v>710</v>
      </c>
      <c r="E19">
        <v>149800</v>
      </c>
      <c r="F19">
        <v>1328.2765999999999</v>
      </c>
      <c r="G19">
        <v>1.1007370000000001E-2</v>
      </c>
    </row>
    <row r="20" spans="1:7" x14ac:dyDescent="0.35">
      <c r="A20">
        <v>14</v>
      </c>
      <c r="B20" t="s">
        <v>360</v>
      </c>
      <c r="C20" t="s">
        <v>361</v>
      </c>
      <c r="D20" t="s">
        <v>38</v>
      </c>
      <c r="E20">
        <v>406575</v>
      </c>
      <c r="F20">
        <v>1203.055425</v>
      </c>
      <c r="G20">
        <v>9.9696699999999999E-3</v>
      </c>
    </row>
    <row r="21" spans="1:7" x14ac:dyDescent="0.35">
      <c r="A21">
        <v>15</v>
      </c>
      <c r="B21" t="s">
        <v>370</v>
      </c>
      <c r="C21" t="s">
        <v>371</v>
      </c>
      <c r="D21" t="s">
        <v>206</v>
      </c>
      <c r="E21">
        <v>67505</v>
      </c>
      <c r="F21">
        <v>1149.0701100000001</v>
      </c>
      <c r="G21">
        <v>9.5222999999999992E-3</v>
      </c>
    </row>
    <row r="22" spans="1:7" x14ac:dyDescent="0.35">
      <c r="A22">
        <v>16</v>
      </c>
      <c r="B22" t="s">
        <v>491</v>
      </c>
      <c r="C22" t="s">
        <v>492</v>
      </c>
      <c r="D22" t="s">
        <v>493</v>
      </c>
      <c r="E22">
        <v>45415</v>
      </c>
      <c r="F22">
        <v>1051.765985</v>
      </c>
      <c r="G22">
        <v>8.7159400000000001E-3</v>
      </c>
    </row>
    <row r="23" spans="1:7" x14ac:dyDescent="0.35">
      <c r="A23">
        <v>17</v>
      </c>
      <c r="B23" t="s">
        <v>29</v>
      </c>
      <c r="C23" t="s">
        <v>30</v>
      </c>
      <c r="D23" t="s">
        <v>31</v>
      </c>
      <c r="E23">
        <v>262205</v>
      </c>
      <c r="F23">
        <v>1047.77118</v>
      </c>
      <c r="G23">
        <v>8.6828400000000007E-3</v>
      </c>
    </row>
    <row r="24" spans="1:7" x14ac:dyDescent="0.35">
      <c r="A24">
        <v>18</v>
      </c>
      <c r="B24" t="s">
        <v>207</v>
      </c>
      <c r="C24" t="s">
        <v>208</v>
      </c>
      <c r="D24" t="s">
        <v>209</v>
      </c>
      <c r="E24">
        <v>45900</v>
      </c>
      <c r="F24">
        <v>1040.2775999999999</v>
      </c>
      <c r="G24">
        <v>8.62074E-3</v>
      </c>
    </row>
    <row r="25" spans="1:7" x14ac:dyDescent="0.35">
      <c r="A25">
        <v>19</v>
      </c>
      <c r="B25" t="s">
        <v>855</v>
      </c>
      <c r="C25" t="s">
        <v>856</v>
      </c>
      <c r="D25" t="s">
        <v>129</v>
      </c>
      <c r="E25">
        <v>89100</v>
      </c>
      <c r="F25">
        <v>1037.8368</v>
      </c>
      <c r="G25">
        <v>8.6005100000000004E-3</v>
      </c>
    </row>
    <row r="26" spans="1:7" x14ac:dyDescent="0.35">
      <c r="A26">
        <v>20</v>
      </c>
      <c r="B26" t="s">
        <v>57</v>
      </c>
      <c r="C26" t="s">
        <v>58</v>
      </c>
      <c r="D26" t="s">
        <v>53</v>
      </c>
      <c r="E26">
        <v>21075</v>
      </c>
      <c r="F26">
        <v>934.5498</v>
      </c>
      <c r="G26">
        <v>7.74458E-3</v>
      </c>
    </row>
    <row r="27" spans="1:7" x14ac:dyDescent="0.35">
      <c r="A27">
        <v>21</v>
      </c>
      <c r="B27" t="s">
        <v>354</v>
      </c>
      <c r="C27" t="s">
        <v>355</v>
      </c>
      <c r="D27" t="s">
        <v>230</v>
      </c>
      <c r="E27">
        <v>52758</v>
      </c>
      <c r="F27">
        <v>852.25273200000004</v>
      </c>
      <c r="G27">
        <v>7.0625799999999997E-3</v>
      </c>
    </row>
    <row r="28" spans="1:7" x14ac:dyDescent="0.35">
      <c r="A28">
        <v>22</v>
      </c>
      <c r="B28" t="s">
        <v>238</v>
      </c>
      <c r="C28" t="s">
        <v>239</v>
      </c>
      <c r="D28" t="s">
        <v>240</v>
      </c>
      <c r="E28">
        <v>141575</v>
      </c>
      <c r="F28">
        <v>790.83794999999998</v>
      </c>
      <c r="G28">
        <v>6.5536400000000003E-3</v>
      </c>
    </row>
    <row r="29" spans="1:7" x14ac:dyDescent="0.35">
      <c r="A29">
        <v>23</v>
      </c>
      <c r="B29" t="s">
        <v>221</v>
      </c>
      <c r="C29" t="s">
        <v>222</v>
      </c>
      <c r="D29" t="s">
        <v>223</v>
      </c>
      <c r="E29">
        <v>42070</v>
      </c>
      <c r="F29">
        <v>768.02991999999995</v>
      </c>
      <c r="G29">
        <v>6.3646299999999996E-3</v>
      </c>
    </row>
    <row r="30" spans="1:7" x14ac:dyDescent="0.35">
      <c r="A30">
        <v>24</v>
      </c>
      <c r="B30" t="s">
        <v>250</v>
      </c>
      <c r="C30" t="s">
        <v>251</v>
      </c>
      <c r="D30" t="s">
        <v>252</v>
      </c>
      <c r="E30">
        <v>20470</v>
      </c>
      <c r="F30">
        <v>761.44305999999995</v>
      </c>
      <c r="G30">
        <v>6.3100500000000002E-3</v>
      </c>
    </row>
    <row r="31" spans="1:7" x14ac:dyDescent="0.35">
      <c r="A31">
        <v>25</v>
      </c>
      <c r="B31" t="s">
        <v>233</v>
      </c>
      <c r="C31" t="s">
        <v>234</v>
      </c>
      <c r="D31" t="s">
        <v>235</v>
      </c>
      <c r="E31">
        <v>28920</v>
      </c>
      <c r="F31">
        <v>761.23224000000005</v>
      </c>
      <c r="G31">
        <v>6.3083000000000002E-3</v>
      </c>
    </row>
    <row r="32" spans="1:7" x14ac:dyDescent="0.35">
      <c r="A32">
        <v>26</v>
      </c>
      <c r="B32" t="s">
        <v>494</v>
      </c>
      <c r="C32" t="s">
        <v>495</v>
      </c>
      <c r="D32" t="s">
        <v>206</v>
      </c>
      <c r="E32">
        <v>213190</v>
      </c>
      <c r="F32">
        <v>757.67726000000005</v>
      </c>
      <c r="G32">
        <v>6.2788399999999999E-3</v>
      </c>
    </row>
    <row r="33" spans="1:7" x14ac:dyDescent="0.35">
      <c r="A33">
        <v>27</v>
      </c>
      <c r="B33" t="s">
        <v>26</v>
      </c>
      <c r="C33" t="s">
        <v>27</v>
      </c>
      <c r="D33" t="s">
        <v>28</v>
      </c>
      <c r="E33">
        <v>6360</v>
      </c>
      <c r="F33">
        <v>749.4624</v>
      </c>
      <c r="G33">
        <v>6.2107600000000001E-3</v>
      </c>
    </row>
    <row r="34" spans="1:7" x14ac:dyDescent="0.35">
      <c r="A34">
        <v>28</v>
      </c>
      <c r="B34" t="s">
        <v>77</v>
      </c>
      <c r="C34" t="s">
        <v>78</v>
      </c>
      <c r="D34" t="s">
        <v>79</v>
      </c>
      <c r="E34">
        <v>14787</v>
      </c>
      <c r="F34">
        <v>748.14826500000004</v>
      </c>
      <c r="G34">
        <v>6.1998699999999997E-3</v>
      </c>
    </row>
    <row r="35" spans="1:7" x14ac:dyDescent="0.35">
      <c r="A35">
        <v>29</v>
      </c>
      <c r="B35" t="s">
        <v>496</v>
      </c>
      <c r="C35" t="s">
        <v>497</v>
      </c>
      <c r="D35" t="s">
        <v>220</v>
      </c>
      <c r="E35">
        <v>62740</v>
      </c>
      <c r="F35">
        <v>747.86080000000004</v>
      </c>
      <c r="G35">
        <v>6.1974899999999999E-3</v>
      </c>
    </row>
    <row r="36" spans="1:7" x14ac:dyDescent="0.35">
      <c r="A36">
        <v>30</v>
      </c>
      <c r="B36" t="s">
        <v>32</v>
      </c>
      <c r="C36" t="s">
        <v>33</v>
      </c>
      <c r="D36" t="s">
        <v>22</v>
      </c>
      <c r="E36">
        <v>178035</v>
      </c>
      <c r="F36">
        <v>683.65440000000001</v>
      </c>
      <c r="G36">
        <v>5.66542E-3</v>
      </c>
    </row>
    <row r="37" spans="1:7" x14ac:dyDescent="0.35">
      <c r="A37">
        <v>31</v>
      </c>
      <c r="B37" t="s">
        <v>63</v>
      </c>
      <c r="C37" t="s">
        <v>64</v>
      </c>
      <c r="D37" t="s">
        <v>65</v>
      </c>
      <c r="E37">
        <v>9972</v>
      </c>
      <c r="F37">
        <v>636.91164000000003</v>
      </c>
      <c r="G37">
        <v>5.2780600000000002E-3</v>
      </c>
    </row>
    <row r="38" spans="1:7" x14ac:dyDescent="0.35">
      <c r="A38">
        <v>32</v>
      </c>
      <c r="B38" t="s">
        <v>498</v>
      </c>
      <c r="C38" t="s">
        <v>499</v>
      </c>
      <c r="D38" t="s">
        <v>252</v>
      </c>
      <c r="E38">
        <v>3806</v>
      </c>
      <c r="F38">
        <v>635.48782000000006</v>
      </c>
      <c r="G38">
        <v>5.26626E-3</v>
      </c>
    </row>
    <row r="39" spans="1:7" x14ac:dyDescent="0.35">
      <c r="A39">
        <v>33</v>
      </c>
      <c r="B39" t="s">
        <v>857</v>
      </c>
      <c r="C39" t="s">
        <v>858</v>
      </c>
      <c r="D39" t="s">
        <v>243</v>
      </c>
      <c r="E39">
        <v>52250</v>
      </c>
      <c r="F39">
        <v>618.11749999999995</v>
      </c>
      <c r="G39">
        <v>5.1223099999999997E-3</v>
      </c>
    </row>
    <row r="40" spans="1:7" x14ac:dyDescent="0.35">
      <c r="A40">
        <v>34</v>
      </c>
      <c r="B40" t="s">
        <v>500</v>
      </c>
      <c r="C40" t="s">
        <v>501</v>
      </c>
      <c r="D40" t="s">
        <v>43</v>
      </c>
      <c r="E40">
        <v>67701</v>
      </c>
      <c r="F40">
        <v>615.77444549999996</v>
      </c>
      <c r="G40">
        <v>5.1028999999999996E-3</v>
      </c>
    </row>
    <row r="41" spans="1:7" x14ac:dyDescent="0.35">
      <c r="A41">
        <v>35</v>
      </c>
      <c r="B41" t="s">
        <v>23</v>
      </c>
      <c r="C41" t="s">
        <v>24</v>
      </c>
      <c r="D41" t="s">
        <v>25</v>
      </c>
      <c r="E41">
        <v>178500</v>
      </c>
      <c r="F41">
        <v>588.24675000000002</v>
      </c>
      <c r="G41">
        <v>4.8747800000000004E-3</v>
      </c>
    </row>
    <row r="42" spans="1:7" x14ac:dyDescent="0.35">
      <c r="A42">
        <v>36</v>
      </c>
      <c r="B42" t="s">
        <v>104</v>
      </c>
      <c r="C42" t="s">
        <v>105</v>
      </c>
      <c r="D42" t="s">
        <v>28</v>
      </c>
      <c r="E42">
        <v>105000</v>
      </c>
      <c r="F42">
        <v>584.16750000000002</v>
      </c>
      <c r="G42">
        <v>4.84097E-3</v>
      </c>
    </row>
    <row r="43" spans="1:7" x14ac:dyDescent="0.35">
      <c r="A43">
        <v>37</v>
      </c>
      <c r="B43" t="s">
        <v>302</v>
      </c>
      <c r="C43" t="s">
        <v>303</v>
      </c>
      <c r="D43" t="s">
        <v>243</v>
      </c>
      <c r="E43">
        <v>25705</v>
      </c>
      <c r="F43">
        <v>564.61032499999999</v>
      </c>
      <c r="G43">
        <v>4.6788999999999997E-3</v>
      </c>
    </row>
    <row r="44" spans="1:7" x14ac:dyDescent="0.35">
      <c r="A44">
        <v>38</v>
      </c>
      <c r="B44" t="s">
        <v>502</v>
      </c>
      <c r="C44" t="s">
        <v>503</v>
      </c>
      <c r="D44" t="s">
        <v>252</v>
      </c>
      <c r="E44">
        <v>5585</v>
      </c>
      <c r="F44">
        <v>521.80655000000002</v>
      </c>
      <c r="G44">
        <v>4.3241900000000003E-3</v>
      </c>
    </row>
    <row r="45" spans="1:7" x14ac:dyDescent="0.35">
      <c r="A45">
        <v>39</v>
      </c>
      <c r="B45" t="s">
        <v>374</v>
      </c>
      <c r="C45" t="s">
        <v>375</v>
      </c>
      <c r="D45" t="s">
        <v>324</v>
      </c>
      <c r="E45">
        <v>184300</v>
      </c>
      <c r="F45">
        <v>512.44614999999999</v>
      </c>
      <c r="G45">
        <v>4.2466200000000004E-3</v>
      </c>
    </row>
    <row r="46" spans="1:7" x14ac:dyDescent="0.35">
      <c r="A46">
        <v>40</v>
      </c>
      <c r="B46" t="s">
        <v>90</v>
      </c>
      <c r="C46" t="s">
        <v>91</v>
      </c>
      <c r="D46" t="s">
        <v>28</v>
      </c>
      <c r="E46">
        <v>9190</v>
      </c>
      <c r="F46">
        <v>508.2989</v>
      </c>
      <c r="G46">
        <v>4.2122499999999998E-3</v>
      </c>
    </row>
    <row r="47" spans="1:7" x14ac:dyDescent="0.35">
      <c r="A47">
        <v>41</v>
      </c>
      <c r="B47" t="s">
        <v>284</v>
      </c>
      <c r="C47" t="s">
        <v>285</v>
      </c>
      <c r="D47" t="s">
        <v>43</v>
      </c>
      <c r="E47">
        <v>39000</v>
      </c>
      <c r="F47">
        <v>501.46199999999999</v>
      </c>
      <c r="G47">
        <v>4.1555999999999997E-3</v>
      </c>
    </row>
    <row r="48" spans="1:7" x14ac:dyDescent="0.35">
      <c r="A48">
        <v>42</v>
      </c>
      <c r="B48" t="s">
        <v>49</v>
      </c>
      <c r="C48" t="s">
        <v>50</v>
      </c>
      <c r="D48" t="s">
        <v>25</v>
      </c>
      <c r="E48">
        <v>131380</v>
      </c>
      <c r="F48">
        <v>498.71848</v>
      </c>
      <c r="G48">
        <v>4.1328600000000004E-3</v>
      </c>
    </row>
    <row r="49" spans="1:7" x14ac:dyDescent="0.35">
      <c r="A49">
        <v>43</v>
      </c>
      <c r="B49" t="s">
        <v>506</v>
      </c>
      <c r="C49" t="s">
        <v>507</v>
      </c>
      <c r="D49" t="s">
        <v>206</v>
      </c>
      <c r="E49">
        <v>44793</v>
      </c>
      <c r="F49">
        <v>493.70844599999998</v>
      </c>
      <c r="G49">
        <v>4.0913399999999997E-3</v>
      </c>
    </row>
    <row r="50" spans="1:7" x14ac:dyDescent="0.35">
      <c r="A50">
        <v>44</v>
      </c>
      <c r="B50" t="s">
        <v>372</v>
      </c>
      <c r="C50" t="s">
        <v>373</v>
      </c>
      <c r="D50" t="s">
        <v>243</v>
      </c>
      <c r="E50">
        <v>28077</v>
      </c>
      <c r="F50">
        <v>482.840169</v>
      </c>
      <c r="G50">
        <v>4.0012800000000003E-3</v>
      </c>
    </row>
    <row r="51" spans="1:7" x14ac:dyDescent="0.35">
      <c r="A51">
        <v>45</v>
      </c>
      <c r="B51" t="s">
        <v>327</v>
      </c>
      <c r="C51" t="s">
        <v>328</v>
      </c>
      <c r="D51" t="s">
        <v>206</v>
      </c>
      <c r="E51">
        <v>10940</v>
      </c>
      <c r="F51">
        <v>472.78304000000003</v>
      </c>
      <c r="G51">
        <v>3.91793E-3</v>
      </c>
    </row>
    <row r="52" spans="1:7" x14ac:dyDescent="0.35">
      <c r="A52">
        <v>46</v>
      </c>
      <c r="B52" t="s">
        <v>442</v>
      </c>
      <c r="C52" t="s">
        <v>443</v>
      </c>
      <c r="D52" t="s">
        <v>235</v>
      </c>
      <c r="E52">
        <v>17290</v>
      </c>
      <c r="F52">
        <v>440.61836</v>
      </c>
      <c r="G52">
        <v>3.65139E-3</v>
      </c>
    </row>
    <row r="53" spans="1:7" x14ac:dyDescent="0.35">
      <c r="A53">
        <v>47</v>
      </c>
      <c r="B53" t="s">
        <v>508</v>
      </c>
      <c r="C53" t="s">
        <v>509</v>
      </c>
      <c r="D53" t="s">
        <v>257</v>
      </c>
      <c r="E53">
        <v>29084</v>
      </c>
      <c r="F53">
        <v>419.88570800000002</v>
      </c>
      <c r="G53">
        <v>3.4795799999999999E-3</v>
      </c>
    </row>
    <row r="54" spans="1:7" x14ac:dyDescent="0.35">
      <c r="A54">
        <v>48</v>
      </c>
      <c r="B54" t="s">
        <v>510</v>
      </c>
      <c r="C54" t="s">
        <v>511</v>
      </c>
      <c r="D54" t="s">
        <v>299</v>
      </c>
      <c r="E54">
        <v>27880</v>
      </c>
      <c r="F54">
        <v>413.29311999999999</v>
      </c>
      <c r="G54">
        <v>3.42494E-3</v>
      </c>
    </row>
    <row r="55" spans="1:7" x14ac:dyDescent="0.35">
      <c r="A55">
        <v>49</v>
      </c>
      <c r="B55" t="s">
        <v>282</v>
      </c>
      <c r="C55" t="s">
        <v>283</v>
      </c>
      <c r="D55" t="s">
        <v>97</v>
      </c>
      <c r="E55">
        <v>25680</v>
      </c>
      <c r="F55">
        <v>409.54464000000002</v>
      </c>
      <c r="G55">
        <v>3.3938800000000002E-3</v>
      </c>
    </row>
    <row r="56" spans="1:7" x14ac:dyDescent="0.35">
      <c r="A56">
        <v>50</v>
      </c>
      <c r="B56" t="s">
        <v>512</v>
      </c>
      <c r="C56" t="s">
        <v>513</v>
      </c>
      <c r="D56" t="s">
        <v>257</v>
      </c>
      <c r="E56">
        <v>76745</v>
      </c>
      <c r="F56">
        <v>375.9353825</v>
      </c>
      <c r="G56">
        <v>3.1153600000000002E-3</v>
      </c>
    </row>
    <row r="57" spans="1:7" x14ac:dyDescent="0.35">
      <c r="A57">
        <v>51</v>
      </c>
      <c r="B57" t="s">
        <v>310</v>
      </c>
      <c r="C57" t="s">
        <v>311</v>
      </c>
      <c r="D57" t="s">
        <v>235</v>
      </c>
      <c r="E57">
        <v>219435</v>
      </c>
      <c r="F57">
        <v>342.69163950000001</v>
      </c>
      <c r="G57">
        <v>2.83987E-3</v>
      </c>
    </row>
    <row r="58" spans="1:7" x14ac:dyDescent="0.35">
      <c r="A58">
        <v>52</v>
      </c>
      <c r="B58" t="s">
        <v>729</v>
      </c>
      <c r="C58" t="s">
        <v>730</v>
      </c>
      <c r="D58" t="s">
        <v>206</v>
      </c>
      <c r="E58">
        <v>16500</v>
      </c>
      <c r="F58">
        <v>336.58350000000002</v>
      </c>
      <c r="G58">
        <v>2.7892500000000001E-3</v>
      </c>
    </row>
    <row r="59" spans="1:7" x14ac:dyDescent="0.35">
      <c r="A59">
        <v>53</v>
      </c>
      <c r="B59" t="s">
        <v>364</v>
      </c>
      <c r="C59" t="s">
        <v>365</v>
      </c>
      <c r="D59" t="s">
        <v>31</v>
      </c>
      <c r="E59">
        <v>7500</v>
      </c>
      <c r="F59">
        <v>329.15249999999997</v>
      </c>
      <c r="G59">
        <v>2.7276700000000002E-3</v>
      </c>
    </row>
    <row r="60" spans="1:7" x14ac:dyDescent="0.35">
      <c r="A60">
        <v>54</v>
      </c>
      <c r="B60" t="s">
        <v>514</v>
      </c>
      <c r="C60" t="s">
        <v>515</v>
      </c>
      <c r="D60" t="s">
        <v>324</v>
      </c>
      <c r="E60">
        <v>6620</v>
      </c>
      <c r="F60">
        <v>283.26979999999998</v>
      </c>
      <c r="G60">
        <v>2.3474500000000001E-3</v>
      </c>
    </row>
    <row r="61" spans="1:7" x14ac:dyDescent="0.35">
      <c r="A61">
        <v>55</v>
      </c>
      <c r="B61" t="s">
        <v>325</v>
      </c>
      <c r="C61" t="s">
        <v>326</v>
      </c>
      <c r="D61" t="s">
        <v>114</v>
      </c>
      <c r="E61">
        <v>54347</v>
      </c>
      <c r="F61">
        <v>282.84896149999997</v>
      </c>
      <c r="G61">
        <v>2.34396E-3</v>
      </c>
    </row>
    <row r="62" spans="1:7" x14ac:dyDescent="0.35">
      <c r="A62">
        <v>56</v>
      </c>
      <c r="B62" t="s">
        <v>228</v>
      </c>
      <c r="C62" t="s">
        <v>229</v>
      </c>
      <c r="D62" t="s">
        <v>230</v>
      </c>
      <c r="E62">
        <v>16150</v>
      </c>
      <c r="F62">
        <v>268.5745</v>
      </c>
      <c r="G62">
        <v>2.2256699999999999E-3</v>
      </c>
    </row>
    <row r="63" spans="1:7" x14ac:dyDescent="0.35">
      <c r="A63">
        <v>57</v>
      </c>
      <c r="B63" t="s">
        <v>516</v>
      </c>
      <c r="C63" t="s">
        <v>517</v>
      </c>
      <c r="D63" t="s">
        <v>230</v>
      </c>
      <c r="E63">
        <v>16840</v>
      </c>
      <c r="F63">
        <v>267.90755999999999</v>
      </c>
      <c r="G63">
        <v>2.2201399999999998E-3</v>
      </c>
    </row>
    <row r="64" spans="1:7" x14ac:dyDescent="0.35">
      <c r="A64">
        <v>58</v>
      </c>
      <c r="B64" t="s">
        <v>518</v>
      </c>
      <c r="C64" t="s">
        <v>519</v>
      </c>
      <c r="D64" t="s">
        <v>290</v>
      </c>
      <c r="E64">
        <v>12063</v>
      </c>
      <c r="F64">
        <v>245.469987</v>
      </c>
      <c r="G64">
        <v>2.0341999999999999E-3</v>
      </c>
    </row>
    <row r="65" spans="1:7" x14ac:dyDescent="0.35">
      <c r="A65">
        <v>59</v>
      </c>
      <c r="B65" t="s">
        <v>520</v>
      </c>
      <c r="C65" t="s">
        <v>521</v>
      </c>
      <c r="D65" t="s">
        <v>94</v>
      </c>
      <c r="E65">
        <v>114910</v>
      </c>
      <c r="F65">
        <v>223.580387</v>
      </c>
      <c r="G65">
        <v>1.8527999999999999E-3</v>
      </c>
    </row>
    <row r="66" spans="1:7" x14ac:dyDescent="0.35">
      <c r="A66">
        <v>60</v>
      </c>
      <c r="B66" t="s">
        <v>522</v>
      </c>
      <c r="C66" t="s">
        <v>523</v>
      </c>
      <c r="D66" t="s">
        <v>240</v>
      </c>
      <c r="E66">
        <v>26250</v>
      </c>
      <c r="F66">
        <v>193.948125</v>
      </c>
      <c r="G66">
        <v>1.60724E-3</v>
      </c>
    </row>
    <row r="67" spans="1:7" x14ac:dyDescent="0.35">
      <c r="A67">
        <v>61</v>
      </c>
      <c r="B67" t="s">
        <v>92</v>
      </c>
      <c r="C67" t="s">
        <v>93</v>
      </c>
      <c r="D67" t="s">
        <v>94</v>
      </c>
      <c r="E67">
        <v>107000</v>
      </c>
      <c r="F67">
        <v>184.21119999999999</v>
      </c>
      <c r="G67">
        <v>1.52655E-3</v>
      </c>
    </row>
    <row r="68" spans="1:7" x14ac:dyDescent="0.35">
      <c r="A68">
        <v>62</v>
      </c>
      <c r="B68" t="s">
        <v>524</v>
      </c>
      <c r="C68" t="s">
        <v>525</v>
      </c>
      <c r="D68" t="s">
        <v>526</v>
      </c>
      <c r="E68">
        <v>42805</v>
      </c>
      <c r="F68">
        <v>17.207609999999999</v>
      </c>
      <c r="G68">
        <v>1.426E-4</v>
      </c>
    </row>
    <row r="69" spans="1:7" x14ac:dyDescent="0.35">
      <c r="C69" t="s">
        <v>139</v>
      </c>
      <c r="F69">
        <v>92115.113029999993</v>
      </c>
      <c r="G69">
        <v>0.76335416</v>
      </c>
    </row>
    <row r="71" spans="1:7" x14ac:dyDescent="0.35">
      <c r="C71" t="s">
        <v>140</v>
      </c>
    </row>
    <row r="72" spans="1:7" x14ac:dyDescent="0.35">
      <c r="C72" t="s">
        <v>139</v>
      </c>
      <c r="F72" t="s">
        <v>141</v>
      </c>
      <c r="G72">
        <v>0</v>
      </c>
    </row>
    <row r="74" spans="1:7" x14ac:dyDescent="0.35">
      <c r="C74" t="s">
        <v>142</v>
      </c>
    </row>
    <row r="75" spans="1:7" x14ac:dyDescent="0.35">
      <c r="C75" t="s">
        <v>139</v>
      </c>
      <c r="F75" t="s">
        <v>141</v>
      </c>
      <c r="G75">
        <v>0</v>
      </c>
    </row>
    <row r="77" spans="1:7" x14ac:dyDescent="0.35">
      <c r="C77" t="s">
        <v>147</v>
      </c>
    </row>
    <row r="78" spans="1:7" x14ac:dyDescent="0.35">
      <c r="C78" t="s">
        <v>139</v>
      </c>
      <c r="F78" t="s">
        <v>141</v>
      </c>
      <c r="G78">
        <v>0</v>
      </c>
    </row>
    <row r="80" spans="1:7" x14ac:dyDescent="0.35">
      <c r="C80" t="s">
        <v>148</v>
      </c>
    </row>
    <row r="81" spans="1:7" x14ac:dyDescent="0.35">
      <c r="C81" t="s">
        <v>139</v>
      </c>
      <c r="F81" t="s">
        <v>141</v>
      </c>
      <c r="G81">
        <v>0</v>
      </c>
    </row>
    <row r="83" spans="1:7" x14ac:dyDescent="0.35">
      <c r="C83" t="s">
        <v>149</v>
      </c>
    </row>
    <row r="84" spans="1:7" x14ac:dyDescent="0.35">
      <c r="A84">
        <v>1</v>
      </c>
      <c r="C84" t="s">
        <v>859</v>
      </c>
      <c r="D84" t="s">
        <v>477</v>
      </c>
      <c r="E84">
        <v>-900</v>
      </c>
      <c r="F84">
        <v>-39.705300000000001</v>
      </c>
      <c r="G84">
        <f t="shared" ref="G84:G104" si="0">F84/$F$166</f>
        <v>-3.2903619806417221E-4</v>
      </c>
    </row>
    <row r="85" spans="1:7" x14ac:dyDescent="0.35">
      <c r="A85">
        <v>2</v>
      </c>
      <c r="C85" t="s">
        <v>795</v>
      </c>
      <c r="D85" t="s">
        <v>477</v>
      </c>
      <c r="E85">
        <v>-6600</v>
      </c>
      <c r="F85">
        <v>-291.95760000000001</v>
      </c>
      <c r="G85">
        <f t="shared" si="0"/>
        <v>-2.4194406968324222E-3</v>
      </c>
    </row>
    <row r="86" spans="1:7" x14ac:dyDescent="0.35">
      <c r="A86">
        <v>3</v>
      </c>
      <c r="C86" t="s">
        <v>738</v>
      </c>
      <c r="D86" t="s">
        <v>477</v>
      </c>
      <c r="E86">
        <v>-16500</v>
      </c>
      <c r="F86">
        <v>-337.755</v>
      </c>
      <c r="G86">
        <f t="shared" si="0"/>
        <v>-2.7989618785694728E-3</v>
      </c>
    </row>
    <row r="87" spans="1:7" x14ac:dyDescent="0.35">
      <c r="A87">
        <v>4</v>
      </c>
      <c r="C87" t="s">
        <v>758</v>
      </c>
      <c r="D87" t="s">
        <v>477</v>
      </c>
      <c r="E87">
        <v>-184300</v>
      </c>
      <c r="F87">
        <v>-515.67139999999995</v>
      </c>
      <c r="G87">
        <f t="shared" si="0"/>
        <v>-4.2733478126705743E-3</v>
      </c>
    </row>
    <row r="88" spans="1:7" x14ac:dyDescent="0.35">
      <c r="A88">
        <v>5</v>
      </c>
      <c r="C88" t="s">
        <v>763</v>
      </c>
      <c r="D88" t="s">
        <v>477</v>
      </c>
      <c r="E88">
        <v>-105000</v>
      </c>
      <c r="F88">
        <v>-586.95000000000005</v>
      </c>
      <c r="G88">
        <f t="shared" si="0"/>
        <v>-4.8640306572111502E-3</v>
      </c>
    </row>
    <row r="89" spans="1:7" x14ac:dyDescent="0.35">
      <c r="A89">
        <v>6</v>
      </c>
      <c r="C89" t="s">
        <v>860</v>
      </c>
      <c r="D89" t="s">
        <v>477</v>
      </c>
      <c r="E89">
        <v>-178500</v>
      </c>
      <c r="F89">
        <v>-591.81674999999996</v>
      </c>
      <c r="G89">
        <f t="shared" si="0"/>
        <v>-4.9043612155227302E-3</v>
      </c>
    </row>
    <row r="90" spans="1:7" x14ac:dyDescent="0.35">
      <c r="A90">
        <v>7</v>
      </c>
      <c r="C90" t="s">
        <v>861</v>
      </c>
      <c r="D90" t="s">
        <v>477</v>
      </c>
      <c r="E90">
        <v>-52250</v>
      </c>
      <c r="F90">
        <v>-621.51374999999996</v>
      </c>
      <c r="G90">
        <f t="shared" si="0"/>
        <v>-5.1504590405967565E-3</v>
      </c>
    </row>
    <row r="91" spans="1:7" x14ac:dyDescent="0.35">
      <c r="A91">
        <v>8</v>
      </c>
      <c r="C91" t="s">
        <v>862</v>
      </c>
      <c r="D91" t="s">
        <v>477</v>
      </c>
      <c r="E91">
        <v>-89100</v>
      </c>
      <c r="F91">
        <v>-1044.5192999999999</v>
      </c>
      <c r="G91">
        <f t="shared" si="0"/>
        <v>-8.6558887422246017E-3</v>
      </c>
    </row>
    <row r="92" spans="1:7" x14ac:dyDescent="0.35">
      <c r="A92">
        <v>9</v>
      </c>
      <c r="C92" t="s">
        <v>752</v>
      </c>
      <c r="D92" t="s">
        <v>477</v>
      </c>
      <c r="E92">
        <v>-406575</v>
      </c>
      <c r="F92">
        <v>-1210.9836375</v>
      </c>
      <c r="G92">
        <f t="shared" si="0"/>
        <v>-1.0035371902514821E-2</v>
      </c>
    </row>
    <row r="93" spans="1:7" x14ac:dyDescent="0.35">
      <c r="A93">
        <v>10</v>
      </c>
      <c r="C93" t="s">
        <v>767</v>
      </c>
      <c r="D93" t="s">
        <v>477</v>
      </c>
      <c r="E93">
        <v>-55200</v>
      </c>
      <c r="F93">
        <v>-1219.4784</v>
      </c>
      <c r="G93">
        <f t="shared" si="0"/>
        <v>-1.0105767652111425E-2</v>
      </c>
    </row>
    <row r="94" spans="1:7" x14ac:dyDescent="0.35">
      <c r="A94">
        <v>11</v>
      </c>
      <c r="C94" t="s">
        <v>770</v>
      </c>
      <c r="D94" t="s">
        <v>477</v>
      </c>
      <c r="E94">
        <v>-126750</v>
      </c>
      <c r="F94">
        <v>-1258.75425</v>
      </c>
      <c r="G94">
        <f t="shared" si="0"/>
        <v>-1.0431245015580251E-2</v>
      </c>
    </row>
    <row r="95" spans="1:7" x14ac:dyDescent="0.35">
      <c r="A95">
        <v>12</v>
      </c>
      <c r="C95" t="s">
        <v>766</v>
      </c>
      <c r="D95" t="s">
        <v>477</v>
      </c>
      <c r="E95">
        <v>-31500</v>
      </c>
      <c r="F95">
        <v>-1293.8625</v>
      </c>
      <c r="G95">
        <f t="shared" si="0"/>
        <v>-1.07221856482083E-2</v>
      </c>
    </row>
    <row r="96" spans="1:7" x14ac:dyDescent="0.35">
      <c r="A96">
        <v>13</v>
      </c>
      <c r="C96" t="s">
        <v>772</v>
      </c>
      <c r="D96" t="s">
        <v>477</v>
      </c>
      <c r="E96">
        <v>-129800</v>
      </c>
      <c r="F96">
        <v>-1294.6251999999999</v>
      </c>
      <c r="G96">
        <f t="shared" si="0"/>
        <v>-1.0728506111931367E-2</v>
      </c>
    </row>
    <row r="97" spans="1:8" x14ac:dyDescent="0.35">
      <c r="A97">
        <v>14</v>
      </c>
      <c r="C97" t="s">
        <v>764</v>
      </c>
      <c r="D97" t="s">
        <v>477</v>
      </c>
      <c r="E97">
        <v>-149800</v>
      </c>
      <c r="F97">
        <v>-1333.5196000000001</v>
      </c>
      <c r="G97">
        <f t="shared" si="0"/>
        <v>-1.1050822414842747E-2</v>
      </c>
    </row>
    <row r="98" spans="1:8" x14ac:dyDescent="0.35">
      <c r="A98">
        <v>15</v>
      </c>
      <c r="C98" t="s">
        <v>773</v>
      </c>
      <c r="D98" t="s">
        <v>477</v>
      </c>
      <c r="E98">
        <v>-353600</v>
      </c>
      <c r="F98">
        <v>-1433.4944</v>
      </c>
      <c r="G98">
        <f t="shared" si="0"/>
        <v>-1.1879309495767107E-2</v>
      </c>
    </row>
    <row r="99" spans="1:8" x14ac:dyDescent="0.35">
      <c r="A99">
        <v>16</v>
      </c>
      <c r="C99" t="s">
        <v>749</v>
      </c>
      <c r="D99" t="s">
        <v>477</v>
      </c>
      <c r="E99">
        <v>-39000</v>
      </c>
      <c r="F99">
        <v>-1456.0260000000001</v>
      </c>
      <c r="G99">
        <f t="shared" si="0"/>
        <v>-1.20660279439416E-2</v>
      </c>
    </row>
    <row r="100" spans="1:8" x14ac:dyDescent="0.35">
      <c r="A100">
        <v>17</v>
      </c>
      <c r="C100" t="s">
        <v>768</v>
      </c>
      <c r="D100" t="s">
        <v>477</v>
      </c>
      <c r="E100">
        <v>-364500</v>
      </c>
      <c r="F100">
        <v>-3595.24575</v>
      </c>
      <c r="G100">
        <f t="shared" si="0"/>
        <v>-2.9793654567183057E-2</v>
      </c>
    </row>
    <row r="101" spans="1:8" x14ac:dyDescent="0.35">
      <c r="A101">
        <v>18</v>
      </c>
      <c r="C101" t="s">
        <v>771</v>
      </c>
      <c r="D101" t="s">
        <v>477</v>
      </c>
      <c r="E101">
        <v>-374375</v>
      </c>
      <c r="F101">
        <v>-4770.2862500000001</v>
      </c>
      <c r="G101">
        <f t="shared" si="0"/>
        <v>-3.9531167158485071E-2</v>
      </c>
    </row>
    <row r="102" spans="1:8" x14ac:dyDescent="0.35">
      <c r="A102">
        <v>19</v>
      </c>
      <c r="C102" t="s">
        <v>774</v>
      </c>
      <c r="D102" t="s">
        <v>477</v>
      </c>
      <c r="E102">
        <v>-389900</v>
      </c>
      <c r="F102">
        <v>-5265.9894000000004</v>
      </c>
      <c r="G102">
        <f t="shared" si="0"/>
        <v>-4.3639038899648951E-2</v>
      </c>
    </row>
    <row r="103" spans="1:8" x14ac:dyDescent="0.35">
      <c r="A103">
        <v>20</v>
      </c>
      <c r="C103" t="s">
        <v>775</v>
      </c>
      <c r="D103" t="s">
        <v>477</v>
      </c>
      <c r="E103">
        <v>-502000</v>
      </c>
      <c r="F103">
        <v>-7921.56</v>
      </c>
      <c r="G103">
        <f t="shared" si="0"/>
        <v>-6.564564390993706E-2</v>
      </c>
    </row>
    <row r="104" spans="1:8" x14ac:dyDescent="0.35">
      <c r="A104">
        <v>21</v>
      </c>
      <c r="C104" t="s">
        <v>760</v>
      </c>
      <c r="D104" t="s">
        <v>477</v>
      </c>
      <c r="E104">
        <v>-439850</v>
      </c>
      <c r="F104">
        <v>-9319.9816499999997</v>
      </c>
      <c r="G104">
        <f t="shared" si="0"/>
        <v>-7.7234306960124982E-2</v>
      </c>
    </row>
    <row r="105" spans="1:8" x14ac:dyDescent="0.35">
      <c r="C105" t="s">
        <v>139</v>
      </c>
      <c r="F105">
        <v>-45403.696137500003</v>
      </c>
      <c r="G105">
        <v>-0.3762586</v>
      </c>
    </row>
    <row r="107" spans="1:8" x14ac:dyDescent="0.35">
      <c r="C107" t="s">
        <v>150</v>
      </c>
      <c r="F107">
        <f>F69</f>
        <v>92115.113029999993</v>
      </c>
      <c r="G107">
        <f>G69</f>
        <v>0.76335416</v>
      </c>
    </row>
    <row r="109" spans="1:8" x14ac:dyDescent="0.35">
      <c r="C109" t="s">
        <v>151</v>
      </c>
    </row>
    <row r="110" spans="1:8" x14ac:dyDescent="0.35">
      <c r="C110" t="s">
        <v>13</v>
      </c>
    </row>
    <row r="111" spans="1:8" x14ac:dyDescent="0.35">
      <c r="A111">
        <v>1</v>
      </c>
      <c r="B111" t="s">
        <v>863</v>
      </c>
      <c r="C111" t="s">
        <v>864</v>
      </c>
      <c r="D111" t="s">
        <v>538</v>
      </c>
      <c r="E111">
        <v>250</v>
      </c>
      <c r="F111">
        <v>2491.94</v>
      </c>
      <c r="G111">
        <v>2.065061E-2</v>
      </c>
      <c r="H111">
        <v>6.9349999999999996</v>
      </c>
    </row>
    <row r="112" spans="1:8" x14ac:dyDescent="0.35">
      <c r="A112">
        <v>2</v>
      </c>
      <c r="B112" t="s">
        <v>558</v>
      </c>
      <c r="C112" t="s">
        <v>559</v>
      </c>
      <c r="D112" t="s">
        <v>538</v>
      </c>
      <c r="E112">
        <v>1500</v>
      </c>
      <c r="F112">
        <v>1521.117</v>
      </c>
      <c r="G112">
        <v>1.2605430000000001E-2</v>
      </c>
      <c r="H112">
        <v>7.0049999999999999</v>
      </c>
    </row>
    <row r="113" spans="1:8" x14ac:dyDescent="0.35">
      <c r="A113">
        <v>3</v>
      </c>
      <c r="B113" t="s">
        <v>536</v>
      </c>
      <c r="C113" t="s">
        <v>537</v>
      </c>
      <c r="D113" t="s">
        <v>538</v>
      </c>
      <c r="E113">
        <v>1000</v>
      </c>
      <c r="F113">
        <v>1013.072</v>
      </c>
      <c r="G113">
        <v>8.3952899999999997E-3</v>
      </c>
      <c r="H113">
        <v>6.9119000000000002</v>
      </c>
    </row>
    <row r="114" spans="1:8" x14ac:dyDescent="0.35">
      <c r="A114">
        <v>4</v>
      </c>
      <c r="B114" t="s">
        <v>865</v>
      </c>
      <c r="C114" t="s">
        <v>866</v>
      </c>
      <c r="D114" t="s">
        <v>535</v>
      </c>
      <c r="E114">
        <v>1000</v>
      </c>
      <c r="F114">
        <v>1003.677</v>
      </c>
      <c r="G114">
        <v>8.3174300000000007E-3</v>
      </c>
      <c r="H114">
        <v>6.75</v>
      </c>
    </row>
    <row r="115" spans="1:8" x14ac:dyDescent="0.35">
      <c r="A115">
        <v>5</v>
      </c>
      <c r="B115" t="s">
        <v>867</v>
      </c>
      <c r="C115" t="s">
        <v>868</v>
      </c>
      <c r="D115" t="s">
        <v>535</v>
      </c>
      <c r="E115">
        <v>100</v>
      </c>
      <c r="F115">
        <v>1003.5069999999999</v>
      </c>
      <c r="G115">
        <v>8.3160200000000004E-3</v>
      </c>
      <c r="H115">
        <v>6.5949999999999998</v>
      </c>
    </row>
    <row r="116" spans="1:8" x14ac:dyDescent="0.35">
      <c r="C116" t="s">
        <v>139</v>
      </c>
      <c r="F116">
        <v>7033.3130000000001</v>
      </c>
      <c r="G116">
        <v>5.8284780000000001E-2</v>
      </c>
    </row>
    <row r="118" spans="1:8" x14ac:dyDescent="0.35">
      <c r="C118" t="s">
        <v>152</v>
      </c>
    </row>
    <row r="119" spans="1:8" x14ac:dyDescent="0.35">
      <c r="C119" t="s">
        <v>139</v>
      </c>
      <c r="F119" t="s">
        <v>141</v>
      </c>
      <c r="G119">
        <v>0</v>
      </c>
    </row>
    <row r="121" spans="1:8" x14ac:dyDescent="0.35">
      <c r="C121" t="s">
        <v>153</v>
      </c>
    </row>
    <row r="122" spans="1:8" x14ac:dyDescent="0.35">
      <c r="A122">
        <v>1</v>
      </c>
      <c r="B122" t="s">
        <v>618</v>
      </c>
      <c r="C122" t="s">
        <v>619</v>
      </c>
      <c r="D122" t="s">
        <v>620</v>
      </c>
      <c r="E122">
        <v>6500000</v>
      </c>
      <c r="F122">
        <v>6686.0039999999999</v>
      </c>
      <c r="G122">
        <v>5.540664E-2</v>
      </c>
      <c r="H122">
        <v>6.7526999999999999</v>
      </c>
    </row>
    <row r="123" spans="1:8" x14ac:dyDescent="0.35">
      <c r="A123">
        <v>2</v>
      </c>
      <c r="B123" t="s">
        <v>869</v>
      </c>
      <c r="C123" t="s">
        <v>870</v>
      </c>
      <c r="D123" t="s">
        <v>620</v>
      </c>
      <c r="E123">
        <v>1500000</v>
      </c>
      <c r="F123">
        <v>1559.6205</v>
      </c>
      <c r="G123">
        <v>1.292451E-2</v>
      </c>
      <c r="H123">
        <v>5.8967000000000001</v>
      </c>
    </row>
    <row r="124" spans="1:8" x14ac:dyDescent="0.35">
      <c r="A124">
        <v>3</v>
      </c>
      <c r="B124" t="s">
        <v>623</v>
      </c>
      <c r="C124" t="s">
        <v>624</v>
      </c>
      <c r="D124" t="s">
        <v>620</v>
      </c>
      <c r="E124">
        <v>1500000</v>
      </c>
      <c r="F124">
        <v>1537.4594999999999</v>
      </c>
      <c r="G124">
        <v>1.274086E-2</v>
      </c>
      <c r="H124">
        <v>7.0579000000000001</v>
      </c>
    </row>
    <row r="125" spans="1:8" x14ac:dyDescent="0.35">
      <c r="A125">
        <v>4</v>
      </c>
      <c r="B125" t="s">
        <v>871</v>
      </c>
      <c r="C125" t="s">
        <v>872</v>
      </c>
      <c r="D125" t="s">
        <v>620</v>
      </c>
      <c r="E125">
        <v>500000</v>
      </c>
      <c r="F125">
        <v>515.26800000000003</v>
      </c>
      <c r="G125">
        <v>4.2700100000000003E-3</v>
      </c>
      <c r="H125">
        <v>6.1279000000000003</v>
      </c>
    </row>
    <row r="126" spans="1:8" x14ac:dyDescent="0.35">
      <c r="C126" t="s">
        <v>139</v>
      </c>
      <c r="F126">
        <v>10298.352000000001</v>
      </c>
      <c r="G126">
        <v>8.5342020000000005E-2</v>
      </c>
    </row>
    <row r="128" spans="1:8" x14ac:dyDescent="0.35">
      <c r="C128" t="s">
        <v>154</v>
      </c>
    </row>
    <row r="129" spans="1:8" x14ac:dyDescent="0.35">
      <c r="C129" t="s">
        <v>139</v>
      </c>
      <c r="F129" t="s">
        <v>141</v>
      </c>
      <c r="G129">
        <v>0</v>
      </c>
    </row>
    <row r="131" spans="1:8" x14ac:dyDescent="0.35">
      <c r="C131" t="s">
        <v>341</v>
      </c>
    </row>
    <row r="132" spans="1:8" x14ac:dyDescent="0.35">
      <c r="A132">
        <v>1</v>
      </c>
      <c r="B132" t="s">
        <v>342</v>
      </c>
      <c r="C132" t="s">
        <v>343</v>
      </c>
      <c r="D132" t="s">
        <v>252</v>
      </c>
      <c r="E132">
        <v>36400</v>
      </c>
      <c r="F132">
        <v>3.7077040000000001</v>
      </c>
      <c r="G132" t="s">
        <v>146</v>
      </c>
      <c r="H132">
        <v>6.1050000000000004</v>
      </c>
    </row>
    <row r="133" spans="1:8" x14ac:dyDescent="0.35">
      <c r="C133" t="s">
        <v>139</v>
      </c>
      <c r="F133">
        <f>F132</f>
        <v>3.7077040000000001</v>
      </c>
      <c r="G133">
        <f>SUM(G132)</f>
        <v>0</v>
      </c>
    </row>
    <row r="135" spans="1:8" x14ac:dyDescent="0.35">
      <c r="C135" t="s">
        <v>155</v>
      </c>
      <c r="F135">
        <f>F133+F126+F116</f>
        <v>17335.372704000001</v>
      </c>
      <c r="G135">
        <f>G133+G126+G116</f>
        <v>0.1436268</v>
      </c>
    </row>
    <row r="137" spans="1:8" x14ac:dyDescent="0.35">
      <c r="C137" t="s">
        <v>156</v>
      </c>
    </row>
    <row r="138" spans="1:8" x14ac:dyDescent="0.35">
      <c r="C138" t="s">
        <v>157</v>
      </c>
    </row>
    <row r="139" spans="1:8" x14ac:dyDescent="0.35">
      <c r="C139" t="s">
        <v>139</v>
      </c>
      <c r="F139" t="s">
        <v>141</v>
      </c>
      <c r="G139">
        <v>0</v>
      </c>
    </row>
    <row r="141" spans="1:8" x14ac:dyDescent="0.35">
      <c r="C141" t="s">
        <v>158</v>
      </c>
    </row>
    <row r="142" spans="1:8" x14ac:dyDescent="0.35">
      <c r="C142" t="s">
        <v>139</v>
      </c>
      <c r="F142" t="s">
        <v>141</v>
      </c>
      <c r="G142">
        <v>0</v>
      </c>
    </row>
    <row r="144" spans="1:8" x14ac:dyDescent="0.35">
      <c r="C144" t="s">
        <v>159</v>
      </c>
    </row>
    <row r="145" spans="1:8" x14ac:dyDescent="0.35">
      <c r="C145" t="s">
        <v>139</v>
      </c>
      <c r="F145" t="s">
        <v>141</v>
      </c>
      <c r="G145">
        <v>0</v>
      </c>
    </row>
    <row r="147" spans="1:8" x14ac:dyDescent="0.35">
      <c r="C147" t="s">
        <v>160</v>
      </c>
    </row>
    <row r="148" spans="1:8" x14ac:dyDescent="0.35">
      <c r="A148">
        <v>1</v>
      </c>
      <c r="C148" t="s">
        <v>161</v>
      </c>
      <c r="F148">
        <v>10541.221341005001</v>
      </c>
      <c r="G148">
        <v>8.7354669999999995E-2</v>
      </c>
      <c r="H148">
        <v>5.42</v>
      </c>
    </row>
    <row r="149" spans="1:8" x14ac:dyDescent="0.35">
      <c r="C149" t="s">
        <v>139</v>
      </c>
      <c r="F149">
        <v>10541.221341005001</v>
      </c>
      <c r="G149">
        <v>8.7354669999999995E-2</v>
      </c>
    </row>
    <row r="151" spans="1:8" x14ac:dyDescent="0.35">
      <c r="C151" t="s">
        <v>162</v>
      </c>
      <c r="F151">
        <v>10541.221341005001</v>
      </c>
      <c r="G151">
        <v>8.7354669999999995E-2</v>
      </c>
    </row>
    <row r="153" spans="1:8" x14ac:dyDescent="0.35">
      <c r="C153" t="s">
        <v>163</v>
      </c>
    </row>
    <row r="154" spans="1:8" x14ac:dyDescent="0.35">
      <c r="C154" t="s">
        <v>164</v>
      </c>
    </row>
    <row r="155" spans="1:8" x14ac:dyDescent="0.35">
      <c r="C155" t="s">
        <v>139</v>
      </c>
      <c r="F155" t="s">
        <v>141</v>
      </c>
      <c r="G155">
        <v>0</v>
      </c>
    </row>
    <row r="157" spans="1:8" x14ac:dyDescent="0.35">
      <c r="C157" t="s">
        <v>165</v>
      </c>
    </row>
    <row r="158" spans="1:8" x14ac:dyDescent="0.35">
      <c r="C158" t="s">
        <v>166</v>
      </c>
    </row>
    <row r="159" spans="1:8" x14ac:dyDescent="0.35">
      <c r="C159" t="s">
        <v>139</v>
      </c>
      <c r="F159" t="s">
        <v>141</v>
      </c>
      <c r="G159">
        <v>0</v>
      </c>
    </row>
    <row r="161" spans="2:7" x14ac:dyDescent="0.35">
      <c r="C161" t="s">
        <v>167</v>
      </c>
    </row>
    <row r="162" spans="2:7" x14ac:dyDescent="0.35">
      <c r="C162" t="s">
        <v>139</v>
      </c>
      <c r="F162" t="s">
        <v>141</v>
      </c>
      <c r="G162">
        <v>0</v>
      </c>
    </row>
    <row r="164" spans="2:7" x14ac:dyDescent="0.35">
      <c r="C164" t="s">
        <v>480</v>
      </c>
      <c r="F164">
        <v>749.72407669999996</v>
      </c>
      <c r="G164">
        <v>6.2129300000000002E-3</v>
      </c>
    </row>
    <row r="165" spans="2:7" x14ac:dyDescent="0.35">
      <c r="C165" t="s">
        <v>655</v>
      </c>
      <c r="F165">
        <f>45333.79059179+F105</f>
        <v>-69.905545710003935</v>
      </c>
      <c r="G165">
        <f>F165/F166</f>
        <v>-5.7930439976579696E-4</v>
      </c>
    </row>
    <row r="166" spans="2:7" x14ac:dyDescent="0.35">
      <c r="C166" t="s">
        <v>169</v>
      </c>
      <c r="F166">
        <v>120671.525605995</v>
      </c>
      <c r="G166">
        <v>0.99999996000000002</v>
      </c>
    </row>
    <row r="168" spans="2:7" x14ac:dyDescent="0.35">
      <c r="B168" t="s">
        <v>170</v>
      </c>
    </row>
    <row r="169" spans="2:7" x14ac:dyDescent="0.35">
      <c r="B169" t="s">
        <v>171</v>
      </c>
    </row>
    <row r="170" spans="2:7" x14ac:dyDescent="0.35">
      <c r="B170" t="s">
        <v>172</v>
      </c>
    </row>
    <row r="171" spans="2:7" x14ac:dyDescent="0.35">
      <c r="B171" t="s">
        <v>173</v>
      </c>
    </row>
    <row r="172" spans="2:7" x14ac:dyDescent="0.35">
      <c r="B172" t="s">
        <v>174</v>
      </c>
    </row>
    <row r="174" spans="2:7" x14ac:dyDescent="0.35">
      <c r="B174" t="s">
        <v>175</v>
      </c>
    </row>
    <row r="175" spans="2:7" x14ac:dyDescent="0.35">
      <c r="B175" t="s">
        <v>176</v>
      </c>
      <c r="D175" t="s">
        <v>177</v>
      </c>
    </row>
    <row r="176" spans="2:7" x14ac:dyDescent="0.35">
      <c r="B176" t="s">
        <v>178</v>
      </c>
      <c r="D176" t="s">
        <v>177</v>
      </c>
    </row>
    <row r="177" spans="2:4" x14ac:dyDescent="0.35">
      <c r="B177" t="s">
        <v>179</v>
      </c>
    </row>
    <row r="178" spans="2:4" x14ac:dyDescent="0.35">
      <c r="C178" t="s">
        <v>180</v>
      </c>
      <c r="D178" t="s">
        <v>181</v>
      </c>
    </row>
    <row r="179" spans="2:4" x14ac:dyDescent="0.35">
      <c r="B179" t="s">
        <v>182</v>
      </c>
      <c r="C179" s="1">
        <v>45991</v>
      </c>
      <c r="D179" s="1">
        <v>46022</v>
      </c>
    </row>
    <row r="180" spans="2:4" x14ac:dyDescent="0.35">
      <c r="B180" t="s">
        <v>183</v>
      </c>
      <c r="C180">
        <v>84.491900000000001</v>
      </c>
      <c r="D180">
        <v>84.236099999999993</v>
      </c>
    </row>
    <row r="181" spans="2:4" x14ac:dyDescent="0.35">
      <c r="B181" t="s">
        <v>184</v>
      </c>
      <c r="C181">
        <v>17.448499999999999</v>
      </c>
      <c r="D181">
        <v>16.8233</v>
      </c>
    </row>
    <row r="182" spans="2:4" x14ac:dyDescent="0.35">
      <c r="B182" t="s">
        <v>185</v>
      </c>
      <c r="C182">
        <v>72.372900000000001</v>
      </c>
      <c r="D182">
        <v>72.061199999999999</v>
      </c>
    </row>
    <row r="183" spans="2:4" x14ac:dyDescent="0.35">
      <c r="B183" t="s">
        <v>186</v>
      </c>
      <c r="C183">
        <v>16.170100000000001</v>
      </c>
      <c r="D183">
        <v>15.563800000000001</v>
      </c>
    </row>
    <row r="185" spans="2:4" x14ac:dyDescent="0.35">
      <c r="B185" t="s">
        <v>187</v>
      </c>
    </row>
    <row r="186" spans="2:4" x14ac:dyDescent="0.35">
      <c r="B186" t="s">
        <v>182</v>
      </c>
      <c r="C186" t="s">
        <v>659</v>
      </c>
      <c r="D186" t="s">
        <v>660</v>
      </c>
    </row>
    <row r="187" spans="2:4" x14ac:dyDescent="0.35">
      <c r="B187" t="s">
        <v>184</v>
      </c>
      <c r="C187">
        <v>0.57199999999999995</v>
      </c>
      <c r="D187" t="s">
        <v>806</v>
      </c>
    </row>
    <row r="188" spans="2:4" x14ac:dyDescent="0.35">
      <c r="B188" t="s">
        <v>186</v>
      </c>
      <c r="C188">
        <v>0.53700000000000003</v>
      </c>
      <c r="D188">
        <v>0.53700000000000003</v>
      </c>
    </row>
    <row r="190" spans="2:4" x14ac:dyDescent="0.35">
      <c r="B190" t="s">
        <v>188</v>
      </c>
      <c r="D190" t="s">
        <v>481</v>
      </c>
    </row>
    <row r="191" spans="2:4" x14ac:dyDescent="0.35">
      <c r="B191" t="s">
        <v>189</v>
      </c>
      <c r="D191" t="s">
        <v>177</v>
      </c>
    </row>
    <row r="192" spans="2:4" x14ac:dyDescent="0.35">
      <c r="B192" t="s">
        <v>190</v>
      </c>
      <c r="D192" t="s">
        <v>177</v>
      </c>
    </row>
    <row r="193" spans="2:4" x14ac:dyDescent="0.35">
      <c r="B193" t="s">
        <v>191</v>
      </c>
      <c r="D193">
        <v>5.2523257033808557</v>
      </c>
    </row>
    <row r="195" spans="2:4" x14ac:dyDescent="0.35">
      <c r="B195" t="s">
        <v>691</v>
      </c>
    </row>
    <row r="196" spans="2:4" x14ac:dyDescent="0.35">
      <c r="B196" t="s">
        <v>692</v>
      </c>
      <c r="D196" t="s">
        <v>854</v>
      </c>
    </row>
    <row r="197" spans="2:4" x14ac:dyDescent="0.35">
      <c r="B197" t="s">
        <v>693</v>
      </c>
    </row>
    <row r="199" spans="2:4" x14ac:dyDescent="0.35">
      <c r="B199" t="s">
        <v>694</v>
      </c>
      <c r="D199">
        <v>6.2528932493167684</v>
      </c>
    </row>
    <row r="201" spans="2:4" x14ac:dyDescent="0.35">
      <c r="B201" t="s">
        <v>695</v>
      </c>
      <c r="D201">
        <v>2.581645407560639</v>
      </c>
    </row>
    <row r="202" spans="2:4" x14ac:dyDescent="0.35">
      <c r="B202" t="s">
        <v>696</v>
      </c>
      <c r="D202">
        <v>3.3511375201005209</v>
      </c>
    </row>
    <row r="204" spans="2:4" x14ac:dyDescent="0.35">
      <c r="B204" t="s">
        <v>697</v>
      </c>
      <c r="D204" t="s">
        <v>698</v>
      </c>
    </row>
    <row r="205" spans="2:4" x14ac:dyDescent="0.35">
      <c r="B205" t="s">
        <v>699</v>
      </c>
    </row>
    <row r="207" spans="2:4" x14ac:dyDescent="0.35">
      <c r="B207" t="s">
        <v>192</v>
      </c>
    </row>
    <row r="212" spans="2:2" x14ac:dyDescent="0.35">
      <c r="B212" t="s">
        <v>193</v>
      </c>
    </row>
    <row r="213" spans="2:2" x14ac:dyDescent="0.35">
      <c r="B213" t="s">
        <v>873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4"/>
  <sheetViews>
    <sheetView workbookViewId="0"/>
  </sheetViews>
  <sheetFormatPr defaultRowHeight="14.5" x14ac:dyDescent="0.35"/>
  <sheetData>
    <row r="1" spans="1:9" x14ac:dyDescent="0.35">
      <c r="A1" t="s">
        <v>0</v>
      </c>
      <c r="I1" t="s">
        <v>1</v>
      </c>
    </row>
    <row r="2" spans="1:9" x14ac:dyDescent="0.35">
      <c r="A2" t="s">
        <v>874</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1050896</v>
      </c>
      <c r="F7">
        <v>10416.481152</v>
      </c>
      <c r="G7">
        <v>9.4451519999999997E-2</v>
      </c>
    </row>
    <row r="8" spans="1:9" x14ac:dyDescent="0.35">
      <c r="A8">
        <v>2</v>
      </c>
      <c r="B8" t="s">
        <v>14</v>
      </c>
      <c r="C8" t="s">
        <v>15</v>
      </c>
      <c r="D8" t="s">
        <v>16</v>
      </c>
      <c r="E8">
        <v>345000</v>
      </c>
      <c r="F8">
        <v>7264.32</v>
      </c>
      <c r="G8">
        <v>6.5869280000000002E-2</v>
      </c>
    </row>
    <row r="9" spans="1:9" x14ac:dyDescent="0.35">
      <c r="A9">
        <v>3</v>
      </c>
      <c r="B9" t="s">
        <v>39</v>
      </c>
      <c r="C9" t="s">
        <v>40</v>
      </c>
      <c r="D9" t="s">
        <v>38</v>
      </c>
      <c r="E9">
        <v>535836</v>
      </c>
      <c r="F9">
        <v>7195.7416439999997</v>
      </c>
      <c r="G9">
        <v>6.5247440000000004E-2</v>
      </c>
    </row>
    <row r="10" spans="1:9" x14ac:dyDescent="0.35">
      <c r="A10">
        <v>4</v>
      </c>
      <c r="B10" t="s">
        <v>250</v>
      </c>
      <c r="C10" t="s">
        <v>251</v>
      </c>
      <c r="D10" t="s">
        <v>252</v>
      </c>
      <c r="E10">
        <v>167610</v>
      </c>
      <c r="F10">
        <v>6234.7567799999997</v>
      </c>
      <c r="G10">
        <v>5.6533699999999999E-2</v>
      </c>
    </row>
    <row r="11" spans="1:9" x14ac:dyDescent="0.35">
      <c r="A11">
        <v>5</v>
      </c>
      <c r="B11" t="s">
        <v>80</v>
      </c>
      <c r="C11" t="s">
        <v>81</v>
      </c>
      <c r="D11" t="s">
        <v>43</v>
      </c>
      <c r="E11">
        <v>75675</v>
      </c>
      <c r="F11">
        <v>5819.029125</v>
      </c>
      <c r="G11">
        <v>5.276409E-2</v>
      </c>
    </row>
    <row r="12" spans="1:9" x14ac:dyDescent="0.35">
      <c r="A12">
        <v>6</v>
      </c>
      <c r="B12" t="s">
        <v>356</v>
      </c>
      <c r="C12" t="s">
        <v>357</v>
      </c>
      <c r="D12" t="s">
        <v>38</v>
      </c>
      <c r="E12">
        <v>263757</v>
      </c>
      <c r="F12">
        <v>5805.555327</v>
      </c>
      <c r="G12">
        <v>5.2641920000000002E-2</v>
      </c>
    </row>
    <row r="13" spans="1:9" x14ac:dyDescent="0.35">
      <c r="A13">
        <v>7</v>
      </c>
      <c r="B13" t="s">
        <v>354</v>
      </c>
      <c r="C13" t="s">
        <v>355</v>
      </c>
      <c r="D13" t="s">
        <v>230</v>
      </c>
      <c r="E13">
        <v>306782</v>
      </c>
      <c r="F13">
        <v>4955.7564279999997</v>
      </c>
      <c r="G13">
        <v>4.4936360000000002E-2</v>
      </c>
    </row>
    <row r="14" spans="1:9" x14ac:dyDescent="0.35">
      <c r="A14">
        <v>8</v>
      </c>
      <c r="B14" t="s">
        <v>32</v>
      </c>
      <c r="C14" t="s">
        <v>33</v>
      </c>
      <c r="D14" t="s">
        <v>22</v>
      </c>
      <c r="E14">
        <v>1207590</v>
      </c>
      <c r="F14">
        <v>4637.1455999999998</v>
      </c>
      <c r="G14">
        <v>4.2047349999999997E-2</v>
      </c>
    </row>
    <row r="15" spans="1:9" x14ac:dyDescent="0.35">
      <c r="A15">
        <v>9</v>
      </c>
      <c r="B15" t="s">
        <v>875</v>
      </c>
      <c r="C15" t="s">
        <v>876</v>
      </c>
      <c r="D15" t="s">
        <v>53</v>
      </c>
      <c r="E15">
        <v>393192</v>
      </c>
      <c r="F15">
        <v>4518.1692720000001</v>
      </c>
      <c r="G15">
        <v>4.0968530000000003E-2</v>
      </c>
    </row>
    <row r="16" spans="1:9" x14ac:dyDescent="0.35">
      <c r="A16">
        <v>10</v>
      </c>
      <c r="B16" t="s">
        <v>518</v>
      </c>
      <c r="C16" t="s">
        <v>519</v>
      </c>
      <c r="D16" t="s">
        <v>290</v>
      </c>
      <c r="E16">
        <v>180000</v>
      </c>
      <c r="F16">
        <v>3662.82</v>
      </c>
      <c r="G16">
        <v>3.3212650000000003E-2</v>
      </c>
    </row>
    <row r="17" spans="1:7" x14ac:dyDescent="0.35">
      <c r="A17">
        <v>11</v>
      </c>
      <c r="B17" t="s">
        <v>877</v>
      </c>
      <c r="C17" t="s">
        <v>878</v>
      </c>
      <c r="D17" t="s">
        <v>324</v>
      </c>
      <c r="E17">
        <v>95945</v>
      </c>
      <c r="F17">
        <v>3628.8317900000002</v>
      </c>
      <c r="G17">
        <v>3.2904460000000003E-2</v>
      </c>
    </row>
    <row r="18" spans="1:7" x14ac:dyDescent="0.35">
      <c r="A18">
        <v>12</v>
      </c>
      <c r="B18" t="s">
        <v>516</v>
      </c>
      <c r="C18" t="s">
        <v>517</v>
      </c>
      <c r="D18" t="s">
        <v>230</v>
      </c>
      <c r="E18">
        <v>225000</v>
      </c>
      <c r="F18">
        <v>3579.5250000000001</v>
      </c>
      <c r="G18">
        <v>3.2457369999999999E-2</v>
      </c>
    </row>
    <row r="19" spans="1:7" x14ac:dyDescent="0.35">
      <c r="A19">
        <v>13</v>
      </c>
      <c r="B19" t="s">
        <v>879</v>
      </c>
      <c r="C19" t="s">
        <v>880</v>
      </c>
      <c r="D19" t="s">
        <v>38</v>
      </c>
      <c r="E19">
        <v>1155130</v>
      </c>
      <c r="F19">
        <v>3359.1180399999998</v>
      </c>
      <c r="G19">
        <v>3.0458829999999999E-2</v>
      </c>
    </row>
    <row r="20" spans="1:7" x14ac:dyDescent="0.35">
      <c r="A20">
        <v>14</v>
      </c>
      <c r="B20" t="s">
        <v>110</v>
      </c>
      <c r="C20" t="s">
        <v>111</v>
      </c>
      <c r="D20" t="s">
        <v>48</v>
      </c>
      <c r="E20">
        <v>592632</v>
      </c>
      <c r="F20">
        <v>3189.8417399999998</v>
      </c>
      <c r="G20">
        <v>2.8923910000000001E-2</v>
      </c>
    </row>
    <row r="21" spans="1:7" x14ac:dyDescent="0.35">
      <c r="A21">
        <v>15</v>
      </c>
      <c r="B21" t="s">
        <v>112</v>
      </c>
      <c r="C21" t="s">
        <v>113</v>
      </c>
      <c r="D21" t="s">
        <v>114</v>
      </c>
      <c r="E21">
        <v>44916</v>
      </c>
      <c r="F21">
        <v>3163.2093</v>
      </c>
      <c r="G21">
        <v>2.868242E-2</v>
      </c>
    </row>
    <row r="22" spans="1:7" x14ac:dyDescent="0.35">
      <c r="A22">
        <v>16</v>
      </c>
      <c r="B22" t="s">
        <v>77</v>
      </c>
      <c r="C22" t="s">
        <v>78</v>
      </c>
      <c r="D22" t="s">
        <v>79</v>
      </c>
      <c r="E22">
        <v>60260</v>
      </c>
      <c r="F22">
        <v>3048.8546999999999</v>
      </c>
      <c r="G22">
        <v>2.7645510000000002E-2</v>
      </c>
    </row>
    <row r="23" spans="1:7" x14ac:dyDescent="0.35">
      <c r="A23">
        <v>17</v>
      </c>
      <c r="B23" t="s">
        <v>316</v>
      </c>
      <c r="C23" t="s">
        <v>317</v>
      </c>
      <c r="D23" t="s">
        <v>209</v>
      </c>
      <c r="E23">
        <v>92223</v>
      </c>
      <c r="F23">
        <v>2986.365186</v>
      </c>
      <c r="G23">
        <v>2.7078890000000001E-2</v>
      </c>
    </row>
    <row r="24" spans="1:7" x14ac:dyDescent="0.35">
      <c r="A24">
        <v>18</v>
      </c>
      <c r="B24" t="s">
        <v>496</v>
      </c>
      <c r="C24" t="s">
        <v>497</v>
      </c>
      <c r="D24" t="s">
        <v>220</v>
      </c>
      <c r="E24">
        <v>244574</v>
      </c>
      <c r="F24">
        <v>2915.3220799999999</v>
      </c>
      <c r="G24">
        <v>2.643471E-2</v>
      </c>
    </row>
    <row r="25" spans="1:7" x14ac:dyDescent="0.35">
      <c r="A25">
        <v>19</v>
      </c>
      <c r="B25" t="s">
        <v>329</v>
      </c>
      <c r="C25" t="s">
        <v>330</v>
      </c>
      <c r="D25" t="s">
        <v>324</v>
      </c>
      <c r="E25">
        <v>201908</v>
      </c>
      <c r="F25">
        <v>2692.6450880000002</v>
      </c>
      <c r="G25">
        <v>2.4415579999999999E-2</v>
      </c>
    </row>
    <row r="26" spans="1:7" x14ac:dyDescent="0.35">
      <c r="A26">
        <v>20</v>
      </c>
      <c r="B26" t="s">
        <v>63</v>
      </c>
      <c r="C26" t="s">
        <v>64</v>
      </c>
      <c r="D26" t="s">
        <v>65</v>
      </c>
      <c r="E26">
        <v>34296</v>
      </c>
      <c r="F26">
        <v>2190.4855200000002</v>
      </c>
      <c r="G26">
        <v>1.986224E-2</v>
      </c>
    </row>
    <row r="27" spans="1:7" x14ac:dyDescent="0.35">
      <c r="A27">
        <v>21</v>
      </c>
      <c r="B27" t="s">
        <v>352</v>
      </c>
      <c r="C27" t="s">
        <v>353</v>
      </c>
      <c r="D27" t="s">
        <v>38</v>
      </c>
      <c r="E27">
        <v>172372</v>
      </c>
      <c r="F27">
        <v>2188.0901680000002</v>
      </c>
      <c r="G27">
        <v>1.984052E-2</v>
      </c>
    </row>
    <row r="28" spans="1:7" x14ac:dyDescent="0.35">
      <c r="A28">
        <v>22</v>
      </c>
      <c r="B28" t="s">
        <v>881</v>
      </c>
      <c r="C28" t="s">
        <v>882</v>
      </c>
      <c r="D28" t="s">
        <v>290</v>
      </c>
      <c r="E28">
        <v>621851</v>
      </c>
      <c r="F28">
        <v>2142.8985459999999</v>
      </c>
      <c r="G28">
        <v>1.943075E-2</v>
      </c>
    </row>
    <row r="29" spans="1:7" x14ac:dyDescent="0.35">
      <c r="A29">
        <v>23</v>
      </c>
      <c r="B29" t="s">
        <v>883</v>
      </c>
      <c r="C29" t="s">
        <v>884</v>
      </c>
      <c r="D29" t="s">
        <v>243</v>
      </c>
      <c r="E29">
        <v>167892</v>
      </c>
      <c r="F29">
        <v>2134.578888</v>
      </c>
      <c r="G29">
        <v>1.9355310000000001E-2</v>
      </c>
    </row>
    <row r="30" spans="1:7" x14ac:dyDescent="0.35">
      <c r="A30">
        <v>24</v>
      </c>
      <c r="B30" t="s">
        <v>279</v>
      </c>
      <c r="C30" t="s">
        <v>280</v>
      </c>
      <c r="D30" t="s">
        <v>281</v>
      </c>
      <c r="E30">
        <v>98689</v>
      </c>
      <c r="F30">
        <v>2048.4875729999999</v>
      </c>
      <c r="G30">
        <v>1.857468E-2</v>
      </c>
    </row>
    <row r="31" spans="1:7" x14ac:dyDescent="0.35">
      <c r="A31">
        <v>25</v>
      </c>
      <c r="B31" t="s">
        <v>514</v>
      </c>
      <c r="C31" t="s">
        <v>515</v>
      </c>
      <c r="D31" t="s">
        <v>324</v>
      </c>
      <c r="E31">
        <v>46886</v>
      </c>
      <c r="F31">
        <v>2006.2519400000001</v>
      </c>
      <c r="G31">
        <v>1.819171E-2</v>
      </c>
    </row>
    <row r="32" spans="1:7" x14ac:dyDescent="0.35">
      <c r="A32">
        <v>26</v>
      </c>
      <c r="B32" t="s">
        <v>885</v>
      </c>
      <c r="C32" t="s">
        <v>886</v>
      </c>
      <c r="D32" t="s">
        <v>19</v>
      </c>
      <c r="E32">
        <v>246480</v>
      </c>
      <c r="F32">
        <v>1818.77592</v>
      </c>
      <c r="G32">
        <v>1.6491760000000001E-2</v>
      </c>
    </row>
    <row r="33" spans="1:7" x14ac:dyDescent="0.35">
      <c r="A33">
        <v>27</v>
      </c>
      <c r="B33" t="s">
        <v>487</v>
      </c>
      <c r="C33" t="s">
        <v>488</v>
      </c>
      <c r="D33" t="s">
        <v>230</v>
      </c>
      <c r="E33">
        <v>101625</v>
      </c>
      <c r="F33">
        <v>1649.678625</v>
      </c>
      <c r="G33">
        <v>1.495847E-2</v>
      </c>
    </row>
    <row r="34" spans="1:7" x14ac:dyDescent="0.35">
      <c r="A34">
        <v>28</v>
      </c>
      <c r="B34" t="s">
        <v>887</v>
      </c>
      <c r="C34" t="s">
        <v>888</v>
      </c>
      <c r="D34" t="s">
        <v>65</v>
      </c>
      <c r="E34">
        <v>92424</v>
      </c>
      <c r="F34">
        <v>830.98418400000003</v>
      </c>
      <c r="G34">
        <v>7.5349600000000003E-3</v>
      </c>
    </row>
    <row r="35" spans="1:7" x14ac:dyDescent="0.35">
      <c r="A35">
        <v>29</v>
      </c>
      <c r="B35" t="s">
        <v>889</v>
      </c>
      <c r="C35" t="s">
        <v>890</v>
      </c>
      <c r="D35" t="s">
        <v>206</v>
      </c>
      <c r="E35">
        <v>15297</v>
      </c>
      <c r="F35">
        <v>223.94808</v>
      </c>
      <c r="G35">
        <v>2.0306500000000002E-3</v>
      </c>
    </row>
    <row r="36" spans="1:7" x14ac:dyDescent="0.35">
      <c r="C36" t="s">
        <v>139</v>
      </c>
      <c r="F36">
        <v>106307.667696</v>
      </c>
      <c r="G36">
        <v>0.96394557000000003</v>
      </c>
    </row>
    <row r="38" spans="1:7" x14ac:dyDescent="0.35">
      <c r="C38" t="s">
        <v>140</v>
      </c>
    </row>
    <row r="39" spans="1:7" x14ac:dyDescent="0.35">
      <c r="C39" t="s">
        <v>139</v>
      </c>
      <c r="F39" t="s">
        <v>141</v>
      </c>
      <c r="G39">
        <v>0</v>
      </c>
    </row>
    <row r="41" spans="1:7" x14ac:dyDescent="0.35">
      <c r="C41" t="s">
        <v>142</v>
      </c>
    </row>
    <row r="42" spans="1:7" x14ac:dyDescent="0.35">
      <c r="C42" t="s">
        <v>139</v>
      </c>
      <c r="F42" t="s">
        <v>141</v>
      </c>
      <c r="G42">
        <v>0</v>
      </c>
    </row>
    <row r="44" spans="1:7" x14ac:dyDescent="0.35">
      <c r="C44" t="s">
        <v>147</v>
      </c>
    </row>
    <row r="45" spans="1:7" x14ac:dyDescent="0.35">
      <c r="C45" t="s">
        <v>139</v>
      </c>
      <c r="F45" t="s">
        <v>141</v>
      </c>
      <c r="G45">
        <v>0</v>
      </c>
    </row>
    <row r="47" spans="1:7" x14ac:dyDescent="0.35">
      <c r="C47" t="s">
        <v>148</v>
      </c>
    </row>
    <row r="48" spans="1:7" x14ac:dyDescent="0.35">
      <c r="C48" t="s">
        <v>139</v>
      </c>
      <c r="F48" t="s">
        <v>141</v>
      </c>
      <c r="G48">
        <v>0</v>
      </c>
    </row>
    <row r="50" spans="3:7" x14ac:dyDescent="0.35">
      <c r="C50" t="s">
        <v>149</v>
      </c>
    </row>
    <row r="51" spans="3:7" x14ac:dyDescent="0.35">
      <c r="C51" t="s">
        <v>139</v>
      </c>
      <c r="F51" t="s">
        <v>141</v>
      </c>
      <c r="G51">
        <v>0</v>
      </c>
    </row>
    <row r="53" spans="3:7" x14ac:dyDescent="0.35">
      <c r="C53" t="s">
        <v>150</v>
      </c>
      <c r="F53">
        <f>F36</f>
        <v>106307.667696</v>
      </c>
      <c r="G53">
        <f>G36</f>
        <v>0.96394557000000003</v>
      </c>
    </row>
    <row r="55" spans="3:7" x14ac:dyDescent="0.35">
      <c r="C55" t="s">
        <v>151</v>
      </c>
    </row>
    <row r="56" spans="3:7" x14ac:dyDescent="0.35">
      <c r="C56" t="s">
        <v>13</v>
      </c>
    </row>
    <row r="57" spans="3:7" x14ac:dyDescent="0.35">
      <c r="C57" t="s">
        <v>139</v>
      </c>
      <c r="F57" t="s">
        <v>141</v>
      </c>
      <c r="G57">
        <v>0</v>
      </c>
    </row>
    <row r="59" spans="3:7" x14ac:dyDescent="0.35">
      <c r="C59" t="s">
        <v>152</v>
      </c>
    </row>
    <row r="60" spans="3:7" x14ac:dyDescent="0.35">
      <c r="C60" t="s">
        <v>139</v>
      </c>
      <c r="F60" t="s">
        <v>141</v>
      </c>
      <c r="G60">
        <v>0</v>
      </c>
    </row>
    <row r="62" spans="3:7" x14ac:dyDescent="0.35">
      <c r="C62" t="s">
        <v>153</v>
      </c>
    </row>
    <row r="63" spans="3:7" x14ac:dyDescent="0.35">
      <c r="C63" t="s">
        <v>139</v>
      </c>
      <c r="F63" t="s">
        <v>141</v>
      </c>
      <c r="G63">
        <v>0</v>
      </c>
    </row>
    <row r="65" spans="1:8" x14ac:dyDescent="0.35">
      <c r="C65" t="s">
        <v>154</v>
      </c>
    </row>
    <row r="66" spans="1:8" x14ac:dyDescent="0.35">
      <c r="C66" t="s">
        <v>139</v>
      </c>
      <c r="F66" t="s">
        <v>141</v>
      </c>
      <c r="G66">
        <v>0</v>
      </c>
    </row>
    <row r="68" spans="1:8" x14ac:dyDescent="0.35">
      <c r="C68" t="s">
        <v>341</v>
      </c>
    </row>
    <row r="69" spans="1:8" x14ac:dyDescent="0.35">
      <c r="A69">
        <v>1</v>
      </c>
      <c r="B69" t="s">
        <v>342</v>
      </c>
      <c r="C69" t="s">
        <v>343</v>
      </c>
      <c r="D69" t="s">
        <v>252</v>
      </c>
      <c r="E69">
        <v>670440</v>
      </c>
      <c r="F69">
        <v>68.291018399999999</v>
      </c>
      <c r="G69">
        <v>6.1923000000000002E-4</v>
      </c>
      <c r="H69">
        <v>6.1050000000000004</v>
      </c>
    </row>
    <row r="70" spans="1:8" x14ac:dyDescent="0.35">
      <c r="C70" t="s">
        <v>139</v>
      </c>
      <c r="F70">
        <f>F69</f>
        <v>68.291018399999999</v>
      </c>
      <c r="G70">
        <f>G69</f>
        <v>6.1923000000000002E-4</v>
      </c>
    </row>
    <row r="72" spans="1:8" x14ac:dyDescent="0.35">
      <c r="C72" t="s">
        <v>155</v>
      </c>
      <c r="F72">
        <f>F70</f>
        <v>68.291018399999999</v>
      </c>
      <c r="G72">
        <f>G70</f>
        <v>6.1923000000000002E-4</v>
      </c>
    </row>
    <row r="74" spans="1:8" x14ac:dyDescent="0.35">
      <c r="C74" t="s">
        <v>156</v>
      </c>
    </row>
    <row r="75" spans="1:8" x14ac:dyDescent="0.35">
      <c r="C75" t="s">
        <v>157</v>
      </c>
    </row>
    <row r="76" spans="1:8" x14ac:dyDescent="0.35">
      <c r="C76" t="s">
        <v>139</v>
      </c>
      <c r="F76" t="s">
        <v>141</v>
      </c>
      <c r="G76">
        <v>0</v>
      </c>
    </row>
    <row r="78" spans="1:8" x14ac:dyDescent="0.35">
      <c r="C78" t="s">
        <v>158</v>
      </c>
    </row>
    <row r="79" spans="1:8" x14ac:dyDescent="0.35">
      <c r="C79" t="s">
        <v>139</v>
      </c>
      <c r="F79" t="s">
        <v>141</v>
      </c>
      <c r="G79">
        <v>0</v>
      </c>
    </row>
    <row r="81" spans="1:8" x14ac:dyDescent="0.35">
      <c r="C81" t="s">
        <v>159</v>
      </c>
    </row>
    <row r="82" spans="1:8" x14ac:dyDescent="0.35">
      <c r="C82" t="s">
        <v>139</v>
      </c>
      <c r="F82" t="s">
        <v>141</v>
      </c>
      <c r="G82">
        <v>0</v>
      </c>
    </row>
    <row r="84" spans="1:8" x14ac:dyDescent="0.35">
      <c r="C84" t="s">
        <v>160</v>
      </c>
    </row>
    <row r="85" spans="1:8" x14ac:dyDescent="0.35">
      <c r="A85">
        <v>1</v>
      </c>
      <c r="C85" t="s">
        <v>161</v>
      </c>
      <c r="F85">
        <v>3154.7509759919999</v>
      </c>
      <c r="G85">
        <v>2.8605729999999999E-2</v>
      </c>
      <c r="H85">
        <v>5.42</v>
      </c>
    </row>
    <row r="86" spans="1:8" x14ac:dyDescent="0.35">
      <c r="C86" t="s">
        <v>139</v>
      </c>
      <c r="F86">
        <v>3154.7509759919999</v>
      </c>
      <c r="G86">
        <v>2.8605729999999999E-2</v>
      </c>
    </row>
    <row r="88" spans="1:8" x14ac:dyDescent="0.35">
      <c r="C88" t="s">
        <v>162</v>
      </c>
      <c r="F88">
        <v>3154.7509759919999</v>
      </c>
      <c r="G88">
        <v>2.8605729999999999E-2</v>
      </c>
    </row>
    <row r="90" spans="1:8" x14ac:dyDescent="0.35">
      <c r="C90" t="s">
        <v>163</v>
      </c>
    </row>
    <row r="91" spans="1:8" x14ac:dyDescent="0.35">
      <c r="C91" t="s">
        <v>164</v>
      </c>
    </row>
    <row r="92" spans="1:8" x14ac:dyDescent="0.35">
      <c r="C92" t="s">
        <v>139</v>
      </c>
      <c r="F92" t="s">
        <v>141</v>
      </c>
      <c r="G92">
        <v>0</v>
      </c>
    </row>
    <row r="94" spans="1:8" x14ac:dyDescent="0.35">
      <c r="C94" t="s">
        <v>165</v>
      </c>
    </row>
    <row r="95" spans="1:8" x14ac:dyDescent="0.35">
      <c r="C95" t="s">
        <v>166</v>
      </c>
    </row>
    <row r="96" spans="1:8" x14ac:dyDescent="0.35">
      <c r="C96" t="s">
        <v>139</v>
      </c>
      <c r="F96" t="s">
        <v>141</v>
      </c>
      <c r="G96">
        <v>0</v>
      </c>
    </row>
    <row r="98" spans="2:7" x14ac:dyDescent="0.35">
      <c r="C98" t="s">
        <v>167</v>
      </c>
    </row>
    <row r="99" spans="2:7" x14ac:dyDescent="0.35">
      <c r="C99" t="s">
        <v>139</v>
      </c>
      <c r="F99" t="s">
        <v>141</v>
      </c>
      <c r="G99">
        <v>0</v>
      </c>
    </row>
    <row r="101" spans="2:7" x14ac:dyDescent="0.35">
      <c r="C101" t="s">
        <v>168</v>
      </c>
      <c r="F101">
        <v>753.17963435000001</v>
      </c>
      <c r="G101">
        <v>6.8294599999999999E-3</v>
      </c>
    </row>
    <row r="102" spans="2:7" x14ac:dyDescent="0.35">
      <c r="C102" t="s">
        <v>169</v>
      </c>
      <c r="F102">
        <v>110283.88932474201</v>
      </c>
      <c r="G102">
        <v>0.99999998999999995</v>
      </c>
    </row>
    <row r="104" spans="2:7" x14ac:dyDescent="0.35">
      <c r="B104" t="s">
        <v>170</v>
      </c>
    </row>
    <row r="105" spans="2:7" x14ac:dyDescent="0.35">
      <c r="B105" t="s">
        <v>171</v>
      </c>
    </row>
    <row r="106" spans="2:7" x14ac:dyDescent="0.35">
      <c r="B106" t="s">
        <v>172</v>
      </c>
    </row>
    <row r="107" spans="2:7" x14ac:dyDescent="0.35">
      <c r="B107" t="s">
        <v>173</v>
      </c>
    </row>
    <row r="108" spans="2:7" x14ac:dyDescent="0.35">
      <c r="B108" t="s">
        <v>174</v>
      </c>
    </row>
    <row r="110" spans="2:7" x14ac:dyDescent="0.35">
      <c r="B110" t="s">
        <v>175</v>
      </c>
    </row>
    <row r="111" spans="2:7" x14ac:dyDescent="0.35">
      <c r="B111" t="s">
        <v>176</v>
      </c>
      <c r="D111" t="s">
        <v>177</v>
      </c>
    </row>
    <row r="112" spans="2:7" x14ac:dyDescent="0.35">
      <c r="B112" t="s">
        <v>178</v>
      </c>
      <c r="D112" t="s">
        <v>177</v>
      </c>
    </row>
    <row r="113" spans="2:4" x14ac:dyDescent="0.35">
      <c r="B113" t="s">
        <v>179</v>
      </c>
    </row>
    <row r="114" spans="2:4" x14ac:dyDescent="0.35">
      <c r="C114" t="s">
        <v>180</v>
      </c>
      <c r="D114" t="s">
        <v>181</v>
      </c>
    </row>
    <row r="115" spans="2:4" x14ac:dyDescent="0.35">
      <c r="B115" t="s">
        <v>182</v>
      </c>
      <c r="C115" s="1">
        <v>45991</v>
      </c>
      <c r="D115" s="1">
        <v>46022</v>
      </c>
    </row>
    <row r="116" spans="2:4" x14ac:dyDescent="0.35">
      <c r="B116" t="s">
        <v>183</v>
      </c>
      <c r="C116">
        <v>181.12729999999999</v>
      </c>
      <c r="D116">
        <v>181.98259999999999</v>
      </c>
    </row>
    <row r="117" spans="2:4" x14ac:dyDescent="0.35">
      <c r="B117" t="s">
        <v>842</v>
      </c>
      <c r="C117">
        <v>46.0578</v>
      </c>
      <c r="D117">
        <v>46.275300000000001</v>
      </c>
    </row>
    <row r="118" spans="2:4" x14ac:dyDescent="0.35">
      <c r="B118" t="s">
        <v>185</v>
      </c>
      <c r="C118">
        <v>162.97749999999999</v>
      </c>
      <c r="D118">
        <v>163.60939999999999</v>
      </c>
    </row>
    <row r="119" spans="2:4" x14ac:dyDescent="0.35">
      <c r="B119" t="s">
        <v>843</v>
      </c>
      <c r="C119">
        <v>42.205399999999997</v>
      </c>
      <c r="D119">
        <v>42.369</v>
      </c>
    </row>
    <row r="121" spans="2:4" x14ac:dyDescent="0.35">
      <c r="B121" t="s">
        <v>187</v>
      </c>
      <c r="D121" t="s">
        <v>177</v>
      </c>
    </row>
    <row r="123" spans="2:4" x14ac:dyDescent="0.35">
      <c r="B123" t="s">
        <v>188</v>
      </c>
      <c r="D123" t="s">
        <v>177</v>
      </c>
    </row>
    <row r="124" spans="2:4" x14ac:dyDescent="0.35">
      <c r="B124" t="s">
        <v>189</v>
      </c>
      <c r="D124" t="s">
        <v>177</v>
      </c>
    </row>
    <row r="125" spans="2:4" x14ac:dyDescent="0.35">
      <c r="B125" t="s">
        <v>190</v>
      </c>
      <c r="D125" t="s">
        <v>177</v>
      </c>
    </row>
    <row r="126" spans="2:4" x14ac:dyDescent="0.35">
      <c r="B126" t="s">
        <v>191</v>
      </c>
      <c r="D126">
        <v>0.58842742480035259</v>
      </c>
    </row>
    <row r="128" spans="2:4" x14ac:dyDescent="0.35">
      <c r="B128" t="s">
        <v>192</v>
      </c>
    </row>
    <row r="133" spans="2:4" x14ac:dyDescent="0.35">
      <c r="B133" t="s">
        <v>193</v>
      </c>
      <c r="D133" t="s">
        <v>346</v>
      </c>
    </row>
    <row r="134" spans="2:4" x14ac:dyDescent="0.35">
      <c r="B134" t="s">
        <v>891</v>
      </c>
      <c r="D134" t="s">
        <v>892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77"/>
  <sheetViews>
    <sheetView workbookViewId="0"/>
  </sheetViews>
  <sheetFormatPr defaultRowHeight="14.5" x14ac:dyDescent="0.35"/>
  <sheetData>
    <row r="1" spans="1:9" x14ac:dyDescent="0.35">
      <c r="A1" t="s">
        <v>0</v>
      </c>
      <c r="I1" t="s">
        <v>1</v>
      </c>
    </row>
    <row r="2" spans="1:9" x14ac:dyDescent="0.35">
      <c r="A2" t="s">
        <v>893</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2030957</v>
      </c>
      <c r="F7">
        <v>20130.845784000001</v>
      </c>
      <c r="G7">
        <v>6.9233379999999997E-2</v>
      </c>
    </row>
    <row r="8" spans="1:9" x14ac:dyDescent="0.35">
      <c r="A8">
        <v>2</v>
      </c>
      <c r="B8" t="s">
        <v>39</v>
      </c>
      <c r="C8" t="s">
        <v>40</v>
      </c>
      <c r="D8" t="s">
        <v>38</v>
      </c>
      <c r="E8">
        <v>1098746</v>
      </c>
      <c r="F8">
        <v>14755.060034</v>
      </c>
      <c r="G8">
        <v>5.0745150000000003E-2</v>
      </c>
    </row>
    <row r="9" spans="1:9" x14ac:dyDescent="0.35">
      <c r="A9">
        <v>3</v>
      </c>
      <c r="B9" t="s">
        <v>17</v>
      </c>
      <c r="C9" t="s">
        <v>18</v>
      </c>
      <c r="D9" t="s">
        <v>19</v>
      </c>
      <c r="E9">
        <v>297963</v>
      </c>
      <c r="F9">
        <v>12167.319105</v>
      </c>
      <c r="G9">
        <v>4.1845470000000003E-2</v>
      </c>
    </row>
    <row r="10" spans="1:9" x14ac:dyDescent="0.35">
      <c r="A10">
        <v>4</v>
      </c>
      <c r="B10" t="s">
        <v>356</v>
      </c>
      <c r="C10" t="s">
        <v>357</v>
      </c>
      <c r="D10" t="s">
        <v>38</v>
      </c>
      <c r="E10">
        <v>532044</v>
      </c>
      <c r="F10">
        <v>11710.820484</v>
      </c>
      <c r="G10">
        <v>4.0275489999999997E-2</v>
      </c>
    </row>
    <row r="11" spans="1:9" x14ac:dyDescent="0.35">
      <c r="A11">
        <v>5</v>
      </c>
      <c r="B11" t="s">
        <v>14</v>
      </c>
      <c r="C11" t="s">
        <v>15</v>
      </c>
      <c r="D11" t="s">
        <v>16</v>
      </c>
      <c r="E11">
        <v>452129</v>
      </c>
      <c r="F11">
        <v>9520.0282239999997</v>
      </c>
      <c r="G11">
        <v>3.2740989999999998E-2</v>
      </c>
    </row>
    <row r="12" spans="1:9" x14ac:dyDescent="0.35">
      <c r="A12">
        <v>6</v>
      </c>
      <c r="B12" t="s">
        <v>20</v>
      </c>
      <c r="C12" t="s">
        <v>21</v>
      </c>
      <c r="D12" t="s">
        <v>22</v>
      </c>
      <c r="E12">
        <v>592907</v>
      </c>
      <c r="F12">
        <v>9311.0115280000009</v>
      </c>
      <c r="G12">
        <v>3.2022139999999998E-2</v>
      </c>
    </row>
    <row r="13" spans="1:9" x14ac:dyDescent="0.35">
      <c r="A13">
        <v>7</v>
      </c>
      <c r="B13" t="s">
        <v>204</v>
      </c>
      <c r="C13" t="s">
        <v>205</v>
      </c>
      <c r="D13" t="s">
        <v>206</v>
      </c>
      <c r="E13">
        <v>1993038</v>
      </c>
      <c r="F13">
        <v>8031.9431400000003</v>
      </c>
      <c r="G13">
        <v>2.7623209999999999E-2</v>
      </c>
    </row>
    <row r="14" spans="1:9" x14ac:dyDescent="0.35">
      <c r="A14">
        <v>8</v>
      </c>
      <c r="B14" t="s">
        <v>399</v>
      </c>
      <c r="C14" t="s">
        <v>400</v>
      </c>
      <c r="D14" t="s">
        <v>38</v>
      </c>
      <c r="E14">
        <v>3919350</v>
      </c>
      <c r="F14">
        <v>6745.2013500000003</v>
      </c>
      <c r="G14">
        <v>2.3197889999999999E-2</v>
      </c>
    </row>
    <row r="15" spans="1:9" x14ac:dyDescent="0.35">
      <c r="A15">
        <v>9</v>
      </c>
      <c r="B15" t="s">
        <v>358</v>
      </c>
      <c r="C15" t="s">
        <v>359</v>
      </c>
      <c r="D15" t="s">
        <v>252</v>
      </c>
      <c r="E15">
        <v>160863</v>
      </c>
      <c r="F15">
        <v>5966.7303959999999</v>
      </c>
      <c r="G15">
        <v>2.05206E-2</v>
      </c>
    </row>
    <row r="16" spans="1:9" x14ac:dyDescent="0.35">
      <c r="A16">
        <v>10</v>
      </c>
      <c r="B16" t="s">
        <v>214</v>
      </c>
      <c r="C16" t="s">
        <v>215</v>
      </c>
      <c r="D16" t="s">
        <v>22</v>
      </c>
      <c r="E16">
        <v>1161716</v>
      </c>
      <c r="F16">
        <v>5797.5436980000004</v>
      </c>
      <c r="G16">
        <v>1.9938730000000002E-2</v>
      </c>
    </row>
    <row r="17" spans="1:7" x14ac:dyDescent="0.35">
      <c r="A17">
        <v>11</v>
      </c>
      <c r="B17" t="s">
        <v>368</v>
      </c>
      <c r="C17" t="s">
        <v>369</v>
      </c>
      <c r="D17" t="s">
        <v>274</v>
      </c>
      <c r="E17">
        <v>321066</v>
      </c>
      <c r="F17">
        <v>5777.2616040000003</v>
      </c>
      <c r="G17">
        <v>1.9868980000000001E-2</v>
      </c>
    </row>
    <row r="18" spans="1:7" x14ac:dyDescent="0.35">
      <c r="A18">
        <v>12</v>
      </c>
      <c r="B18" t="s">
        <v>61</v>
      </c>
      <c r="C18" t="s">
        <v>62</v>
      </c>
      <c r="D18" t="s">
        <v>53</v>
      </c>
      <c r="E18">
        <v>124224</v>
      </c>
      <c r="F18">
        <v>5540.6388479999996</v>
      </c>
      <c r="G18">
        <v>1.905519E-2</v>
      </c>
    </row>
    <row r="19" spans="1:7" x14ac:dyDescent="0.35">
      <c r="A19">
        <v>13</v>
      </c>
      <c r="B19" t="s">
        <v>95</v>
      </c>
      <c r="C19" t="s">
        <v>96</v>
      </c>
      <c r="D19" t="s">
        <v>97</v>
      </c>
      <c r="E19">
        <v>615370</v>
      </c>
      <c r="F19">
        <v>5446.0245000000004</v>
      </c>
      <c r="G19">
        <v>1.8729800000000001E-2</v>
      </c>
    </row>
    <row r="20" spans="1:7" x14ac:dyDescent="0.35">
      <c r="A20">
        <v>14</v>
      </c>
      <c r="B20" t="s">
        <v>246</v>
      </c>
      <c r="C20" t="s">
        <v>247</v>
      </c>
      <c r="D20" t="s">
        <v>206</v>
      </c>
      <c r="E20">
        <v>39406</v>
      </c>
      <c r="F20">
        <v>5430.1468000000004</v>
      </c>
      <c r="G20">
        <v>1.8675190000000001E-2</v>
      </c>
    </row>
    <row r="21" spans="1:7" x14ac:dyDescent="0.35">
      <c r="A21">
        <v>15</v>
      </c>
      <c r="B21" t="s">
        <v>231</v>
      </c>
      <c r="C21" t="s">
        <v>232</v>
      </c>
      <c r="D21" t="s">
        <v>38</v>
      </c>
      <c r="E21">
        <v>638402</v>
      </c>
      <c r="F21">
        <v>5345.0207449999998</v>
      </c>
      <c r="G21">
        <v>1.8382430000000002E-2</v>
      </c>
    </row>
    <row r="22" spans="1:7" x14ac:dyDescent="0.35">
      <c r="A22">
        <v>16</v>
      </c>
      <c r="B22" t="s">
        <v>487</v>
      </c>
      <c r="C22" t="s">
        <v>488</v>
      </c>
      <c r="D22" t="s">
        <v>230</v>
      </c>
      <c r="E22">
        <v>327370</v>
      </c>
      <c r="F22">
        <v>5314.1972100000003</v>
      </c>
      <c r="G22">
        <v>1.8276420000000002E-2</v>
      </c>
    </row>
    <row r="23" spans="1:7" x14ac:dyDescent="0.35">
      <c r="A23">
        <v>17</v>
      </c>
      <c r="B23" t="s">
        <v>238</v>
      </c>
      <c r="C23" t="s">
        <v>239</v>
      </c>
      <c r="D23" t="s">
        <v>240</v>
      </c>
      <c r="E23">
        <v>946607</v>
      </c>
      <c r="F23">
        <v>5287.7467020000004</v>
      </c>
      <c r="G23">
        <v>1.8185460000000001E-2</v>
      </c>
    </row>
    <row r="24" spans="1:7" x14ac:dyDescent="0.35">
      <c r="A24">
        <v>18</v>
      </c>
      <c r="B24" t="s">
        <v>29</v>
      </c>
      <c r="C24" t="s">
        <v>30</v>
      </c>
      <c r="D24" t="s">
        <v>31</v>
      </c>
      <c r="E24">
        <v>1280435</v>
      </c>
      <c r="F24">
        <v>5116.6182600000002</v>
      </c>
      <c r="G24">
        <v>1.7596919999999999E-2</v>
      </c>
    </row>
    <row r="25" spans="1:7" x14ac:dyDescent="0.35">
      <c r="A25">
        <v>19</v>
      </c>
      <c r="B25" t="s">
        <v>894</v>
      </c>
      <c r="C25" t="s">
        <v>895</v>
      </c>
      <c r="D25" t="s">
        <v>896</v>
      </c>
      <c r="E25">
        <v>1761898</v>
      </c>
      <c r="F25">
        <v>4980.0046970000003</v>
      </c>
      <c r="G25">
        <v>1.7127079999999999E-2</v>
      </c>
    </row>
    <row r="26" spans="1:7" x14ac:dyDescent="0.35">
      <c r="A26">
        <v>20</v>
      </c>
      <c r="B26" t="s">
        <v>500</v>
      </c>
      <c r="C26" t="s">
        <v>501</v>
      </c>
      <c r="D26" t="s">
        <v>43</v>
      </c>
      <c r="E26">
        <v>545651</v>
      </c>
      <c r="F26">
        <v>4962.9686705000004</v>
      </c>
      <c r="G26">
        <v>1.7068489999999999E-2</v>
      </c>
    </row>
    <row r="27" spans="1:7" x14ac:dyDescent="0.35">
      <c r="A27">
        <v>21</v>
      </c>
      <c r="B27" t="s">
        <v>80</v>
      </c>
      <c r="C27" t="s">
        <v>81</v>
      </c>
      <c r="D27" t="s">
        <v>43</v>
      </c>
      <c r="E27">
        <v>63972</v>
      </c>
      <c r="F27">
        <v>4919.1269400000001</v>
      </c>
      <c r="G27">
        <v>1.6917709999999999E-2</v>
      </c>
    </row>
    <row r="28" spans="1:7" x14ac:dyDescent="0.35">
      <c r="A28">
        <v>22</v>
      </c>
      <c r="B28" t="s">
        <v>57</v>
      </c>
      <c r="C28" t="s">
        <v>58</v>
      </c>
      <c r="D28" t="s">
        <v>53</v>
      </c>
      <c r="E28">
        <v>108339</v>
      </c>
      <c r="F28">
        <v>4804.1846159999996</v>
      </c>
      <c r="G28">
        <v>1.65224E-2</v>
      </c>
    </row>
    <row r="29" spans="1:7" x14ac:dyDescent="0.35">
      <c r="A29">
        <v>23</v>
      </c>
      <c r="B29" t="s">
        <v>90</v>
      </c>
      <c r="C29" t="s">
        <v>91</v>
      </c>
      <c r="D29" t="s">
        <v>28</v>
      </c>
      <c r="E29">
        <v>84516</v>
      </c>
      <c r="F29">
        <v>4674.57996</v>
      </c>
      <c r="G29">
        <v>1.6076670000000001E-2</v>
      </c>
    </row>
    <row r="30" spans="1:7" x14ac:dyDescent="0.35">
      <c r="A30">
        <v>24</v>
      </c>
      <c r="B30" t="s">
        <v>66</v>
      </c>
      <c r="C30" t="s">
        <v>67</v>
      </c>
      <c r="D30" t="s">
        <v>53</v>
      </c>
      <c r="E30">
        <v>371735</v>
      </c>
      <c r="F30">
        <v>4530.7061800000001</v>
      </c>
      <c r="G30">
        <v>1.5581869999999999E-2</v>
      </c>
    </row>
    <row r="31" spans="1:7" x14ac:dyDescent="0.35">
      <c r="A31">
        <v>25</v>
      </c>
      <c r="B31" t="s">
        <v>26</v>
      </c>
      <c r="C31" t="s">
        <v>27</v>
      </c>
      <c r="D31" t="s">
        <v>28</v>
      </c>
      <c r="E31">
        <v>38374</v>
      </c>
      <c r="F31">
        <v>4521.9921599999998</v>
      </c>
      <c r="G31">
        <v>1.55519E-2</v>
      </c>
    </row>
    <row r="32" spans="1:7" x14ac:dyDescent="0.35">
      <c r="A32">
        <v>26</v>
      </c>
      <c r="B32" t="s">
        <v>63</v>
      </c>
      <c r="C32" t="s">
        <v>64</v>
      </c>
      <c r="D32" t="s">
        <v>65</v>
      </c>
      <c r="E32">
        <v>66236</v>
      </c>
      <c r="F32">
        <v>4230.4933199999996</v>
      </c>
      <c r="G32">
        <v>1.4549380000000001E-2</v>
      </c>
    </row>
    <row r="33" spans="1:7" x14ac:dyDescent="0.35">
      <c r="A33">
        <v>27</v>
      </c>
      <c r="B33" t="s">
        <v>226</v>
      </c>
      <c r="C33" t="s">
        <v>227</v>
      </c>
      <c r="D33" t="s">
        <v>114</v>
      </c>
      <c r="E33">
        <v>474344</v>
      </c>
      <c r="F33">
        <v>4193.2009600000001</v>
      </c>
      <c r="G33">
        <v>1.4421130000000001E-2</v>
      </c>
    </row>
    <row r="34" spans="1:7" x14ac:dyDescent="0.35">
      <c r="A34">
        <v>28</v>
      </c>
      <c r="B34" t="s">
        <v>228</v>
      </c>
      <c r="C34" t="s">
        <v>229</v>
      </c>
      <c r="D34" t="s">
        <v>230</v>
      </c>
      <c r="E34">
        <v>250906</v>
      </c>
      <c r="F34">
        <v>4172.5667800000001</v>
      </c>
      <c r="G34">
        <v>1.4350160000000001E-2</v>
      </c>
    </row>
    <row r="35" spans="1:7" x14ac:dyDescent="0.35">
      <c r="A35">
        <v>29</v>
      </c>
      <c r="B35" t="s">
        <v>49</v>
      </c>
      <c r="C35" t="s">
        <v>50</v>
      </c>
      <c r="D35" t="s">
        <v>25</v>
      </c>
      <c r="E35">
        <v>1094203</v>
      </c>
      <c r="F35">
        <v>4153.5945879999999</v>
      </c>
      <c r="G35">
        <v>1.428491E-2</v>
      </c>
    </row>
    <row r="36" spans="1:7" x14ac:dyDescent="0.35">
      <c r="A36">
        <v>30</v>
      </c>
      <c r="B36" t="s">
        <v>218</v>
      </c>
      <c r="C36" t="s">
        <v>219</v>
      </c>
      <c r="D36" t="s">
        <v>220</v>
      </c>
      <c r="E36">
        <v>552997</v>
      </c>
      <c r="F36">
        <v>4150.7954820000004</v>
      </c>
      <c r="G36">
        <v>1.427529E-2</v>
      </c>
    </row>
    <row r="37" spans="1:7" x14ac:dyDescent="0.35">
      <c r="A37">
        <v>31</v>
      </c>
      <c r="B37" t="s">
        <v>390</v>
      </c>
      <c r="C37" t="s">
        <v>391</v>
      </c>
      <c r="D37" t="s">
        <v>230</v>
      </c>
      <c r="E37">
        <v>585264</v>
      </c>
      <c r="F37">
        <v>4048.271088</v>
      </c>
      <c r="G37">
        <v>1.392269E-2</v>
      </c>
    </row>
    <row r="38" spans="1:7" x14ac:dyDescent="0.35">
      <c r="A38">
        <v>32</v>
      </c>
      <c r="B38" t="s">
        <v>329</v>
      </c>
      <c r="C38" t="s">
        <v>330</v>
      </c>
      <c r="D38" t="s">
        <v>324</v>
      </c>
      <c r="E38">
        <v>300775</v>
      </c>
      <c r="F38">
        <v>4011.1354000000001</v>
      </c>
      <c r="G38">
        <v>1.379497E-2</v>
      </c>
    </row>
    <row r="39" spans="1:7" x14ac:dyDescent="0.35">
      <c r="A39">
        <v>33</v>
      </c>
      <c r="B39" t="s">
        <v>258</v>
      </c>
      <c r="C39" t="s">
        <v>259</v>
      </c>
      <c r="D39" t="s">
        <v>240</v>
      </c>
      <c r="E39">
        <v>416636</v>
      </c>
      <c r="F39">
        <v>3627.0246980000002</v>
      </c>
      <c r="G39">
        <v>1.2473949999999999E-2</v>
      </c>
    </row>
    <row r="40" spans="1:7" x14ac:dyDescent="0.35">
      <c r="A40">
        <v>34</v>
      </c>
      <c r="B40" t="s">
        <v>308</v>
      </c>
      <c r="C40" t="s">
        <v>309</v>
      </c>
      <c r="D40" t="s">
        <v>240</v>
      </c>
      <c r="E40">
        <v>2407581</v>
      </c>
      <c r="F40">
        <v>3562.0160894999999</v>
      </c>
      <c r="G40">
        <v>1.225038E-2</v>
      </c>
    </row>
    <row r="41" spans="1:7" x14ac:dyDescent="0.35">
      <c r="A41">
        <v>35</v>
      </c>
      <c r="B41" t="s">
        <v>253</v>
      </c>
      <c r="C41" t="s">
        <v>254</v>
      </c>
      <c r="D41" t="s">
        <v>235</v>
      </c>
      <c r="E41">
        <v>295552</v>
      </c>
      <c r="F41">
        <v>3517.0688</v>
      </c>
      <c r="G41">
        <v>1.20958E-2</v>
      </c>
    </row>
    <row r="42" spans="1:7" x14ac:dyDescent="0.35">
      <c r="A42">
        <v>36</v>
      </c>
      <c r="B42" t="s">
        <v>295</v>
      </c>
      <c r="C42" t="s">
        <v>296</v>
      </c>
      <c r="D42" t="s">
        <v>53</v>
      </c>
      <c r="E42">
        <v>182448</v>
      </c>
      <c r="F42">
        <v>3492.0547200000001</v>
      </c>
      <c r="G42">
        <v>1.2009769999999999E-2</v>
      </c>
    </row>
    <row r="43" spans="1:7" x14ac:dyDescent="0.35">
      <c r="A43">
        <v>37</v>
      </c>
      <c r="B43" t="s">
        <v>897</v>
      </c>
      <c r="C43" t="s">
        <v>898</v>
      </c>
      <c r="D43" t="s">
        <v>114</v>
      </c>
      <c r="E43">
        <v>174800</v>
      </c>
      <c r="F43">
        <v>3371.7172</v>
      </c>
      <c r="G43">
        <v>1.1595909999999999E-2</v>
      </c>
    </row>
    <row r="44" spans="1:7" x14ac:dyDescent="0.35">
      <c r="A44">
        <v>38</v>
      </c>
      <c r="B44" t="s">
        <v>723</v>
      </c>
      <c r="C44" t="s">
        <v>724</v>
      </c>
      <c r="D44" t="s">
        <v>394</v>
      </c>
      <c r="E44">
        <v>54047</v>
      </c>
      <c r="F44">
        <v>3259.5745700000002</v>
      </c>
      <c r="G44">
        <v>1.121023E-2</v>
      </c>
    </row>
    <row r="45" spans="1:7" x14ac:dyDescent="0.35">
      <c r="A45">
        <v>39</v>
      </c>
      <c r="B45" t="s">
        <v>729</v>
      </c>
      <c r="C45" t="s">
        <v>730</v>
      </c>
      <c r="D45" t="s">
        <v>206</v>
      </c>
      <c r="E45">
        <v>157579</v>
      </c>
      <c r="F45">
        <v>3214.454021</v>
      </c>
      <c r="G45">
        <v>1.105505E-2</v>
      </c>
    </row>
    <row r="46" spans="1:7" x14ac:dyDescent="0.35">
      <c r="A46">
        <v>40</v>
      </c>
      <c r="B46" t="s">
        <v>241</v>
      </c>
      <c r="C46" t="s">
        <v>242</v>
      </c>
      <c r="D46" t="s">
        <v>243</v>
      </c>
      <c r="E46">
        <v>151301</v>
      </c>
      <c r="F46">
        <v>3191.6945949999999</v>
      </c>
      <c r="G46">
        <v>1.097678E-2</v>
      </c>
    </row>
    <row r="47" spans="1:7" x14ac:dyDescent="0.35">
      <c r="A47">
        <v>41</v>
      </c>
      <c r="B47" t="s">
        <v>392</v>
      </c>
      <c r="C47" t="s">
        <v>393</v>
      </c>
      <c r="D47" t="s">
        <v>394</v>
      </c>
      <c r="E47">
        <v>303948</v>
      </c>
      <c r="F47">
        <v>3144.9499559999999</v>
      </c>
      <c r="G47">
        <v>1.0816020000000001E-2</v>
      </c>
    </row>
    <row r="48" spans="1:7" x14ac:dyDescent="0.35">
      <c r="A48">
        <v>42</v>
      </c>
      <c r="B48" t="s">
        <v>216</v>
      </c>
      <c r="C48" t="s">
        <v>217</v>
      </c>
      <c r="D48" t="s">
        <v>65</v>
      </c>
      <c r="E48">
        <v>647900</v>
      </c>
      <c r="F48">
        <v>3144.5826499999998</v>
      </c>
      <c r="G48">
        <v>1.081475E-2</v>
      </c>
    </row>
    <row r="49" spans="1:7" x14ac:dyDescent="0.35">
      <c r="A49">
        <v>43</v>
      </c>
      <c r="B49" t="s">
        <v>275</v>
      </c>
      <c r="C49" t="s">
        <v>276</v>
      </c>
      <c r="D49" t="s">
        <v>206</v>
      </c>
      <c r="E49">
        <v>562025</v>
      </c>
      <c r="F49">
        <v>3032.4058875000001</v>
      </c>
      <c r="G49">
        <v>1.0428959999999999E-2</v>
      </c>
    </row>
    <row r="50" spans="1:7" x14ac:dyDescent="0.35">
      <c r="A50">
        <v>44</v>
      </c>
      <c r="B50" t="s">
        <v>456</v>
      </c>
      <c r="C50" t="s">
        <v>457</v>
      </c>
      <c r="D50" t="s">
        <v>243</v>
      </c>
      <c r="E50">
        <v>166051</v>
      </c>
      <c r="F50">
        <v>3021.6300470000001</v>
      </c>
      <c r="G50">
        <v>1.0391900000000001E-2</v>
      </c>
    </row>
    <row r="51" spans="1:7" x14ac:dyDescent="0.35">
      <c r="A51">
        <v>45</v>
      </c>
      <c r="B51" t="s">
        <v>270</v>
      </c>
      <c r="C51" t="s">
        <v>271</v>
      </c>
      <c r="D51" t="s">
        <v>43</v>
      </c>
      <c r="E51">
        <v>582599</v>
      </c>
      <c r="F51">
        <v>2792.9796059999999</v>
      </c>
      <c r="G51">
        <v>9.6055299999999993E-3</v>
      </c>
    </row>
    <row r="52" spans="1:7" x14ac:dyDescent="0.35">
      <c r="A52">
        <v>46</v>
      </c>
      <c r="B52" t="s">
        <v>221</v>
      </c>
      <c r="C52" t="s">
        <v>222</v>
      </c>
      <c r="D52" t="s">
        <v>223</v>
      </c>
      <c r="E52">
        <v>148988</v>
      </c>
      <c r="F52">
        <v>2719.9249279999999</v>
      </c>
      <c r="G52">
        <v>9.3542799999999995E-3</v>
      </c>
    </row>
    <row r="53" spans="1:7" x14ac:dyDescent="0.35">
      <c r="A53">
        <v>47</v>
      </c>
      <c r="B53" t="s">
        <v>255</v>
      </c>
      <c r="C53" t="s">
        <v>256</v>
      </c>
      <c r="D53" t="s">
        <v>257</v>
      </c>
      <c r="E53">
        <v>164757</v>
      </c>
      <c r="F53">
        <v>2671.8642690000001</v>
      </c>
      <c r="G53">
        <v>9.1889899999999993E-3</v>
      </c>
    </row>
    <row r="54" spans="1:7" x14ac:dyDescent="0.35">
      <c r="A54">
        <v>48</v>
      </c>
      <c r="B54" t="s">
        <v>491</v>
      </c>
      <c r="C54" t="s">
        <v>492</v>
      </c>
      <c r="D54" t="s">
        <v>493</v>
      </c>
      <c r="E54">
        <v>113230</v>
      </c>
      <c r="F54">
        <v>2622.2935699999998</v>
      </c>
      <c r="G54">
        <v>9.0185100000000004E-3</v>
      </c>
    </row>
    <row r="55" spans="1:7" x14ac:dyDescent="0.35">
      <c r="A55">
        <v>49</v>
      </c>
      <c r="B55" t="s">
        <v>277</v>
      </c>
      <c r="C55" t="s">
        <v>278</v>
      </c>
      <c r="D55" t="s">
        <v>243</v>
      </c>
      <c r="E55">
        <v>145571</v>
      </c>
      <c r="F55">
        <v>2506.7326200000002</v>
      </c>
      <c r="G55">
        <v>8.6210799999999997E-3</v>
      </c>
    </row>
    <row r="56" spans="1:7" x14ac:dyDescent="0.35">
      <c r="A56">
        <v>50</v>
      </c>
      <c r="B56" t="s">
        <v>54</v>
      </c>
      <c r="C56" t="s">
        <v>55</v>
      </c>
      <c r="D56" t="s">
        <v>56</v>
      </c>
      <c r="E56">
        <v>156942</v>
      </c>
      <c r="F56">
        <v>2306.7335159999998</v>
      </c>
      <c r="G56">
        <v>7.9332499999999993E-3</v>
      </c>
    </row>
    <row r="57" spans="1:7" x14ac:dyDescent="0.35">
      <c r="A57">
        <v>51</v>
      </c>
      <c r="B57" t="s">
        <v>316</v>
      </c>
      <c r="C57" t="s">
        <v>317</v>
      </c>
      <c r="D57" t="s">
        <v>209</v>
      </c>
      <c r="E57">
        <v>62427</v>
      </c>
      <c r="F57">
        <v>2021.5111139999999</v>
      </c>
      <c r="G57">
        <v>6.9523199999999997E-3</v>
      </c>
    </row>
    <row r="58" spans="1:7" x14ac:dyDescent="0.35">
      <c r="A58">
        <v>52</v>
      </c>
      <c r="B58" t="s">
        <v>899</v>
      </c>
      <c r="C58" t="s">
        <v>900</v>
      </c>
      <c r="D58" t="s">
        <v>324</v>
      </c>
      <c r="E58">
        <v>426098</v>
      </c>
      <c r="F58">
        <v>1968.1466620000001</v>
      </c>
      <c r="G58">
        <v>6.7687900000000002E-3</v>
      </c>
    </row>
    <row r="59" spans="1:7" x14ac:dyDescent="0.35">
      <c r="A59">
        <v>53</v>
      </c>
      <c r="B59" t="s">
        <v>433</v>
      </c>
      <c r="C59" t="s">
        <v>434</v>
      </c>
      <c r="D59" t="s">
        <v>435</v>
      </c>
      <c r="E59">
        <v>503199</v>
      </c>
      <c r="F59">
        <v>1915.1753940000001</v>
      </c>
      <c r="G59">
        <v>6.5866099999999997E-3</v>
      </c>
    </row>
    <row r="60" spans="1:7" x14ac:dyDescent="0.35">
      <c r="A60">
        <v>54</v>
      </c>
      <c r="B60" t="s">
        <v>77</v>
      </c>
      <c r="C60" t="s">
        <v>78</v>
      </c>
      <c r="D60" t="s">
        <v>79</v>
      </c>
      <c r="E60">
        <v>35421</v>
      </c>
      <c r="F60">
        <v>1792.125495</v>
      </c>
      <c r="G60">
        <v>6.1634200000000002E-3</v>
      </c>
    </row>
    <row r="61" spans="1:7" x14ac:dyDescent="0.35">
      <c r="A61">
        <v>55</v>
      </c>
      <c r="B61" t="s">
        <v>901</v>
      </c>
      <c r="C61" t="s">
        <v>902</v>
      </c>
      <c r="D61" t="s">
        <v>223</v>
      </c>
      <c r="E61">
        <v>634574</v>
      </c>
      <c r="F61">
        <v>1709.2250690000001</v>
      </c>
      <c r="G61">
        <v>5.8783100000000003E-3</v>
      </c>
    </row>
    <row r="62" spans="1:7" x14ac:dyDescent="0.35">
      <c r="A62">
        <v>56</v>
      </c>
      <c r="B62" t="s">
        <v>903</v>
      </c>
      <c r="C62" t="s">
        <v>904</v>
      </c>
      <c r="D62" t="s">
        <v>65</v>
      </c>
      <c r="E62">
        <v>90702</v>
      </c>
      <c r="F62">
        <v>1569.7795140000001</v>
      </c>
      <c r="G62">
        <v>5.39874E-3</v>
      </c>
    </row>
    <row r="63" spans="1:7" x14ac:dyDescent="0.35">
      <c r="A63">
        <v>57</v>
      </c>
      <c r="B63" t="s">
        <v>335</v>
      </c>
      <c r="C63" t="s">
        <v>336</v>
      </c>
      <c r="D63" t="s">
        <v>43</v>
      </c>
      <c r="E63">
        <v>82318</v>
      </c>
      <c r="F63">
        <v>1523.7884979999999</v>
      </c>
      <c r="G63">
        <v>5.24057E-3</v>
      </c>
    </row>
    <row r="64" spans="1:7" x14ac:dyDescent="0.35">
      <c r="A64">
        <v>58</v>
      </c>
      <c r="B64" t="s">
        <v>427</v>
      </c>
      <c r="C64" t="s">
        <v>428</v>
      </c>
      <c r="D64" t="s">
        <v>138</v>
      </c>
      <c r="E64">
        <v>67627</v>
      </c>
      <c r="F64">
        <v>1319.199889</v>
      </c>
      <c r="G64">
        <v>4.5369499999999997E-3</v>
      </c>
    </row>
    <row r="65" spans="1:7" x14ac:dyDescent="0.35">
      <c r="A65">
        <v>59</v>
      </c>
      <c r="B65" t="s">
        <v>233</v>
      </c>
      <c r="C65" t="s">
        <v>234</v>
      </c>
      <c r="D65" t="s">
        <v>235</v>
      </c>
      <c r="E65">
        <v>32547</v>
      </c>
      <c r="F65">
        <v>856.702134</v>
      </c>
      <c r="G65">
        <v>2.94634E-3</v>
      </c>
    </row>
    <row r="66" spans="1:7" x14ac:dyDescent="0.35">
      <c r="A66">
        <v>60</v>
      </c>
      <c r="B66" t="s">
        <v>446</v>
      </c>
      <c r="C66" t="s">
        <v>447</v>
      </c>
      <c r="D66" t="s">
        <v>274</v>
      </c>
      <c r="E66">
        <v>75168</v>
      </c>
      <c r="F66">
        <v>840.22790399999997</v>
      </c>
      <c r="G66">
        <v>2.8896899999999999E-3</v>
      </c>
    </row>
    <row r="67" spans="1:7" x14ac:dyDescent="0.35">
      <c r="A67">
        <v>61</v>
      </c>
      <c r="B67" t="s">
        <v>106</v>
      </c>
      <c r="C67" t="s">
        <v>107</v>
      </c>
      <c r="D67" t="s">
        <v>43</v>
      </c>
      <c r="E67">
        <v>20662</v>
      </c>
      <c r="F67">
        <v>801.47897999999998</v>
      </c>
      <c r="G67">
        <v>2.7564199999999999E-3</v>
      </c>
    </row>
    <row r="68" spans="1:7" x14ac:dyDescent="0.35">
      <c r="A68">
        <v>62</v>
      </c>
      <c r="B68" t="s">
        <v>46</v>
      </c>
      <c r="C68" t="s">
        <v>47</v>
      </c>
      <c r="D68" t="s">
        <v>48</v>
      </c>
      <c r="E68">
        <v>25094</v>
      </c>
      <c r="F68">
        <v>786.06955000000005</v>
      </c>
      <c r="G68">
        <v>2.7034300000000002E-3</v>
      </c>
    </row>
    <row r="69" spans="1:7" x14ac:dyDescent="0.35">
      <c r="A69">
        <v>63</v>
      </c>
      <c r="B69" t="s">
        <v>59</v>
      </c>
      <c r="C69" t="s">
        <v>60</v>
      </c>
      <c r="D69" t="s">
        <v>43</v>
      </c>
      <c r="E69">
        <v>3004</v>
      </c>
      <c r="F69">
        <v>446.93511999999998</v>
      </c>
      <c r="G69">
        <v>1.5370900000000001E-3</v>
      </c>
    </row>
    <row r="70" spans="1:7" x14ac:dyDescent="0.35">
      <c r="A70">
        <v>65</v>
      </c>
      <c r="B70" t="s">
        <v>524</v>
      </c>
      <c r="C70" t="s">
        <v>525</v>
      </c>
      <c r="D70" t="s">
        <v>526</v>
      </c>
      <c r="E70">
        <v>113230</v>
      </c>
      <c r="F70">
        <v>45.518459999999997</v>
      </c>
      <c r="G70">
        <v>1.5655000000000001E-4</v>
      </c>
    </row>
    <row r="71" spans="1:7" x14ac:dyDescent="0.35">
      <c r="C71" t="s">
        <v>139</v>
      </c>
      <c r="F71">
        <f>SUM(F7:F70)</f>
        <v>282543.36477950006</v>
      </c>
      <c r="G71">
        <f>SUM(G7:G70)</f>
        <v>0.97171445999999995</v>
      </c>
    </row>
    <row r="73" spans="1:7" x14ac:dyDescent="0.35">
      <c r="C73" t="s">
        <v>140</v>
      </c>
    </row>
    <row r="74" spans="1:7" x14ac:dyDescent="0.35">
      <c r="C74" t="s">
        <v>139</v>
      </c>
      <c r="F74" t="s">
        <v>141</v>
      </c>
      <c r="G74">
        <v>0</v>
      </c>
    </row>
    <row r="76" spans="1:7" x14ac:dyDescent="0.35">
      <c r="C76" t="s">
        <v>142</v>
      </c>
    </row>
    <row r="77" spans="1:7" x14ac:dyDescent="0.35">
      <c r="A77">
        <v>1</v>
      </c>
      <c r="B77" t="s">
        <v>527</v>
      </c>
      <c r="C77" t="s">
        <v>528</v>
      </c>
      <c r="D77" t="s">
        <v>240</v>
      </c>
      <c r="E77">
        <v>511578</v>
      </c>
      <c r="F77">
        <v>74.332283399999994</v>
      </c>
      <c r="G77">
        <v>2.5564000000000001E-4</v>
      </c>
    </row>
    <row r="78" spans="1:7" x14ac:dyDescent="0.35">
      <c r="A78">
        <v>2</v>
      </c>
      <c r="B78" t="s">
        <v>905</v>
      </c>
      <c r="C78" t="s">
        <v>906</v>
      </c>
      <c r="D78" t="s">
        <v>235</v>
      </c>
      <c r="E78">
        <v>39500</v>
      </c>
      <c r="F78">
        <v>9.3654499999999992</v>
      </c>
      <c r="G78">
        <v>3.2209999999999998E-5</v>
      </c>
    </row>
    <row r="79" spans="1:7" x14ac:dyDescent="0.35">
      <c r="A79">
        <v>3</v>
      </c>
      <c r="B79" t="s">
        <v>907</v>
      </c>
      <c r="C79" t="s">
        <v>908</v>
      </c>
      <c r="E79">
        <v>54000</v>
      </c>
      <c r="F79">
        <v>5.4000000000000002E-7</v>
      </c>
      <c r="G79" t="s">
        <v>146</v>
      </c>
    </row>
    <row r="80" spans="1:7" x14ac:dyDescent="0.35">
      <c r="A80">
        <v>4</v>
      </c>
      <c r="B80" t="s">
        <v>909</v>
      </c>
      <c r="C80" t="s">
        <v>910</v>
      </c>
      <c r="E80">
        <v>200</v>
      </c>
      <c r="F80">
        <v>2.0000000000000001E-9</v>
      </c>
      <c r="G80" t="s">
        <v>146</v>
      </c>
    </row>
    <row r="81" spans="1:7" x14ac:dyDescent="0.35">
      <c r="A81">
        <v>5</v>
      </c>
      <c r="B81" t="s">
        <v>911</v>
      </c>
      <c r="C81" t="s">
        <v>912</v>
      </c>
      <c r="E81">
        <v>176305</v>
      </c>
      <c r="F81">
        <v>1.7630000000000001E-6</v>
      </c>
      <c r="G81" t="s">
        <v>146</v>
      </c>
    </row>
    <row r="82" spans="1:7" x14ac:dyDescent="0.35">
      <c r="A82">
        <v>6</v>
      </c>
      <c r="B82" t="s">
        <v>913</v>
      </c>
      <c r="C82" t="s">
        <v>914</v>
      </c>
      <c r="E82">
        <v>93200</v>
      </c>
      <c r="F82">
        <v>9.3200000000000003E-7</v>
      </c>
      <c r="G82" t="s">
        <v>146</v>
      </c>
    </row>
    <row r="83" spans="1:7" x14ac:dyDescent="0.35">
      <c r="A83">
        <v>7</v>
      </c>
      <c r="B83" t="s">
        <v>915</v>
      </c>
      <c r="C83" t="s">
        <v>916</v>
      </c>
      <c r="D83" t="s">
        <v>917</v>
      </c>
      <c r="E83">
        <v>200000</v>
      </c>
      <c r="F83">
        <v>1.9999999999999999E-6</v>
      </c>
      <c r="G83" t="s">
        <v>146</v>
      </c>
    </row>
    <row r="84" spans="1:7" x14ac:dyDescent="0.35">
      <c r="A84">
        <v>8</v>
      </c>
      <c r="B84" t="s">
        <v>918</v>
      </c>
      <c r="C84" t="s">
        <v>919</v>
      </c>
      <c r="D84" t="s">
        <v>920</v>
      </c>
      <c r="E84">
        <v>50800</v>
      </c>
      <c r="F84">
        <v>5.0800000000000005E-7</v>
      </c>
      <c r="G84" t="s">
        <v>146</v>
      </c>
    </row>
    <row r="85" spans="1:7" x14ac:dyDescent="0.35">
      <c r="C85" t="s">
        <v>139</v>
      </c>
      <c r="F85">
        <f>SUM(F77:F84)</f>
        <v>83.697739144999986</v>
      </c>
      <c r="G85">
        <f>SUM(G77:G84)</f>
        <v>2.8785000000000003E-4</v>
      </c>
    </row>
    <row r="87" spans="1:7" x14ac:dyDescent="0.35">
      <c r="C87" t="s">
        <v>147</v>
      </c>
    </row>
    <row r="88" spans="1:7" x14ac:dyDescent="0.35">
      <c r="C88" t="s">
        <v>139</v>
      </c>
      <c r="F88" t="s">
        <v>141</v>
      </c>
      <c r="G88">
        <v>0</v>
      </c>
    </row>
    <row r="90" spans="1:7" x14ac:dyDescent="0.35">
      <c r="C90" t="s">
        <v>148</v>
      </c>
    </row>
    <row r="91" spans="1:7" x14ac:dyDescent="0.35">
      <c r="C91" t="s">
        <v>139</v>
      </c>
      <c r="F91" t="s">
        <v>141</v>
      </c>
      <c r="G91">
        <v>0</v>
      </c>
    </row>
    <row r="93" spans="1:7" x14ac:dyDescent="0.35">
      <c r="C93" t="s">
        <v>149</v>
      </c>
    </row>
    <row r="94" spans="1:7" x14ac:dyDescent="0.35">
      <c r="C94" t="s">
        <v>139</v>
      </c>
      <c r="F94" t="s">
        <v>141</v>
      </c>
      <c r="G94">
        <v>0</v>
      </c>
    </row>
    <row r="96" spans="1:7" x14ac:dyDescent="0.35">
      <c r="C96" t="s">
        <v>150</v>
      </c>
      <c r="F96">
        <v>282627.06251864502</v>
      </c>
      <c r="G96">
        <v>0.97200231000000004</v>
      </c>
    </row>
    <row r="98" spans="3:7" x14ac:dyDescent="0.35">
      <c r="C98" t="s">
        <v>151</v>
      </c>
    </row>
    <row r="99" spans="3:7" x14ac:dyDescent="0.35">
      <c r="C99" t="s">
        <v>13</v>
      </c>
    </row>
    <row r="100" spans="3:7" x14ac:dyDescent="0.35">
      <c r="C100" t="s">
        <v>139</v>
      </c>
      <c r="F100" t="s">
        <v>141</v>
      </c>
      <c r="G100">
        <v>0</v>
      </c>
    </row>
    <row r="102" spans="3:7" x14ac:dyDescent="0.35">
      <c r="C102" t="s">
        <v>152</v>
      </c>
    </row>
    <row r="103" spans="3:7" x14ac:dyDescent="0.35">
      <c r="C103" t="s">
        <v>139</v>
      </c>
      <c r="F103" t="s">
        <v>141</v>
      </c>
      <c r="G103">
        <v>0</v>
      </c>
    </row>
    <row r="105" spans="3:7" x14ac:dyDescent="0.35">
      <c r="C105" t="s">
        <v>153</v>
      </c>
    </row>
    <row r="106" spans="3:7" x14ac:dyDescent="0.35">
      <c r="C106" t="s">
        <v>139</v>
      </c>
      <c r="F106" t="s">
        <v>141</v>
      </c>
      <c r="G106">
        <v>0</v>
      </c>
    </row>
    <row r="108" spans="3:7" x14ac:dyDescent="0.35">
      <c r="C108" t="s">
        <v>154</v>
      </c>
    </row>
    <row r="109" spans="3:7" x14ac:dyDescent="0.35">
      <c r="C109" t="s">
        <v>139</v>
      </c>
      <c r="F109" t="s">
        <v>141</v>
      </c>
      <c r="G109">
        <v>0</v>
      </c>
    </row>
    <row r="111" spans="3:7" x14ac:dyDescent="0.35">
      <c r="C111" t="s">
        <v>155</v>
      </c>
      <c r="F111">
        <v>0</v>
      </c>
      <c r="G111">
        <v>0</v>
      </c>
    </row>
    <row r="113" spans="1:8" x14ac:dyDescent="0.35">
      <c r="C113" t="s">
        <v>156</v>
      </c>
    </row>
    <row r="114" spans="1:8" x14ac:dyDescent="0.35">
      <c r="C114" t="s">
        <v>157</v>
      </c>
    </row>
    <row r="115" spans="1:8" x14ac:dyDescent="0.35">
      <c r="C115" t="s">
        <v>139</v>
      </c>
      <c r="F115" t="s">
        <v>141</v>
      </c>
      <c r="G115">
        <v>0</v>
      </c>
    </row>
    <row r="117" spans="1:8" x14ac:dyDescent="0.35">
      <c r="C117" t="s">
        <v>158</v>
      </c>
    </row>
    <row r="118" spans="1:8" x14ac:dyDescent="0.35">
      <c r="C118" t="s">
        <v>139</v>
      </c>
      <c r="F118" t="s">
        <v>141</v>
      </c>
      <c r="G118">
        <v>0</v>
      </c>
    </row>
    <row r="120" spans="1:8" x14ac:dyDescent="0.35">
      <c r="C120" t="s">
        <v>159</v>
      </c>
    </row>
    <row r="121" spans="1:8" x14ac:dyDescent="0.35">
      <c r="C121" t="s">
        <v>139</v>
      </c>
      <c r="F121" t="s">
        <v>141</v>
      </c>
      <c r="G121">
        <v>0</v>
      </c>
    </row>
    <row r="123" spans="1:8" x14ac:dyDescent="0.35">
      <c r="C123" t="s">
        <v>160</v>
      </c>
    </row>
    <row r="124" spans="1:8" x14ac:dyDescent="0.35">
      <c r="A124">
        <v>1</v>
      </c>
      <c r="C124" t="s">
        <v>161</v>
      </c>
      <c r="F124">
        <v>6991.9970690250002</v>
      </c>
      <c r="G124">
        <v>2.4046660000000001E-2</v>
      </c>
      <c r="H124">
        <v>5.42</v>
      </c>
    </row>
    <row r="125" spans="1:8" x14ac:dyDescent="0.35">
      <c r="C125" t="s">
        <v>139</v>
      </c>
      <c r="F125">
        <v>6991.9970690250002</v>
      </c>
      <c r="G125">
        <v>2.4046660000000001E-2</v>
      </c>
    </row>
    <row r="127" spans="1:8" x14ac:dyDescent="0.35">
      <c r="C127" t="s">
        <v>162</v>
      </c>
      <c r="F127">
        <v>6991.9970690250002</v>
      </c>
      <c r="G127">
        <v>2.4046660000000001E-2</v>
      </c>
    </row>
    <row r="129" spans="2:7" x14ac:dyDescent="0.35">
      <c r="C129" t="s">
        <v>163</v>
      </c>
    </row>
    <row r="130" spans="2:7" x14ac:dyDescent="0.35">
      <c r="C130" t="s">
        <v>164</v>
      </c>
    </row>
    <row r="131" spans="2:7" x14ac:dyDescent="0.35">
      <c r="C131" t="s">
        <v>139</v>
      </c>
      <c r="F131" t="s">
        <v>141</v>
      </c>
      <c r="G131">
        <v>0</v>
      </c>
    </row>
    <row r="133" spans="2:7" x14ac:dyDescent="0.35">
      <c r="C133" t="s">
        <v>165</v>
      </c>
    </row>
    <row r="134" spans="2:7" x14ac:dyDescent="0.35">
      <c r="C134" t="s">
        <v>166</v>
      </c>
    </row>
    <row r="135" spans="2:7" x14ac:dyDescent="0.35">
      <c r="C135" t="s">
        <v>139</v>
      </c>
      <c r="F135" t="s">
        <v>141</v>
      </c>
      <c r="G135">
        <v>0</v>
      </c>
    </row>
    <row r="137" spans="2:7" x14ac:dyDescent="0.35">
      <c r="C137" t="s">
        <v>167</v>
      </c>
    </row>
    <row r="138" spans="2:7" x14ac:dyDescent="0.35">
      <c r="C138" t="s">
        <v>139</v>
      </c>
      <c r="F138" t="s">
        <v>141</v>
      </c>
      <c r="G138">
        <v>0</v>
      </c>
    </row>
    <row r="140" spans="2:7" x14ac:dyDescent="0.35">
      <c r="C140" t="s">
        <v>168</v>
      </c>
      <c r="F140">
        <v>1148.8427590199999</v>
      </c>
      <c r="G140">
        <v>3.9510700000000001E-3</v>
      </c>
    </row>
    <row r="141" spans="2:7" x14ac:dyDescent="0.35">
      <c r="C141" t="s">
        <v>169</v>
      </c>
      <c r="F141">
        <v>290767.90234669001</v>
      </c>
      <c r="G141">
        <v>1.00000004</v>
      </c>
    </row>
    <row r="143" spans="2:7" x14ac:dyDescent="0.35">
      <c r="B143" t="s">
        <v>170</v>
      </c>
    </row>
    <row r="144" spans="2:7" x14ac:dyDescent="0.35">
      <c r="B144" t="s">
        <v>171</v>
      </c>
    </row>
    <row r="145" spans="2:4" x14ac:dyDescent="0.35">
      <c r="B145" t="s">
        <v>172</v>
      </c>
    </row>
    <row r="146" spans="2:4" x14ac:dyDescent="0.35">
      <c r="B146" t="s">
        <v>173</v>
      </c>
    </row>
    <row r="147" spans="2:4" x14ac:dyDescent="0.35">
      <c r="B147" t="s">
        <v>174</v>
      </c>
    </row>
    <row r="149" spans="2:4" x14ac:dyDescent="0.35">
      <c r="B149" t="s">
        <v>175</v>
      </c>
    </row>
    <row r="150" spans="2:4" x14ac:dyDescent="0.35">
      <c r="B150" t="s">
        <v>176</v>
      </c>
      <c r="D150" t="s">
        <v>656</v>
      </c>
    </row>
    <row r="151" spans="2:4" x14ac:dyDescent="0.35">
      <c r="B151" t="s">
        <v>178</v>
      </c>
      <c r="D151" t="str">
        <f>"Rs. "&amp;TEXT(F85,"0.00")&amp;" lacs/ "&amp;IF(ROUND((G85*100),2) = 0,"#",(TEXT((G85*100),"0.00")&amp;"%"))</f>
        <v>Rs. 83.70 lacs/ 0.03%</v>
      </c>
    </row>
    <row r="152" spans="2:4" x14ac:dyDescent="0.35">
      <c r="B152" t="s">
        <v>179</v>
      </c>
    </row>
    <row r="153" spans="2:4" x14ac:dyDescent="0.35">
      <c r="C153" t="s">
        <v>180</v>
      </c>
      <c r="D153" t="s">
        <v>181</v>
      </c>
    </row>
    <row r="154" spans="2:4" x14ac:dyDescent="0.35">
      <c r="B154" t="s">
        <v>182</v>
      </c>
      <c r="C154" s="1">
        <v>45991</v>
      </c>
      <c r="D154" s="1">
        <v>46022</v>
      </c>
    </row>
    <row r="155" spans="2:4" x14ac:dyDescent="0.35">
      <c r="B155" t="s">
        <v>183</v>
      </c>
      <c r="C155">
        <v>439.93770000000001</v>
      </c>
      <c r="D155">
        <v>436.80610000000001</v>
      </c>
    </row>
    <row r="156" spans="2:4" x14ac:dyDescent="0.35">
      <c r="B156" t="s">
        <v>842</v>
      </c>
      <c r="C156">
        <v>87.278099999999995</v>
      </c>
      <c r="D156">
        <v>86.656800000000004</v>
      </c>
    </row>
    <row r="157" spans="2:4" x14ac:dyDescent="0.35">
      <c r="B157" t="s">
        <v>185</v>
      </c>
      <c r="C157">
        <v>393.67099999999999</v>
      </c>
      <c r="D157">
        <v>390.51549999999997</v>
      </c>
    </row>
    <row r="158" spans="2:4" x14ac:dyDescent="0.35">
      <c r="B158" t="s">
        <v>843</v>
      </c>
      <c r="C158">
        <v>64.438999999999993</v>
      </c>
      <c r="D158">
        <v>63.922499999999999</v>
      </c>
    </row>
    <row r="160" spans="2:4" x14ac:dyDescent="0.35">
      <c r="B160" t="s">
        <v>187</v>
      </c>
      <c r="D160" t="s">
        <v>177</v>
      </c>
    </row>
    <row r="162" spans="2:6" x14ac:dyDescent="0.35">
      <c r="B162" t="s">
        <v>188</v>
      </c>
      <c r="D162" t="s">
        <v>177</v>
      </c>
    </row>
    <row r="163" spans="2:6" x14ac:dyDescent="0.35">
      <c r="B163" t="s">
        <v>189</v>
      </c>
      <c r="D163" t="s">
        <v>177</v>
      </c>
    </row>
    <row r="164" spans="2:6" x14ac:dyDescent="0.35">
      <c r="B164" t="s">
        <v>190</v>
      </c>
      <c r="D164" t="s">
        <v>177</v>
      </c>
    </row>
    <row r="165" spans="2:6" x14ac:dyDescent="0.35">
      <c r="B165" t="s">
        <v>191</v>
      </c>
      <c r="D165">
        <v>0.54700203429639671</v>
      </c>
    </row>
    <row r="167" spans="2:6" x14ac:dyDescent="0.35">
      <c r="B167" t="s">
        <v>661</v>
      </c>
    </row>
    <row r="168" spans="2:6" x14ac:dyDescent="0.35">
      <c r="B168" t="s">
        <v>844</v>
      </c>
      <c r="C168" t="s">
        <v>845</v>
      </c>
      <c r="D168" t="s">
        <v>846</v>
      </c>
      <c r="E168" t="s">
        <v>847</v>
      </c>
      <c r="F168" t="s">
        <v>848</v>
      </c>
    </row>
    <row r="169" spans="2:6" x14ac:dyDescent="0.35">
      <c r="B169" t="s">
        <v>921</v>
      </c>
      <c r="C169" t="s">
        <v>850</v>
      </c>
      <c r="D169">
        <v>0</v>
      </c>
      <c r="E169">
        <v>0</v>
      </c>
      <c r="F169">
        <v>29.407129999999999</v>
      </c>
    </row>
    <row r="171" spans="2:6" x14ac:dyDescent="0.35">
      <c r="B171" t="s">
        <v>192</v>
      </c>
    </row>
    <row r="176" spans="2:6" x14ac:dyDescent="0.35">
      <c r="B176" t="s">
        <v>193</v>
      </c>
    </row>
    <row r="177" spans="2:2" x14ac:dyDescent="0.35">
      <c r="B177" t="s">
        <v>922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60"/>
  <sheetViews>
    <sheetView workbookViewId="0"/>
  </sheetViews>
  <sheetFormatPr defaultRowHeight="14.5" x14ac:dyDescent="0.35"/>
  <sheetData>
    <row r="1" spans="1:9" x14ac:dyDescent="0.35">
      <c r="A1" t="s">
        <v>0</v>
      </c>
      <c r="I1" t="s">
        <v>1</v>
      </c>
    </row>
    <row r="2" spans="1:9" x14ac:dyDescent="0.35">
      <c r="A2" t="s">
        <v>923</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1238000</v>
      </c>
      <c r="F7">
        <v>12271.056</v>
      </c>
      <c r="G7">
        <v>8.7554259999999995E-2</v>
      </c>
    </row>
    <row r="8" spans="1:9" x14ac:dyDescent="0.35">
      <c r="A8">
        <v>2</v>
      </c>
      <c r="B8" t="s">
        <v>39</v>
      </c>
      <c r="C8" t="s">
        <v>40</v>
      </c>
      <c r="D8" t="s">
        <v>38</v>
      </c>
      <c r="E8">
        <v>618000</v>
      </c>
      <c r="F8">
        <v>8299.1219999999994</v>
      </c>
      <c r="G8">
        <v>5.9214419999999997E-2</v>
      </c>
    </row>
    <row r="9" spans="1:9" x14ac:dyDescent="0.35">
      <c r="A9">
        <v>3</v>
      </c>
      <c r="B9" t="s">
        <v>20</v>
      </c>
      <c r="C9" t="s">
        <v>21</v>
      </c>
      <c r="D9" t="s">
        <v>22</v>
      </c>
      <c r="E9">
        <v>448000</v>
      </c>
      <c r="F9">
        <v>7035.3919999999998</v>
      </c>
      <c r="G9">
        <v>5.0197680000000001E-2</v>
      </c>
    </row>
    <row r="10" spans="1:9" x14ac:dyDescent="0.35">
      <c r="A10">
        <v>4</v>
      </c>
      <c r="B10" t="s">
        <v>14</v>
      </c>
      <c r="C10" t="s">
        <v>15</v>
      </c>
      <c r="D10" t="s">
        <v>16</v>
      </c>
      <c r="E10">
        <v>292000</v>
      </c>
      <c r="F10">
        <v>6148.3519999999999</v>
      </c>
      <c r="G10">
        <v>4.3868629999999999E-2</v>
      </c>
    </row>
    <row r="11" spans="1:9" x14ac:dyDescent="0.35">
      <c r="A11">
        <v>5</v>
      </c>
      <c r="B11" t="s">
        <v>354</v>
      </c>
      <c r="C11" t="s">
        <v>355</v>
      </c>
      <c r="D11" t="s">
        <v>230</v>
      </c>
      <c r="E11">
        <v>348828</v>
      </c>
      <c r="F11">
        <v>5634.9675120000002</v>
      </c>
      <c r="G11">
        <v>4.0205619999999997E-2</v>
      </c>
    </row>
    <row r="12" spans="1:9" x14ac:dyDescent="0.35">
      <c r="A12">
        <v>6</v>
      </c>
      <c r="B12" t="s">
        <v>352</v>
      </c>
      <c r="C12" t="s">
        <v>353</v>
      </c>
      <c r="D12" t="s">
        <v>38</v>
      </c>
      <c r="E12">
        <v>437000</v>
      </c>
      <c r="F12">
        <v>5547.2780000000002</v>
      </c>
      <c r="G12">
        <v>3.9579950000000003E-2</v>
      </c>
    </row>
    <row r="13" spans="1:9" x14ac:dyDescent="0.35">
      <c r="A13">
        <v>7</v>
      </c>
      <c r="B13" t="s">
        <v>36</v>
      </c>
      <c r="C13" t="s">
        <v>37</v>
      </c>
      <c r="D13" t="s">
        <v>38</v>
      </c>
      <c r="E13">
        <v>532000</v>
      </c>
      <c r="F13">
        <v>5225.3040000000001</v>
      </c>
      <c r="G13">
        <v>3.7282660000000002E-2</v>
      </c>
    </row>
    <row r="14" spans="1:9" x14ac:dyDescent="0.35">
      <c r="A14">
        <v>8</v>
      </c>
      <c r="B14" t="s">
        <v>17</v>
      </c>
      <c r="C14" t="s">
        <v>18</v>
      </c>
      <c r="D14" t="s">
        <v>19</v>
      </c>
      <c r="E14">
        <v>126000</v>
      </c>
      <c r="F14">
        <v>5145.21</v>
      </c>
      <c r="G14">
        <v>3.6711189999999998E-2</v>
      </c>
    </row>
    <row r="15" spans="1:9" x14ac:dyDescent="0.35">
      <c r="A15">
        <v>9</v>
      </c>
      <c r="B15" t="s">
        <v>356</v>
      </c>
      <c r="C15" t="s">
        <v>357</v>
      </c>
      <c r="D15" t="s">
        <v>38</v>
      </c>
      <c r="E15">
        <v>190000</v>
      </c>
      <c r="F15">
        <v>4182.09</v>
      </c>
      <c r="G15">
        <v>2.9839310000000001E-2</v>
      </c>
    </row>
    <row r="16" spans="1:9" x14ac:dyDescent="0.35">
      <c r="A16">
        <v>10</v>
      </c>
      <c r="B16" t="s">
        <v>703</v>
      </c>
      <c r="C16" t="s">
        <v>704</v>
      </c>
      <c r="D16" t="s">
        <v>493</v>
      </c>
      <c r="E16">
        <v>866000</v>
      </c>
      <c r="F16">
        <v>3489.98</v>
      </c>
      <c r="G16">
        <v>2.4901079999999999E-2</v>
      </c>
    </row>
    <row r="17" spans="1:7" x14ac:dyDescent="0.35">
      <c r="A17">
        <v>11</v>
      </c>
      <c r="B17" t="s">
        <v>358</v>
      </c>
      <c r="C17" t="s">
        <v>359</v>
      </c>
      <c r="D17" t="s">
        <v>252</v>
      </c>
      <c r="E17">
        <v>89418</v>
      </c>
      <c r="F17">
        <v>3316.6924560000002</v>
      </c>
      <c r="G17">
        <v>2.3664669999999999E-2</v>
      </c>
    </row>
    <row r="18" spans="1:7" x14ac:dyDescent="0.35">
      <c r="A18">
        <v>12</v>
      </c>
      <c r="B18" t="s">
        <v>26</v>
      </c>
      <c r="C18" t="s">
        <v>27</v>
      </c>
      <c r="D18" t="s">
        <v>28</v>
      </c>
      <c r="E18">
        <v>27000</v>
      </c>
      <c r="F18">
        <v>3181.68</v>
      </c>
      <c r="G18">
        <v>2.270136E-2</v>
      </c>
    </row>
    <row r="19" spans="1:7" x14ac:dyDescent="0.35">
      <c r="A19">
        <v>13</v>
      </c>
      <c r="B19" t="s">
        <v>924</v>
      </c>
      <c r="C19" t="s">
        <v>925</v>
      </c>
      <c r="D19" t="s">
        <v>252</v>
      </c>
      <c r="E19">
        <v>14000</v>
      </c>
      <c r="F19">
        <v>2879.24</v>
      </c>
      <c r="G19">
        <v>2.054344E-2</v>
      </c>
    </row>
    <row r="20" spans="1:7" x14ac:dyDescent="0.35">
      <c r="A20">
        <v>14</v>
      </c>
      <c r="B20" t="s">
        <v>719</v>
      </c>
      <c r="C20" t="s">
        <v>720</v>
      </c>
      <c r="D20" t="s">
        <v>243</v>
      </c>
      <c r="E20">
        <v>169000</v>
      </c>
      <c r="F20">
        <v>2554.0970000000002</v>
      </c>
      <c r="G20">
        <v>1.822354E-2</v>
      </c>
    </row>
    <row r="21" spans="1:7" x14ac:dyDescent="0.35">
      <c r="A21">
        <v>15</v>
      </c>
      <c r="B21" t="s">
        <v>66</v>
      </c>
      <c r="C21" t="s">
        <v>67</v>
      </c>
      <c r="D21" t="s">
        <v>53</v>
      </c>
      <c r="E21">
        <v>196140</v>
      </c>
      <c r="F21">
        <v>2390.5543200000002</v>
      </c>
      <c r="G21">
        <v>1.7056660000000001E-2</v>
      </c>
    </row>
    <row r="22" spans="1:7" x14ac:dyDescent="0.35">
      <c r="A22">
        <v>16</v>
      </c>
      <c r="B22" t="s">
        <v>372</v>
      </c>
      <c r="C22" t="s">
        <v>373</v>
      </c>
      <c r="D22" t="s">
        <v>243</v>
      </c>
      <c r="E22">
        <v>134000</v>
      </c>
      <c r="F22">
        <v>2304.3980000000001</v>
      </c>
      <c r="G22">
        <v>1.644193E-2</v>
      </c>
    </row>
    <row r="23" spans="1:7" x14ac:dyDescent="0.35">
      <c r="A23">
        <v>17</v>
      </c>
      <c r="B23" t="s">
        <v>788</v>
      </c>
      <c r="C23" t="s">
        <v>789</v>
      </c>
      <c r="D23" t="s">
        <v>230</v>
      </c>
      <c r="E23">
        <v>67000</v>
      </c>
      <c r="F23">
        <v>2148.154</v>
      </c>
      <c r="G23">
        <v>1.532713E-2</v>
      </c>
    </row>
    <row r="24" spans="1:7" x14ac:dyDescent="0.35">
      <c r="A24">
        <v>18</v>
      </c>
      <c r="B24" t="s">
        <v>926</v>
      </c>
      <c r="C24" t="s">
        <v>927</v>
      </c>
      <c r="D24" t="s">
        <v>38</v>
      </c>
      <c r="E24">
        <v>1394572</v>
      </c>
      <c r="F24">
        <v>2144.2939071999999</v>
      </c>
      <c r="G24">
        <v>1.529958E-2</v>
      </c>
    </row>
    <row r="25" spans="1:7" x14ac:dyDescent="0.35">
      <c r="A25">
        <v>19</v>
      </c>
      <c r="B25" t="s">
        <v>487</v>
      </c>
      <c r="C25" t="s">
        <v>488</v>
      </c>
      <c r="D25" t="s">
        <v>230</v>
      </c>
      <c r="E25">
        <v>132000</v>
      </c>
      <c r="F25">
        <v>2142.7559999999999</v>
      </c>
      <c r="G25">
        <v>1.5288609999999999E-2</v>
      </c>
    </row>
    <row r="26" spans="1:7" x14ac:dyDescent="0.35">
      <c r="A26">
        <v>20</v>
      </c>
      <c r="B26" t="s">
        <v>286</v>
      </c>
      <c r="C26" t="s">
        <v>287</v>
      </c>
      <c r="D26" t="s">
        <v>38</v>
      </c>
      <c r="E26">
        <v>241000</v>
      </c>
      <c r="F26">
        <v>2082.7220000000002</v>
      </c>
      <c r="G26">
        <v>1.486027E-2</v>
      </c>
    </row>
    <row r="27" spans="1:7" x14ac:dyDescent="0.35">
      <c r="A27">
        <v>21</v>
      </c>
      <c r="B27" t="s">
        <v>23</v>
      </c>
      <c r="C27" t="s">
        <v>24</v>
      </c>
      <c r="D27" t="s">
        <v>25</v>
      </c>
      <c r="E27">
        <v>628000</v>
      </c>
      <c r="F27">
        <v>2069.5740000000001</v>
      </c>
      <c r="G27">
        <v>1.476646E-2</v>
      </c>
    </row>
    <row r="28" spans="1:7" x14ac:dyDescent="0.35">
      <c r="A28">
        <v>22</v>
      </c>
      <c r="B28" t="s">
        <v>928</v>
      </c>
      <c r="C28" t="s">
        <v>929</v>
      </c>
      <c r="D28" t="s">
        <v>324</v>
      </c>
      <c r="E28">
        <v>503000</v>
      </c>
      <c r="F28">
        <v>1942.8375000000001</v>
      </c>
      <c r="G28">
        <v>1.386219E-2</v>
      </c>
    </row>
    <row r="29" spans="1:7" x14ac:dyDescent="0.35">
      <c r="A29">
        <v>23</v>
      </c>
      <c r="B29" t="s">
        <v>308</v>
      </c>
      <c r="C29" t="s">
        <v>309</v>
      </c>
      <c r="D29" t="s">
        <v>240</v>
      </c>
      <c r="E29">
        <v>1278000</v>
      </c>
      <c r="F29">
        <v>1890.8009999999999</v>
      </c>
      <c r="G29">
        <v>1.349091E-2</v>
      </c>
    </row>
    <row r="30" spans="1:7" x14ac:dyDescent="0.35">
      <c r="A30">
        <v>24</v>
      </c>
      <c r="B30" t="s">
        <v>897</v>
      </c>
      <c r="C30" t="s">
        <v>898</v>
      </c>
      <c r="D30" t="s">
        <v>114</v>
      </c>
      <c r="E30">
        <v>98000</v>
      </c>
      <c r="F30">
        <v>1890.3219999999999</v>
      </c>
      <c r="G30">
        <v>1.348749E-2</v>
      </c>
    </row>
    <row r="31" spans="1:7" x14ac:dyDescent="0.35">
      <c r="A31">
        <v>25</v>
      </c>
      <c r="B31" t="s">
        <v>374</v>
      </c>
      <c r="C31" t="s">
        <v>375</v>
      </c>
      <c r="D31" t="s">
        <v>324</v>
      </c>
      <c r="E31">
        <v>677000</v>
      </c>
      <c r="F31">
        <v>1882.3985</v>
      </c>
      <c r="G31">
        <v>1.343096E-2</v>
      </c>
    </row>
    <row r="32" spans="1:7" x14ac:dyDescent="0.35">
      <c r="A32">
        <v>26</v>
      </c>
      <c r="B32" t="s">
        <v>104</v>
      </c>
      <c r="C32" t="s">
        <v>105</v>
      </c>
      <c r="D32" t="s">
        <v>28</v>
      </c>
      <c r="E32">
        <v>338000</v>
      </c>
      <c r="F32">
        <v>1880.463</v>
      </c>
      <c r="G32">
        <v>1.3417149999999999E-2</v>
      </c>
    </row>
    <row r="33" spans="1:7" x14ac:dyDescent="0.35">
      <c r="A33">
        <v>27</v>
      </c>
      <c r="B33" t="s">
        <v>266</v>
      </c>
      <c r="C33" t="s">
        <v>267</v>
      </c>
      <c r="D33" t="s">
        <v>243</v>
      </c>
      <c r="E33">
        <v>34000</v>
      </c>
      <c r="F33">
        <v>1872.21</v>
      </c>
      <c r="G33">
        <v>1.335826E-2</v>
      </c>
    </row>
    <row r="34" spans="1:7" x14ac:dyDescent="0.35">
      <c r="A34">
        <v>28</v>
      </c>
      <c r="B34" t="s">
        <v>508</v>
      </c>
      <c r="C34" t="s">
        <v>509</v>
      </c>
      <c r="D34" t="s">
        <v>257</v>
      </c>
      <c r="E34">
        <v>127000</v>
      </c>
      <c r="F34">
        <v>1833.499</v>
      </c>
      <c r="G34">
        <v>1.308206E-2</v>
      </c>
    </row>
    <row r="35" spans="1:7" x14ac:dyDescent="0.35">
      <c r="A35">
        <v>29</v>
      </c>
      <c r="B35" t="s">
        <v>512</v>
      </c>
      <c r="C35" t="s">
        <v>513</v>
      </c>
      <c r="D35" t="s">
        <v>257</v>
      </c>
      <c r="E35">
        <v>364000</v>
      </c>
      <c r="F35">
        <v>1783.0540000000001</v>
      </c>
      <c r="G35">
        <v>1.272213E-2</v>
      </c>
    </row>
    <row r="36" spans="1:7" x14ac:dyDescent="0.35">
      <c r="A36">
        <v>30</v>
      </c>
      <c r="B36" t="s">
        <v>293</v>
      </c>
      <c r="C36" t="s">
        <v>294</v>
      </c>
      <c r="D36" t="s">
        <v>281</v>
      </c>
      <c r="E36">
        <v>336928</v>
      </c>
      <c r="F36">
        <v>1781.0014080000001</v>
      </c>
      <c r="G36">
        <v>1.270748E-2</v>
      </c>
    </row>
    <row r="37" spans="1:7" x14ac:dyDescent="0.35">
      <c r="A37">
        <v>31</v>
      </c>
      <c r="B37" t="s">
        <v>57</v>
      </c>
      <c r="C37" t="s">
        <v>58</v>
      </c>
      <c r="D37" t="s">
        <v>53</v>
      </c>
      <c r="E37">
        <v>40000</v>
      </c>
      <c r="F37">
        <v>1773.76</v>
      </c>
      <c r="G37">
        <v>1.265582E-2</v>
      </c>
    </row>
    <row r="38" spans="1:7" x14ac:dyDescent="0.35">
      <c r="A38">
        <v>32</v>
      </c>
      <c r="B38" t="s">
        <v>516</v>
      </c>
      <c r="C38" t="s">
        <v>517</v>
      </c>
      <c r="D38" t="s">
        <v>230</v>
      </c>
      <c r="E38">
        <v>111209</v>
      </c>
      <c r="F38">
        <v>1769.2239810000001</v>
      </c>
      <c r="G38">
        <v>1.262345E-2</v>
      </c>
    </row>
    <row r="39" spans="1:7" x14ac:dyDescent="0.35">
      <c r="A39">
        <v>33</v>
      </c>
      <c r="B39" t="s">
        <v>92</v>
      </c>
      <c r="C39" t="s">
        <v>93</v>
      </c>
      <c r="D39" t="s">
        <v>94</v>
      </c>
      <c r="E39">
        <v>967000</v>
      </c>
      <c r="F39">
        <v>1664.7872</v>
      </c>
      <c r="G39">
        <v>1.187829E-2</v>
      </c>
    </row>
    <row r="40" spans="1:7" x14ac:dyDescent="0.35">
      <c r="A40">
        <v>34</v>
      </c>
      <c r="B40" t="s">
        <v>98</v>
      </c>
      <c r="C40" t="s">
        <v>99</v>
      </c>
      <c r="D40" t="s">
        <v>79</v>
      </c>
      <c r="E40">
        <v>398000</v>
      </c>
      <c r="F40">
        <v>1607.3230000000001</v>
      </c>
      <c r="G40">
        <v>1.1468290000000001E-2</v>
      </c>
    </row>
    <row r="41" spans="1:7" x14ac:dyDescent="0.35">
      <c r="A41">
        <v>35</v>
      </c>
      <c r="B41" t="s">
        <v>238</v>
      </c>
      <c r="C41" t="s">
        <v>239</v>
      </c>
      <c r="D41" t="s">
        <v>240</v>
      </c>
      <c r="E41">
        <v>270000</v>
      </c>
      <c r="F41">
        <v>1508.22</v>
      </c>
      <c r="G41">
        <v>1.076118E-2</v>
      </c>
    </row>
    <row r="42" spans="1:7" x14ac:dyDescent="0.35">
      <c r="A42">
        <v>36</v>
      </c>
      <c r="B42" t="s">
        <v>930</v>
      </c>
      <c r="C42" t="s">
        <v>931</v>
      </c>
      <c r="D42" t="s">
        <v>209</v>
      </c>
      <c r="E42">
        <v>185885</v>
      </c>
      <c r="F42">
        <v>1478.0645775</v>
      </c>
      <c r="G42">
        <v>1.054602E-2</v>
      </c>
    </row>
    <row r="43" spans="1:7" x14ac:dyDescent="0.35">
      <c r="A43">
        <v>37</v>
      </c>
      <c r="B43" t="s">
        <v>77</v>
      </c>
      <c r="C43" t="s">
        <v>78</v>
      </c>
      <c r="D43" t="s">
        <v>79</v>
      </c>
      <c r="E43">
        <v>28445</v>
      </c>
      <c r="F43">
        <v>1439.174775</v>
      </c>
      <c r="G43">
        <v>1.026854E-2</v>
      </c>
    </row>
    <row r="44" spans="1:7" x14ac:dyDescent="0.35">
      <c r="A44">
        <v>38</v>
      </c>
      <c r="B44" t="s">
        <v>496</v>
      </c>
      <c r="C44" t="s">
        <v>497</v>
      </c>
      <c r="D44" t="s">
        <v>220</v>
      </c>
      <c r="E44">
        <v>120522</v>
      </c>
      <c r="F44">
        <v>1436.6222399999999</v>
      </c>
      <c r="G44">
        <v>1.025033E-2</v>
      </c>
    </row>
    <row r="45" spans="1:7" x14ac:dyDescent="0.35">
      <c r="A45">
        <v>39</v>
      </c>
      <c r="B45" t="s">
        <v>368</v>
      </c>
      <c r="C45" t="s">
        <v>369</v>
      </c>
      <c r="D45" t="s">
        <v>274</v>
      </c>
      <c r="E45">
        <v>79757</v>
      </c>
      <c r="F45">
        <v>1435.1474579999999</v>
      </c>
      <c r="G45">
        <v>1.023981E-2</v>
      </c>
    </row>
    <row r="46" spans="1:7" x14ac:dyDescent="0.35">
      <c r="A46">
        <v>40</v>
      </c>
      <c r="B46" t="s">
        <v>364</v>
      </c>
      <c r="C46" t="s">
        <v>365</v>
      </c>
      <c r="D46" t="s">
        <v>31</v>
      </c>
      <c r="E46">
        <v>32050</v>
      </c>
      <c r="F46">
        <v>1406.57835</v>
      </c>
      <c r="G46">
        <v>1.003597E-2</v>
      </c>
    </row>
    <row r="47" spans="1:7" x14ac:dyDescent="0.35">
      <c r="A47">
        <v>41</v>
      </c>
      <c r="B47" t="s">
        <v>325</v>
      </c>
      <c r="C47" t="s">
        <v>326</v>
      </c>
      <c r="D47" t="s">
        <v>114</v>
      </c>
      <c r="E47">
        <v>268333</v>
      </c>
      <c r="F47">
        <v>1396.5390984999999</v>
      </c>
      <c r="G47">
        <v>9.9643400000000003E-3</v>
      </c>
    </row>
    <row r="48" spans="1:7" x14ac:dyDescent="0.35">
      <c r="A48">
        <v>42</v>
      </c>
      <c r="B48" t="s">
        <v>370</v>
      </c>
      <c r="C48" t="s">
        <v>371</v>
      </c>
      <c r="D48" t="s">
        <v>206</v>
      </c>
      <c r="E48">
        <v>81000</v>
      </c>
      <c r="F48">
        <v>1378.7819999999999</v>
      </c>
      <c r="G48">
        <v>9.8376399999999999E-3</v>
      </c>
    </row>
    <row r="49" spans="1:7" x14ac:dyDescent="0.35">
      <c r="A49">
        <v>43</v>
      </c>
      <c r="B49" t="s">
        <v>887</v>
      </c>
      <c r="C49" t="s">
        <v>888</v>
      </c>
      <c r="D49" t="s">
        <v>65</v>
      </c>
      <c r="E49">
        <v>153000</v>
      </c>
      <c r="F49">
        <v>1375.623</v>
      </c>
      <c r="G49">
        <v>9.8151000000000002E-3</v>
      </c>
    </row>
    <row r="50" spans="1:7" x14ac:dyDescent="0.35">
      <c r="A50">
        <v>44</v>
      </c>
      <c r="B50" t="s">
        <v>500</v>
      </c>
      <c r="C50" t="s">
        <v>501</v>
      </c>
      <c r="D50" t="s">
        <v>43</v>
      </c>
      <c r="E50">
        <v>147000</v>
      </c>
      <c r="F50">
        <v>1337.0385000000001</v>
      </c>
      <c r="G50">
        <v>9.5397999999999993E-3</v>
      </c>
    </row>
    <row r="51" spans="1:7" x14ac:dyDescent="0.35">
      <c r="A51">
        <v>45</v>
      </c>
      <c r="B51" t="s">
        <v>86</v>
      </c>
      <c r="C51" t="s">
        <v>87</v>
      </c>
      <c r="D51" t="s">
        <v>25</v>
      </c>
      <c r="E51">
        <v>101000</v>
      </c>
      <c r="F51">
        <v>1319.7670000000001</v>
      </c>
      <c r="G51">
        <v>9.4165700000000008E-3</v>
      </c>
    </row>
    <row r="52" spans="1:7" x14ac:dyDescent="0.35">
      <c r="A52">
        <v>46</v>
      </c>
      <c r="B52" t="s">
        <v>376</v>
      </c>
      <c r="C52" t="s">
        <v>377</v>
      </c>
      <c r="D52" t="s">
        <v>378</v>
      </c>
      <c r="E52">
        <v>298000</v>
      </c>
      <c r="F52">
        <v>1238.19</v>
      </c>
      <c r="G52">
        <v>8.8345100000000003E-3</v>
      </c>
    </row>
    <row r="53" spans="1:7" x14ac:dyDescent="0.35">
      <c r="A53">
        <v>47</v>
      </c>
      <c r="B53" t="s">
        <v>491</v>
      </c>
      <c r="C53" t="s">
        <v>492</v>
      </c>
      <c r="D53" t="s">
        <v>493</v>
      </c>
      <c r="E53">
        <v>53000</v>
      </c>
      <c r="F53">
        <v>1227.4269999999999</v>
      </c>
      <c r="G53">
        <v>8.7577200000000001E-3</v>
      </c>
    </row>
    <row r="54" spans="1:7" x14ac:dyDescent="0.35">
      <c r="A54">
        <v>48</v>
      </c>
      <c r="B54" t="s">
        <v>297</v>
      </c>
      <c r="C54" t="s">
        <v>298</v>
      </c>
      <c r="D54" t="s">
        <v>299</v>
      </c>
      <c r="E54">
        <v>70000</v>
      </c>
      <c r="F54">
        <v>1212.19</v>
      </c>
      <c r="G54">
        <v>8.6490000000000004E-3</v>
      </c>
    </row>
    <row r="55" spans="1:7" x14ac:dyDescent="0.35">
      <c r="A55">
        <v>49</v>
      </c>
      <c r="B55" t="s">
        <v>818</v>
      </c>
      <c r="C55" t="s">
        <v>819</v>
      </c>
      <c r="D55" t="s">
        <v>230</v>
      </c>
      <c r="E55">
        <v>17500</v>
      </c>
      <c r="F55">
        <v>1061.1125</v>
      </c>
      <c r="G55">
        <v>7.5710600000000001E-3</v>
      </c>
    </row>
    <row r="56" spans="1:7" x14ac:dyDescent="0.35">
      <c r="A56">
        <v>50</v>
      </c>
      <c r="B56" t="s">
        <v>46</v>
      </c>
      <c r="C56" t="s">
        <v>47</v>
      </c>
      <c r="D56" t="s">
        <v>48</v>
      </c>
      <c r="E56">
        <v>31800</v>
      </c>
      <c r="F56">
        <v>996.13499999999999</v>
      </c>
      <c r="G56">
        <v>7.1074500000000004E-3</v>
      </c>
    </row>
    <row r="57" spans="1:7" x14ac:dyDescent="0.35">
      <c r="A57">
        <v>51</v>
      </c>
      <c r="B57" t="s">
        <v>136</v>
      </c>
      <c r="C57" t="s">
        <v>137</v>
      </c>
      <c r="D57" t="s">
        <v>138</v>
      </c>
      <c r="E57">
        <v>261000</v>
      </c>
      <c r="F57">
        <v>841.98599999999999</v>
      </c>
      <c r="G57">
        <v>6.0075900000000002E-3</v>
      </c>
    </row>
    <row r="58" spans="1:7" x14ac:dyDescent="0.35">
      <c r="A58">
        <v>52</v>
      </c>
      <c r="B58" t="s">
        <v>932</v>
      </c>
      <c r="C58" t="s">
        <v>933</v>
      </c>
      <c r="D58" t="s">
        <v>28</v>
      </c>
      <c r="E58">
        <v>90000</v>
      </c>
      <c r="F58">
        <v>700.29</v>
      </c>
      <c r="G58">
        <v>4.9965900000000004E-3</v>
      </c>
    </row>
    <row r="59" spans="1:7" x14ac:dyDescent="0.35">
      <c r="A59">
        <v>54</v>
      </c>
      <c r="B59" t="s">
        <v>524</v>
      </c>
      <c r="C59" t="s">
        <v>525</v>
      </c>
      <c r="D59" t="s">
        <v>526</v>
      </c>
      <c r="E59">
        <v>53000</v>
      </c>
      <c r="F59">
        <v>21.306000000000001</v>
      </c>
      <c r="G59">
        <v>1.5202E-4</v>
      </c>
    </row>
    <row r="60" spans="1:7" x14ac:dyDescent="0.35">
      <c r="C60" t="s">
        <v>139</v>
      </c>
      <c r="F60">
        <f>SUM(F7:F59)</f>
        <v>136574.78728320004</v>
      </c>
      <c r="G60">
        <f>SUM(G7:G59)</f>
        <v>0.97446416999999996</v>
      </c>
    </row>
    <row r="62" spans="1:7" x14ac:dyDescent="0.35">
      <c r="C62" t="s">
        <v>140</v>
      </c>
    </row>
    <row r="63" spans="1:7" x14ac:dyDescent="0.35">
      <c r="C63" t="s">
        <v>139</v>
      </c>
      <c r="F63" t="s">
        <v>141</v>
      </c>
      <c r="G63">
        <v>0</v>
      </c>
    </row>
    <row r="65" spans="1:7" x14ac:dyDescent="0.35">
      <c r="C65" t="s">
        <v>142</v>
      </c>
    </row>
    <row r="66" spans="1:7" x14ac:dyDescent="0.35">
      <c r="A66">
        <v>1</v>
      </c>
      <c r="B66" t="s">
        <v>527</v>
      </c>
      <c r="C66" t="s">
        <v>528</v>
      </c>
      <c r="D66" t="s">
        <v>240</v>
      </c>
      <c r="E66">
        <v>374002</v>
      </c>
      <c r="F66">
        <v>54.342490599999998</v>
      </c>
      <c r="G66">
        <v>3.8774000000000002E-4</v>
      </c>
    </row>
    <row r="67" spans="1:7" x14ac:dyDescent="0.35">
      <c r="A67">
        <v>2</v>
      </c>
      <c r="B67" t="s">
        <v>911</v>
      </c>
      <c r="C67" t="s">
        <v>912</v>
      </c>
      <c r="E67">
        <v>200000</v>
      </c>
      <c r="F67">
        <v>1.9999999999999999E-6</v>
      </c>
      <c r="G67" t="s">
        <v>146</v>
      </c>
    </row>
    <row r="68" spans="1:7" x14ac:dyDescent="0.35">
      <c r="C68" t="s">
        <v>139</v>
      </c>
      <c r="F68">
        <f>SUM(F66:F67)</f>
        <v>54.3424926</v>
      </c>
      <c r="G68">
        <f>SUM(G66:G67)</f>
        <v>3.8774000000000002E-4</v>
      </c>
    </row>
    <row r="70" spans="1:7" x14ac:dyDescent="0.35">
      <c r="C70" t="s">
        <v>147</v>
      </c>
    </row>
    <row r="71" spans="1:7" x14ac:dyDescent="0.35">
      <c r="C71" t="s">
        <v>139</v>
      </c>
      <c r="F71" t="s">
        <v>141</v>
      </c>
      <c r="G71">
        <v>0</v>
      </c>
    </row>
    <row r="73" spans="1:7" x14ac:dyDescent="0.35">
      <c r="C73" t="s">
        <v>148</v>
      </c>
    </row>
    <row r="74" spans="1:7" x14ac:dyDescent="0.35">
      <c r="C74" t="s">
        <v>139</v>
      </c>
      <c r="F74" t="s">
        <v>141</v>
      </c>
      <c r="G74">
        <v>0</v>
      </c>
    </row>
    <row r="76" spans="1:7" x14ac:dyDescent="0.35">
      <c r="C76" t="s">
        <v>149</v>
      </c>
    </row>
    <row r="77" spans="1:7" x14ac:dyDescent="0.35">
      <c r="C77" t="s">
        <v>139</v>
      </c>
      <c r="F77" t="s">
        <v>141</v>
      </c>
      <c r="G77">
        <v>0</v>
      </c>
    </row>
    <row r="79" spans="1:7" x14ac:dyDescent="0.35">
      <c r="C79" t="s">
        <v>150</v>
      </c>
      <c r="F79">
        <v>136629.12977579999</v>
      </c>
      <c r="G79">
        <v>0.97485191000000004</v>
      </c>
    </row>
    <row r="81" spans="3:7" x14ac:dyDescent="0.35">
      <c r="C81" t="s">
        <v>151</v>
      </c>
    </row>
    <row r="82" spans="3:7" x14ac:dyDescent="0.35">
      <c r="C82" t="s">
        <v>13</v>
      </c>
    </row>
    <row r="83" spans="3:7" x14ac:dyDescent="0.35">
      <c r="C83" t="s">
        <v>139</v>
      </c>
      <c r="F83" t="s">
        <v>141</v>
      </c>
      <c r="G83">
        <v>0</v>
      </c>
    </row>
    <row r="85" spans="3:7" x14ac:dyDescent="0.35">
      <c r="C85" t="s">
        <v>152</v>
      </c>
    </row>
    <row r="86" spans="3:7" x14ac:dyDescent="0.35">
      <c r="C86" t="s">
        <v>139</v>
      </c>
      <c r="F86" t="s">
        <v>141</v>
      </c>
      <c r="G86">
        <v>0</v>
      </c>
    </row>
    <row r="88" spans="3:7" x14ac:dyDescent="0.35">
      <c r="C88" t="s">
        <v>153</v>
      </c>
    </row>
    <row r="89" spans="3:7" x14ac:dyDescent="0.35">
      <c r="C89" t="s">
        <v>139</v>
      </c>
      <c r="F89" t="s">
        <v>141</v>
      </c>
      <c r="G89">
        <v>0</v>
      </c>
    </row>
    <row r="91" spans="3:7" x14ac:dyDescent="0.35">
      <c r="C91" t="s">
        <v>154</v>
      </c>
    </row>
    <row r="92" spans="3:7" x14ac:dyDescent="0.35">
      <c r="C92" t="s">
        <v>139</v>
      </c>
      <c r="F92" t="s">
        <v>141</v>
      </c>
      <c r="G92">
        <v>0</v>
      </c>
    </row>
    <row r="94" spans="3:7" x14ac:dyDescent="0.35">
      <c r="C94" t="s">
        <v>155</v>
      </c>
      <c r="F94">
        <v>0</v>
      </c>
      <c r="G94">
        <v>0</v>
      </c>
    </row>
    <row r="96" spans="3:7" x14ac:dyDescent="0.35">
      <c r="C96" t="s">
        <v>156</v>
      </c>
    </row>
    <row r="97" spans="1:8" x14ac:dyDescent="0.35">
      <c r="C97" t="s">
        <v>157</v>
      </c>
    </row>
    <row r="98" spans="1:8" x14ac:dyDescent="0.35">
      <c r="C98" t="s">
        <v>139</v>
      </c>
      <c r="F98" t="s">
        <v>141</v>
      </c>
      <c r="G98">
        <v>0</v>
      </c>
    </row>
    <row r="100" spans="1:8" x14ac:dyDescent="0.35">
      <c r="C100" t="s">
        <v>158</v>
      </c>
    </row>
    <row r="101" spans="1:8" x14ac:dyDescent="0.35">
      <c r="C101" t="s">
        <v>139</v>
      </c>
      <c r="F101" t="s">
        <v>141</v>
      </c>
      <c r="G101">
        <v>0</v>
      </c>
    </row>
    <row r="103" spans="1:8" x14ac:dyDescent="0.35">
      <c r="C103" t="s">
        <v>159</v>
      </c>
    </row>
    <row r="104" spans="1:8" x14ac:dyDescent="0.35">
      <c r="C104" t="s">
        <v>139</v>
      </c>
      <c r="F104" t="s">
        <v>141</v>
      </c>
      <c r="G104">
        <v>0</v>
      </c>
    </row>
    <row r="106" spans="1:8" x14ac:dyDescent="0.35">
      <c r="C106" t="s">
        <v>160</v>
      </c>
    </row>
    <row r="107" spans="1:8" x14ac:dyDescent="0.35">
      <c r="A107">
        <v>1</v>
      </c>
      <c r="C107" t="s">
        <v>161</v>
      </c>
      <c r="F107">
        <v>3807.1082870179998</v>
      </c>
      <c r="G107">
        <v>2.7163799999999998E-2</v>
      </c>
      <c r="H107">
        <v>5.42</v>
      </c>
    </row>
    <row r="108" spans="1:8" x14ac:dyDescent="0.35">
      <c r="C108" t="s">
        <v>139</v>
      </c>
      <c r="F108">
        <v>3807.1082870179998</v>
      </c>
      <c r="G108">
        <v>2.7163799999999998E-2</v>
      </c>
    </row>
    <row r="110" spans="1:8" x14ac:dyDescent="0.35">
      <c r="C110" t="s">
        <v>162</v>
      </c>
      <c r="F110">
        <v>3807.1082870179998</v>
      </c>
      <c r="G110">
        <v>2.7163799999999998E-2</v>
      </c>
    </row>
    <row r="112" spans="1:8" x14ac:dyDescent="0.35">
      <c r="C112" t="s">
        <v>163</v>
      </c>
    </row>
    <row r="113" spans="2:7" x14ac:dyDescent="0.35">
      <c r="C113" t="s">
        <v>164</v>
      </c>
    </row>
    <row r="114" spans="2:7" x14ac:dyDescent="0.35">
      <c r="C114" t="s">
        <v>139</v>
      </c>
      <c r="F114" t="s">
        <v>141</v>
      </c>
      <c r="G114">
        <v>0</v>
      </c>
    </row>
    <row r="116" spans="2:7" x14ac:dyDescent="0.35">
      <c r="C116" t="s">
        <v>165</v>
      </c>
    </row>
    <row r="117" spans="2:7" x14ac:dyDescent="0.35">
      <c r="C117" t="s">
        <v>166</v>
      </c>
    </row>
    <row r="118" spans="2:7" x14ac:dyDescent="0.35">
      <c r="C118" t="s">
        <v>139</v>
      </c>
      <c r="F118" t="s">
        <v>141</v>
      </c>
      <c r="G118">
        <v>0</v>
      </c>
    </row>
    <row r="120" spans="2:7" x14ac:dyDescent="0.35">
      <c r="C120" t="s">
        <v>167</v>
      </c>
    </row>
    <row r="121" spans="2:7" x14ac:dyDescent="0.35">
      <c r="C121" t="s">
        <v>139</v>
      </c>
      <c r="F121" t="s">
        <v>141</v>
      </c>
      <c r="G121">
        <v>0</v>
      </c>
    </row>
    <row r="123" spans="2:7" x14ac:dyDescent="0.35">
      <c r="C123" t="s">
        <v>168</v>
      </c>
      <c r="F123">
        <v>-282.50243549999999</v>
      </c>
      <c r="G123">
        <v>-2.0156599999999998E-3</v>
      </c>
    </row>
    <row r="124" spans="2:7" x14ac:dyDescent="0.35">
      <c r="C124" t="s">
        <v>169</v>
      </c>
      <c r="F124">
        <v>140153.735627318</v>
      </c>
      <c r="G124">
        <v>1.0000000499999999</v>
      </c>
    </row>
    <row r="126" spans="2:7" x14ac:dyDescent="0.35">
      <c r="B126" t="s">
        <v>170</v>
      </c>
    </row>
    <row r="127" spans="2:7" x14ac:dyDescent="0.35">
      <c r="B127" t="s">
        <v>171</v>
      </c>
    </row>
    <row r="128" spans="2:7" x14ac:dyDescent="0.35">
      <c r="B128" t="s">
        <v>172</v>
      </c>
    </row>
    <row r="129" spans="2:4" x14ac:dyDescent="0.35">
      <c r="B129" t="s">
        <v>173</v>
      </c>
    </row>
    <row r="130" spans="2:4" x14ac:dyDescent="0.35">
      <c r="B130" t="s">
        <v>174</v>
      </c>
    </row>
    <row r="132" spans="2:4" x14ac:dyDescent="0.35">
      <c r="B132" t="s">
        <v>175</v>
      </c>
    </row>
    <row r="133" spans="2:4" x14ac:dyDescent="0.35">
      <c r="B133" t="s">
        <v>176</v>
      </c>
      <c r="D133" t="s">
        <v>656</v>
      </c>
    </row>
    <row r="134" spans="2:4" x14ac:dyDescent="0.35">
      <c r="B134" t="s">
        <v>178</v>
      </c>
      <c r="D134" t="str">
        <f>"Rs. "&amp;TEXT(F68,"0.00")&amp;" lacs/ 0.04%"</f>
        <v>Rs. 54.34 lacs/ 0.04%</v>
      </c>
    </row>
    <row r="135" spans="2:4" x14ac:dyDescent="0.35">
      <c r="B135" t="s">
        <v>179</v>
      </c>
    </row>
    <row r="136" spans="2:4" x14ac:dyDescent="0.35">
      <c r="C136" t="s">
        <v>180</v>
      </c>
      <c r="D136" t="s">
        <v>181</v>
      </c>
    </row>
    <row r="137" spans="2:4" x14ac:dyDescent="0.35">
      <c r="B137" t="s">
        <v>182</v>
      </c>
      <c r="C137" s="1">
        <v>45991</v>
      </c>
      <c r="D137" s="1">
        <v>46022</v>
      </c>
    </row>
    <row r="138" spans="2:4" x14ac:dyDescent="0.35">
      <c r="B138" t="s">
        <v>183</v>
      </c>
      <c r="C138">
        <v>566.58349999999996</v>
      </c>
      <c r="D138">
        <v>566.20830000000001</v>
      </c>
    </row>
    <row r="139" spans="2:4" x14ac:dyDescent="0.35">
      <c r="B139" t="s">
        <v>842</v>
      </c>
      <c r="C139">
        <v>566.00689999999997</v>
      </c>
      <c r="D139">
        <v>565.63210000000004</v>
      </c>
    </row>
    <row r="140" spans="2:4" x14ac:dyDescent="0.35">
      <c r="B140" t="s">
        <v>185</v>
      </c>
      <c r="C140">
        <v>529.00260000000003</v>
      </c>
      <c r="D140">
        <v>528.40390000000002</v>
      </c>
    </row>
    <row r="141" spans="2:4" x14ac:dyDescent="0.35">
      <c r="B141" t="s">
        <v>843</v>
      </c>
      <c r="C141">
        <v>424.22910000000002</v>
      </c>
      <c r="D141">
        <v>423.74889999999999</v>
      </c>
    </row>
    <row r="143" spans="2:4" x14ac:dyDescent="0.35">
      <c r="B143" t="s">
        <v>187</v>
      </c>
      <c r="D143" t="s">
        <v>177</v>
      </c>
    </row>
    <row r="145" spans="2:6" x14ac:dyDescent="0.35">
      <c r="B145" t="s">
        <v>188</v>
      </c>
      <c r="D145" t="s">
        <v>177</v>
      </c>
    </row>
    <row r="146" spans="2:6" x14ac:dyDescent="0.35">
      <c r="B146" t="s">
        <v>189</v>
      </c>
      <c r="D146" t="s">
        <v>177</v>
      </c>
    </row>
    <row r="147" spans="2:6" x14ac:dyDescent="0.35">
      <c r="B147" t="s">
        <v>190</v>
      </c>
      <c r="D147" t="s">
        <v>177</v>
      </c>
    </row>
    <row r="148" spans="2:6" x14ac:dyDescent="0.35">
      <c r="B148" t="s">
        <v>191</v>
      </c>
      <c r="D148">
        <v>0.47458581661117821</v>
      </c>
    </row>
    <row r="150" spans="2:6" x14ac:dyDescent="0.35">
      <c r="B150" t="s">
        <v>661</v>
      </c>
    </row>
    <row r="151" spans="2:6" x14ac:dyDescent="0.35">
      <c r="B151" t="s">
        <v>844</v>
      </c>
      <c r="C151" t="s">
        <v>845</v>
      </c>
      <c r="D151" t="s">
        <v>846</v>
      </c>
      <c r="E151" t="s">
        <v>847</v>
      </c>
      <c r="F151" t="s">
        <v>848</v>
      </c>
    </row>
    <row r="152" spans="2:6" x14ac:dyDescent="0.35">
      <c r="B152" t="s">
        <v>934</v>
      </c>
      <c r="C152" t="s">
        <v>850</v>
      </c>
      <c r="D152">
        <v>0</v>
      </c>
      <c r="E152">
        <v>0</v>
      </c>
      <c r="F152">
        <v>0.54925000000000002</v>
      </c>
    </row>
    <row r="154" spans="2:6" x14ac:dyDescent="0.35">
      <c r="B154" t="s">
        <v>192</v>
      </c>
    </row>
    <row r="159" spans="2:6" x14ac:dyDescent="0.35">
      <c r="B159" t="s">
        <v>193</v>
      </c>
    </row>
    <row r="160" spans="2:6" x14ac:dyDescent="0.35">
      <c r="B160" t="s">
        <v>935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42"/>
  <sheetViews>
    <sheetView workbookViewId="0"/>
  </sheetViews>
  <sheetFormatPr defaultRowHeight="14.5" x14ac:dyDescent="0.35"/>
  <sheetData>
    <row r="1" spans="1:9" x14ac:dyDescent="0.35">
      <c r="A1" t="s">
        <v>0</v>
      </c>
      <c r="I1" t="s">
        <v>1</v>
      </c>
    </row>
    <row r="2" spans="1:9" x14ac:dyDescent="0.35">
      <c r="A2" t="s">
        <v>936</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14</v>
      </c>
      <c r="C7" t="s">
        <v>15</v>
      </c>
      <c r="D7" t="s">
        <v>16</v>
      </c>
      <c r="E7">
        <v>810559</v>
      </c>
      <c r="F7">
        <v>17067.130303999998</v>
      </c>
      <c r="G7">
        <v>0.10777931</v>
      </c>
    </row>
    <row r="8" spans="1:9" x14ac:dyDescent="0.35">
      <c r="A8">
        <v>2</v>
      </c>
      <c r="B8" t="s">
        <v>358</v>
      </c>
      <c r="C8" t="s">
        <v>359</v>
      </c>
      <c r="D8" t="s">
        <v>252</v>
      </c>
      <c r="E8">
        <v>423056</v>
      </c>
      <c r="F8">
        <v>15691.993151999999</v>
      </c>
      <c r="G8">
        <v>9.9095290000000003E-2</v>
      </c>
    </row>
    <row r="9" spans="1:9" x14ac:dyDescent="0.35">
      <c r="A9">
        <v>3</v>
      </c>
      <c r="B9" t="s">
        <v>703</v>
      </c>
      <c r="C9" t="s">
        <v>704</v>
      </c>
      <c r="D9" t="s">
        <v>493</v>
      </c>
      <c r="E9">
        <v>3085016</v>
      </c>
      <c r="F9">
        <v>12432.61448</v>
      </c>
      <c r="G9">
        <v>7.8512239999999997E-2</v>
      </c>
    </row>
    <row r="10" spans="1:9" x14ac:dyDescent="0.35">
      <c r="A10">
        <v>4</v>
      </c>
      <c r="B10" t="s">
        <v>491</v>
      </c>
      <c r="C10" t="s">
        <v>492</v>
      </c>
      <c r="D10" t="s">
        <v>493</v>
      </c>
      <c r="E10">
        <v>446824</v>
      </c>
      <c r="F10">
        <v>10347.997015999999</v>
      </c>
      <c r="G10">
        <v>6.5347829999999996E-2</v>
      </c>
    </row>
    <row r="11" spans="1:9" x14ac:dyDescent="0.35">
      <c r="A11">
        <v>5</v>
      </c>
      <c r="B11" t="s">
        <v>937</v>
      </c>
      <c r="C11" t="s">
        <v>938</v>
      </c>
      <c r="D11" t="s">
        <v>65</v>
      </c>
      <c r="E11">
        <v>212692</v>
      </c>
      <c r="F11">
        <v>8617.2163799999998</v>
      </c>
      <c r="G11">
        <v>5.441791E-2</v>
      </c>
    </row>
    <row r="12" spans="1:9" x14ac:dyDescent="0.35">
      <c r="A12">
        <v>6</v>
      </c>
      <c r="B12" t="s">
        <v>374</v>
      </c>
      <c r="C12" t="s">
        <v>375</v>
      </c>
      <c r="D12" t="s">
        <v>324</v>
      </c>
      <c r="E12">
        <v>2892836</v>
      </c>
      <c r="F12">
        <v>8043.5304980000001</v>
      </c>
      <c r="G12">
        <v>5.0795079999999999E-2</v>
      </c>
    </row>
    <row r="13" spans="1:9" x14ac:dyDescent="0.35">
      <c r="A13">
        <v>7</v>
      </c>
      <c r="B13" t="s">
        <v>498</v>
      </c>
      <c r="C13" t="s">
        <v>499</v>
      </c>
      <c r="D13" t="s">
        <v>252</v>
      </c>
      <c r="E13">
        <v>42610</v>
      </c>
      <c r="F13">
        <v>7114.5916999999999</v>
      </c>
      <c r="G13">
        <v>4.492881E-2</v>
      </c>
    </row>
    <row r="14" spans="1:9" x14ac:dyDescent="0.35">
      <c r="A14">
        <v>8</v>
      </c>
      <c r="B14" t="s">
        <v>112</v>
      </c>
      <c r="C14" t="s">
        <v>113</v>
      </c>
      <c r="D14" t="s">
        <v>114</v>
      </c>
      <c r="E14">
        <v>83568</v>
      </c>
      <c r="F14">
        <v>5885.2763999999997</v>
      </c>
      <c r="G14">
        <v>3.7165650000000001E-2</v>
      </c>
    </row>
    <row r="15" spans="1:9" x14ac:dyDescent="0.35">
      <c r="A15">
        <v>9</v>
      </c>
      <c r="B15" t="s">
        <v>939</v>
      </c>
      <c r="C15" t="s">
        <v>940</v>
      </c>
      <c r="D15" t="s">
        <v>394</v>
      </c>
      <c r="E15">
        <v>443054</v>
      </c>
      <c r="F15">
        <v>5706.5355200000004</v>
      </c>
      <c r="G15">
        <v>3.6036899999999997E-2</v>
      </c>
    </row>
    <row r="16" spans="1:9" x14ac:dyDescent="0.35">
      <c r="A16">
        <v>10</v>
      </c>
      <c r="B16" t="s">
        <v>514</v>
      </c>
      <c r="C16" t="s">
        <v>515</v>
      </c>
      <c r="D16" t="s">
        <v>324</v>
      </c>
      <c r="E16">
        <v>116393</v>
      </c>
      <c r="F16">
        <v>4980.4564700000001</v>
      </c>
      <c r="G16">
        <v>3.1451689999999997E-2</v>
      </c>
    </row>
    <row r="17" spans="1:7" x14ac:dyDescent="0.35">
      <c r="A17">
        <v>11</v>
      </c>
      <c r="B17" t="s">
        <v>723</v>
      </c>
      <c r="C17" t="s">
        <v>724</v>
      </c>
      <c r="D17" t="s">
        <v>394</v>
      </c>
      <c r="E17">
        <v>81921</v>
      </c>
      <c r="F17">
        <v>4940.6555099999996</v>
      </c>
      <c r="G17">
        <v>3.1200350000000002E-2</v>
      </c>
    </row>
    <row r="18" spans="1:7" x14ac:dyDescent="0.35">
      <c r="A18">
        <v>12</v>
      </c>
      <c r="B18" t="s">
        <v>941</v>
      </c>
      <c r="C18" t="s">
        <v>942</v>
      </c>
      <c r="D18" t="s">
        <v>206</v>
      </c>
      <c r="E18">
        <v>43357</v>
      </c>
      <c r="F18">
        <v>4911.4809599999999</v>
      </c>
      <c r="G18">
        <v>3.101611E-2</v>
      </c>
    </row>
    <row r="19" spans="1:7" x14ac:dyDescent="0.35">
      <c r="A19">
        <v>13</v>
      </c>
      <c r="B19" t="s">
        <v>395</v>
      </c>
      <c r="C19" t="s">
        <v>396</v>
      </c>
      <c r="D19" t="s">
        <v>65</v>
      </c>
      <c r="E19">
        <v>225560</v>
      </c>
      <c r="F19">
        <v>4904.5766400000002</v>
      </c>
      <c r="G19">
        <v>3.0972510000000002E-2</v>
      </c>
    </row>
    <row r="20" spans="1:7" x14ac:dyDescent="0.35">
      <c r="A20">
        <v>14</v>
      </c>
      <c r="B20" t="s">
        <v>41</v>
      </c>
      <c r="C20" t="s">
        <v>42</v>
      </c>
      <c r="D20" t="s">
        <v>43</v>
      </c>
      <c r="E20">
        <v>282069</v>
      </c>
      <c r="F20">
        <v>4793.7626550000004</v>
      </c>
      <c r="G20">
        <v>3.0272719999999999E-2</v>
      </c>
    </row>
    <row r="21" spans="1:7" x14ac:dyDescent="0.35">
      <c r="A21">
        <v>15</v>
      </c>
      <c r="B21" t="s">
        <v>216</v>
      </c>
      <c r="C21" t="s">
        <v>217</v>
      </c>
      <c r="D21" t="s">
        <v>65</v>
      </c>
      <c r="E21">
        <v>859419</v>
      </c>
      <c r="F21">
        <v>4171.1901164999999</v>
      </c>
      <c r="G21">
        <v>2.6341159999999999E-2</v>
      </c>
    </row>
    <row r="22" spans="1:7" x14ac:dyDescent="0.35">
      <c r="A22">
        <v>16</v>
      </c>
      <c r="B22" t="s">
        <v>508</v>
      </c>
      <c r="C22" t="s">
        <v>509</v>
      </c>
      <c r="D22" t="s">
        <v>257</v>
      </c>
      <c r="E22">
        <v>277137</v>
      </c>
      <c r="F22">
        <v>4001.0268689999998</v>
      </c>
      <c r="G22">
        <v>2.5266569999999999E-2</v>
      </c>
    </row>
    <row r="23" spans="1:7" x14ac:dyDescent="0.35">
      <c r="A23">
        <v>17</v>
      </c>
      <c r="B23" t="s">
        <v>713</v>
      </c>
      <c r="C23" t="s">
        <v>714</v>
      </c>
      <c r="D23" t="s">
        <v>252</v>
      </c>
      <c r="E23">
        <v>58394</v>
      </c>
      <c r="F23">
        <v>3369.9177399999999</v>
      </c>
      <c r="G23">
        <v>2.1281109999999999E-2</v>
      </c>
    </row>
    <row r="24" spans="1:7" x14ac:dyDescent="0.35">
      <c r="A24">
        <v>18</v>
      </c>
      <c r="B24" t="s">
        <v>95</v>
      </c>
      <c r="C24" t="s">
        <v>96</v>
      </c>
      <c r="D24" t="s">
        <v>97</v>
      </c>
      <c r="E24">
        <v>350247</v>
      </c>
      <c r="F24">
        <v>3099.68595</v>
      </c>
      <c r="G24">
        <v>1.9574589999999999E-2</v>
      </c>
    </row>
    <row r="25" spans="1:7" x14ac:dyDescent="0.35">
      <c r="A25">
        <v>19</v>
      </c>
      <c r="B25" t="s">
        <v>894</v>
      </c>
      <c r="C25" t="s">
        <v>895</v>
      </c>
      <c r="D25" t="s">
        <v>896</v>
      </c>
      <c r="E25">
        <v>1028971</v>
      </c>
      <c r="F25">
        <v>2908.3865314999998</v>
      </c>
      <c r="G25">
        <v>1.8366529999999999E-2</v>
      </c>
    </row>
    <row r="26" spans="1:7" x14ac:dyDescent="0.35">
      <c r="A26">
        <v>20</v>
      </c>
      <c r="B26" t="s">
        <v>329</v>
      </c>
      <c r="C26" t="s">
        <v>330</v>
      </c>
      <c r="D26" t="s">
        <v>324</v>
      </c>
      <c r="E26">
        <v>217005</v>
      </c>
      <c r="F26">
        <v>2893.9786800000002</v>
      </c>
      <c r="G26">
        <v>1.827554E-2</v>
      </c>
    </row>
    <row r="27" spans="1:7" x14ac:dyDescent="0.35">
      <c r="A27">
        <v>21</v>
      </c>
      <c r="B27" t="s">
        <v>887</v>
      </c>
      <c r="C27" t="s">
        <v>888</v>
      </c>
      <c r="D27" t="s">
        <v>65</v>
      </c>
      <c r="E27">
        <v>303515</v>
      </c>
      <c r="F27">
        <v>2728.9033650000001</v>
      </c>
      <c r="G27">
        <v>1.723309E-2</v>
      </c>
    </row>
    <row r="28" spans="1:7" x14ac:dyDescent="0.35">
      <c r="A28">
        <v>22</v>
      </c>
      <c r="B28" t="s">
        <v>828</v>
      </c>
      <c r="C28" t="s">
        <v>829</v>
      </c>
      <c r="D28" t="s">
        <v>65</v>
      </c>
      <c r="E28">
        <v>96237</v>
      </c>
      <c r="F28">
        <v>2665.283715</v>
      </c>
      <c r="G28">
        <v>1.6831329999999999E-2</v>
      </c>
    </row>
    <row r="29" spans="1:7" x14ac:dyDescent="0.35">
      <c r="A29">
        <v>23</v>
      </c>
      <c r="B29" t="s">
        <v>877</v>
      </c>
      <c r="C29" t="s">
        <v>878</v>
      </c>
      <c r="D29" t="s">
        <v>324</v>
      </c>
      <c r="E29">
        <v>66997</v>
      </c>
      <c r="F29">
        <v>2533.9605339999998</v>
      </c>
      <c r="G29">
        <v>1.6002019999999999E-2</v>
      </c>
    </row>
    <row r="30" spans="1:7" x14ac:dyDescent="0.35">
      <c r="A30">
        <v>24</v>
      </c>
      <c r="B30" t="s">
        <v>899</v>
      </c>
      <c r="C30" t="s">
        <v>900</v>
      </c>
      <c r="D30" t="s">
        <v>324</v>
      </c>
      <c r="E30">
        <v>529734</v>
      </c>
      <c r="F30">
        <v>2446.8413460000002</v>
      </c>
      <c r="G30">
        <v>1.545186E-2</v>
      </c>
    </row>
    <row r="31" spans="1:7" x14ac:dyDescent="0.35">
      <c r="A31">
        <v>25</v>
      </c>
      <c r="B31" t="s">
        <v>308</v>
      </c>
      <c r="C31" t="s">
        <v>309</v>
      </c>
      <c r="D31" t="s">
        <v>240</v>
      </c>
      <c r="E31">
        <v>1490238</v>
      </c>
      <c r="F31">
        <v>2204.8071209999998</v>
      </c>
      <c r="G31">
        <v>1.3923410000000001E-2</v>
      </c>
    </row>
    <row r="32" spans="1:7" x14ac:dyDescent="0.35">
      <c r="A32">
        <v>26</v>
      </c>
      <c r="B32" t="s">
        <v>238</v>
      </c>
      <c r="C32" t="s">
        <v>239</v>
      </c>
      <c r="D32" t="s">
        <v>240</v>
      </c>
      <c r="E32">
        <v>379591</v>
      </c>
      <c r="F32">
        <v>2120.3953259999998</v>
      </c>
      <c r="G32">
        <v>1.3390340000000001E-2</v>
      </c>
    </row>
    <row r="33" spans="1:7" x14ac:dyDescent="0.35">
      <c r="A33">
        <v>27</v>
      </c>
      <c r="B33" t="s">
        <v>470</v>
      </c>
      <c r="C33" t="s">
        <v>471</v>
      </c>
      <c r="D33" t="s">
        <v>324</v>
      </c>
      <c r="E33">
        <v>1435051</v>
      </c>
      <c r="F33">
        <v>1480.3986116000001</v>
      </c>
      <c r="G33">
        <v>9.3487499999999994E-3</v>
      </c>
    </row>
    <row r="34" spans="1:7" x14ac:dyDescent="0.35">
      <c r="A34">
        <v>28</v>
      </c>
      <c r="B34" t="s">
        <v>255</v>
      </c>
      <c r="C34" t="s">
        <v>256</v>
      </c>
      <c r="D34" t="s">
        <v>257</v>
      </c>
      <c r="E34">
        <v>56169</v>
      </c>
      <c r="F34">
        <v>910.89267299999995</v>
      </c>
      <c r="G34">
        <v>5.7523100000000001E-3</v>
      </c>
    </row>
    <row r="35" spans="1:7" x14ac:dyDescent="0.35">
      <c r="A35">
        <v>29</v>
      </c>
      <c r="B35" t="s">
        <v>77</v>
      </c>
      <c r="C35" t="s">
        <v>78</v>
      </c>
      <c r="D35" t="s">
        <v>79</v>
      </c>
      <c r="E35">
        <v>16483</v>
      </c>
      <c r="F35">
        <v>833.95738500000004</v>
      </c>
      <c r="G35">
        <v>5.2664599999999997E-3</v>
      </c>
    </row>
    <row r="36" spans="1:7" x14ac:dyDescent="0.35">
      <c r="A36">
        <v>30</v>
      </c>
      <c r="B36" t="s">
        <v>279</v>
      </c>
      <c r="C36" t="s">
        <v>280</v>
      </c>
      <c r="D36" t="s">
        <v>281</v>
      </c>
      <c r="E36">
        <v>38824</v>
      </c>
      <c r="F36">
        <v>805.86976800000002</v>
      </c>
      <c r="G36">
        <v>5.0890900000000001E-3</v>
      </c>
    </row>
    <row r="37" spans="1:7" x14ac:dyDescent="0.35">
      <c r="A37">
        <v>31</v>
      </c>
      <c r="B37" t="s">
        <v>943</v>
      </c>
      <c r="C37" t="s">
        <v>944</v>
      </c>
      <c r="D37" t="s">
        <v>43</v>
      </c>
      <c r="E37">
        <v>128539</v>
      </c>
      <c r="F37">
        <v>652.84958099999994</v>
      </c>
      <c r="G37">
        <v>4.1227599999999996E-3</v>
      </c>
    </row>
    <row r="38" spans="1:7" x14ac:dyDescent="0.35">
      <c r="A38">
        <v>32</v>
      </c>
      <c r="B38" t="s">
        <v>250</v>
      </c>
      <c r="C38" t="s">
        <v>251</v>
      </c>
      <c r="D38" t="s">
        <v>252</v>
      </c>
      <c r="E38">
        <v>16314</v>
      </c>
      <c r="F38">
        <v>606.84817199999998</v>
      </c>
      <c r="G38">
        <v>3.8322600000000001E-3</v>
      </c>
    </row>
    <row r="39" spans="1:7" x14ac:dyDescent="0.35">
      <c r="A39">
        <v>33</v>
      </c>
      <c r="B39" t="s">
        <v>512</v>
      </c>
      <c r="C39" t="s">
        <v>513</v>
      </c>
      <c r="D39" t="s">
        <v>257</v>
      </c>
      <c r="E39">
        <v>90471</v>
      </c>
      <c r="F39">
        <v>443.17219349999999</v>
      </c>
      <c r="G39">
        <v>2.7986399999999998E-3</v>
      </c>
    </row>
    <row r="40" spans="1:7" x14ac:dyDescent="0.35">
      <c r="A40">
        <v>34</v>
      </c>
      <c r="B40" t="s">
        <v>524</v>
      </c>
      <c r="C40" t="s">
        <v>525</v>
      </c>
      <c r="D40" t="s">
        <v>526</v>
      </c>
      <c r="E40">
        <v>446824</v>
      </c>
      <c r="F40">
        <v>179.62324799999999</v>
      </c>
      <c r="G40">
        <v>1.13433E-3</v>
      </c>
    </row>
    <row r="41" spans="1:7" x14ac:dyDescent="0.35">
      <c r="C41" t="s">
        <v>139</v>
      </c>
      <c r="F41">
        <v>156495.80661110001</v>
      </c>
      <c r="G41">
        <v>0.98827454999999997</v>
      </c>
    </row>
    <row r="43" spans="1:7" x14ac:dyDescent="0.35">
      <c r="C43" t="s">
        <v>140</v>
      </c>
    </row>
    <row r="44" spans="1:7" x14ac:dyDescent="0.35">
      <c r="C44" t="s">
        <v>139</v>
      </c>
      <c r="F44" t="s">
        <v>141</v>
      </c>
      <c r="G44">
        <v>0</v>
      </c>
    </row>
    <row r="46" spans="1:7" x14ac:dyDescent="0.35">
      <c r="C46" t="s">
        <v>142</v>
      </c>
    </row>
    <row r="47" spans="1:7" x14ac:dyDescent="0.35">
      <c r="C47" t="s">
        <v>139</v>
      </c>
      <c r="F47" t="s">
        <v>141</v>
      </c>
      <c r="G47">
        <v>0</v>
      </c>
    </row>
    <row r="49" spans="3:7" x14ac:dyDescent="0.35">
      <c r="C49" t="s">
        <v>147</v>
      </c>
    </row>
    <row r="50" spans="3:7" x14ac:dyDescent="0.35">
      <c r="C50" t="s">
        <v>139</v>
      </c>
      <c r="F50" t="s">
        <v>141</v>
      </c>
      <c r="G50">
        <v>0</v>
      </c>
    </row>
    <row r="52" spans="3:7" x14ac:dyDescent="0.35">
      <c r="C52" t="s">
        <v>148</v>
      </c>
    </row>
    <row r="53" spans="3:7" x14ac:dyDescent="0.35">
      <c r="C53" t="s">
        <v>139</v>
      </c>
      <c r="F53" t="s">
        <v>141</v>
      </c>
      <c r="G53">
        <v>0</v>
      </c>
    </row>
    <row r="55" spans="3:7" x14ac:dyDescent="0.35">
      <c r="C55" t="s">
        <v>149</v>
      </c>
    </row>
    <row r="56" spans="3:7" x14ac:dyDescent="0.35">
      <c r="C56" t="s">
        <v>139</v>
      </c>
      <c r="F56" t="s">
        <v>141</v>
      </c>
      <c r="G56">
        <v>0</v>
      </c>
    </row>
    <row r="58" spans="3:7" x14ac:dyDescent="0.35">
      <c r="C58" t="s">
        <v>150</v>
      </c>
      <c r="F58">
        <f>F41</f>
        <v>156495.80661110001</v>
      </c>
      <c r="G58">
        <f>G41</f>
        <v>0.98827454999999997</v>
      </c>
    </row>
    <row r="60" spans="3:7" x14ac:dyDescent="0.35">
      <c r="C60" t="s">
        <v>151</v>
      </c>
    </row>
    <row r="61" spans="3:7" x14ac:dyDescent="0.35">
      <c r="C61" t="s">
        <v>13</v>
      </c>
    </row>
    <row r="62" spans="3:7" x14ac:dyDescent="0.35">
      <c r="C62" t="s">
        <v>139</v>
      </c>
      <c r="F62" t="s">
        <v>141</v>
      </c>
      <c r="G62">
        <v>0</v>
      </c>
    </row>
    <row r="64" spans="3:7" x14ac:dyDescent="0.35">
      <c r="C64" t="s">
        <v>152</v>
      </c>
    </row>
    <row r="65" spans="1:8" x14ac:dyDescent="0.35">
      <c r="C65" t="s">
        <v>139</v>
      </c>
      <c r="F65" t="s">
        <v>141</v>
      </c>
      <c r="G65">
        <v>0</v>
      </c>
    </row>
    <row r="67" spans="1:8" x14ac:dyDescent="0.35">
      <c r="C67" t="s">
        <v>153</v>
      </c>
    </row>
    <row r="68" spans="1:8" x14ac:dyDescent="0.35">
      <c r="C68" t="s">
        <v>139</v>
      </c>
      <c r="F68" t="s">
        <v>141</v>
      </c>
      <c r="G68">
        <v>0</v>
      </c>
    </row>
    <row r="70" spans="1:8" x14ac:dyDescent="0.35">
      <c r="C70" t="s">
        <v>154</v>
      </c>
    </row>
    <row r="71" spans="1:8" x14ac:dyDescent="0.35">
      <c r="C71" t="s">
        <v>139</v>
      </c>
      <c r="F71" t="s">
        <v>141</v>
      </c>
      <c r="G71">
        <v>0</v>
      </c>
    </row>
    <row r="73" spans="1:8" x14ac:dyDescent="0.35">
      <c r="C73" t="s">
        <v>341</v>
      </c>
    </row>
    <row r="74" spans="1:8" x14ac:dyDescent="0.35">
      <c r="A74">
        <v>1</v>
      </c>
      <c r="B74" t="s">
        <v>342</v>
      </c>
      <c r="C74" t="s">
        <v>343</v>
      </c>
      <c r="D74" t="s">
        <v>252</v>
      </c>
      <c r="E74">
        <v>65256</v>
      </c>
      <c r="F74">
        <v>6.6469761600000004</v>
      </c>
      <c r="G74" t="s">
        <v>146</v>
      </c>
      <c r="H74">
        <v>6.1050000000000004</v>
      </c>
    </row>
    <row r="75" spans="1:8" x14ac:dyDescent="0.35">
      <c r="C75" t="s">
        <v>139</v>
      </c>
      <c r="F75">
        <f>F74</f>
        <v>6.6469761600000004</v>
      </c>
      <c r="G75">
        <f>SUM(G74)</f>
        <v>0</v>
      </c>
    </row>
    <row r="77" spans="1:8" x14ac:dyDescent="0.35">
      <c r="C77" t="s">
        <v>155</v>
      </c>
      <c r="F77">
        <f>F75</f>
        <v>6.6469761600000004</v>
      </c>
      <c r="G77">
        <f>G75</f>
        <v>0</v>
      </c>
    </row>
    <row r="79" spans="1:8" x14ac:dyDescent="0.35">
      <c r="C79" t="s">
        <v>156</v>
      </c>
    </row>
    <row r="80" spans="1:8" x14ac:dyDescent="0.35">
      <c r="C80" t="s">
        <v>157</v>
      </c>
    </row>
    <row r="81" spans="1:8" x14ac:dyDescent="0.35">
      <c r="C81" t="s">
        <v>139</v>
      </c>
      <c r="F81" t="s">
        <v>141</v>
      </c>
      <c r="G81">
        <v>0</v>
      </c>
    </row>
    <row r="83" spans="1:8" x14ac:dyDescent="0.35">
      <c r="C83" t="s">
        <v>158</v>
      </c>
    </row>
    <row r="84" spans="1:8" x14ac:dyDescent="0.35">
      <c r="C84" t="s">
        <v>139</v>
      </c>
      <c r="F84" t="s">
        <v>141</v>
      </c>
      <c r="G84">
        <v>0</v>
      </c>
    </row>
    <row r="86" spans="1:8" x14ac:dyDescent="0.35">
      <c r="C86" t="s">
        <v>159</v>
      </c>
    </row>
    <row r="87" spans="1:8" x14ac:dyDescent="0.35">
      <c r="C87" t="s">
        <v>139</v>
      </c>
      <c r="F87" t="s">
        <v>141</v>
      </c>
      <c r="G87">
        <v>0</v>
      </c>
    </row>
    <row r="89" spans="1:8" x14ac:dyDescent="0.35">
      <c r="C89" t="s">
        <v>160</v>
      </c>
    </row>
    <row r="90" spans="1:8" x14ac:dyDescent="0.35">
      <c r="A90">
        <v>1</v>
      </c>
      <c r="C90" t="s">
        <v>161</v>
      </c>
      <c r="F90">
        <v>2289.354769002</v>
      </c>
      <c r="G90">
        <v>1.4457329999999999E-2</v>
      </c>
      <c r="H90">
        <v>5.42</v>
      </c>
    </row>
    <row r="91" spans="1:8" x14ac:dyDescent="0.35">
      <c r="C91" t="s">
        <v>139</v>
      </c>
      <c r="F91">
        <v>2289.354769002</v>
      </c>
      <c r="G91">
        <v>1.4457329999999999E-2</v>
      </c>
    </row>
    <row r="93" spans="1:8" x14ac:dyDescent="0.35">
      <c r="C93" t="s">
        <v>162</v>
      </c>
      <c r="F93">
        <v>2289.354769002</v>
      </c>
      <c r="G93">
        <v>1.4457329999999999E-2</v>
      </c>
    </row>
    <row r="95" spans="1:8" x14ac:dyDescent="0.35">
      <c r="C95" t="s">
        <v>163</v>
      </c>
    </row>
    <row r="96" spans="1:8" x14ac:dyDescent="0.35">
      <c r="C96" t="s">
        <v>164</v>
      </c>
    </row>
    <row r="97" spans="2:7" x14ac:dyDescent="0.35">
      <c r="C97" t="s">
        <v>139</v>
      </c>
      <c r="F97" t="s">
        <v>141</v>
      </c>
      <c r="G97">
        <v>0</v>
      </c>
    </row>
    <row r="99" spans="2:7" x14ac:dyDescent="0.35">
      <c r="C99" t="s">
        <v>165</v>
      </c>
    </row>
    <row r="100" spans="2:7" x14ac:dyDescent="0.35">
      <c r="C100" t="s">
        <v>166</v>
      </c>
    </row>
    <row r="101" spans="2:7" x14ac:dyDescent="0.35">
      <c r="C101" t="s">
        <v>139</v>
      </c>
      <c r="F101" t="s">
        <v>141</v>
      </c>
      <c r="G101">
        <v>0</v>
      </c>
    </row>
    <row r="103" spans="2:7" x14ac:dyDescent="0.35">
      <c r="C103" t="s">
        <v>167</v>
      </c>
    </row>
    <row r="104" spans="2:7" x14ac:dyDescent="0.35">
      <c r="C104" t="s">
        <v>139</v>
      </c>
      <c r="F104" t="s">
        <v>141</v>
      </c>
      <c r="G104">
        <v>0</v>
      </c>
    </row>
    <row r="106" spans="2:7" x14ac:dyDescent="0.35">
      <c r="C106" t="s">
        <v>168</v>
      </c>
      <c r="F106">
        <v>-439.24074514</v>
      </c>
      <c r="G106">
        <v>-2.7738200000000002E-3</v>
      </c>
    </row>
    <row r="107" spans="2:7" x14ac:dyDescent="0.35">
      <c r="C107" t="s">
        <v>169</v>
      </c>
      <c r="F107">
        <v>158352.56761112201</v>
      </c>
      <c r="G107">
        <v>1.00000004</v>
      </c>
    </row>
    <row r="109" spans="2:7" x14ac:dyDescent="0.35">
      <c r="B109" t="s">
        <v>170</v>
      </c>
    </row>
    <row r="110" spans="2:7" x14ac:dyDescent="0.35">
      <c r="B110" t="s">
        <v>171</v>
      </c>
    </row>
    <row r="111" spans="2:7" x14ac:dyDescent="0.35">
      <c r="B111" t="s">
        <v>172</v>
      </c>
    </row>
    <row r="112" spans="2:7" x14ac:dyDescent="0.35">
      <c r="B112" t="s">
        <v>173</v>
      </c>
    </row>
    <row r="113" spans="2:4" x14ac:dyDescent="0.35">
      <c r="B113" t="s">
        <v>174</v>
      </c>
    </row>
    <row r="115" spans="2:4" x14ac:dyDescent="0.35">
      <c r="B115" t="s">
        <v>175</v>
      </c>
    </row>
    <row r="116" spans="2:4" x14ac:dyDescent="0.35">
      <c r="B116" t="s">
        <v>176</v>
      </c>
      <c r="D116" t="s">
        <v>177</v>
      </c>
    </row>
    <row r="117" spans="2:4" x14ac:dyDescent="0.35">
      <c r="B117" t="s">
        <v>178</v>
      </c>
      <c r="D117" t="s">
        <v>177</v>
      </c>
    </row>
    <row r="118" spans="2:4" x14ac:dyDescent="0.35">
      <c r="B118" t="s">
        <v>179</v>
      </c>
    </row>
    <row r="119" spans="2:4" x14ac:dyDescent="0.35">
      <c r="C119" t="s">
        <v>180</v>
      </c>
      <c r="D119" t="s">
        <v>181</v>
      </c>
    </row>
    <row r="120" spans="2:4" x14ac:dyDescent="0.35">
      <c r="B120" t="s">
        <v>182</v>
      </c>
      <c r="C120" s="1">
        <v>45991</v>
      </c>
      <c r="D120" s="1">
        <v>46022</v>
      </c>
    </row>
    <row r="121" spans="2:4" x14ac:dyDescent="0.35">
      <c r="B121" t="s">
        <v>183</v>
      </c>
      <c r="C121">
        <v>110.069</v>
      </c>
      <c r="D121">
        <v>107.8156</v>
      </c>
    </row>
    <row r="122" spans="2:4" x14ac:dyDescent="0.35">
      <c r="B122" t="s">
        <v>184</v>
      </c>
      <c r="C122">
        <v>33.985399999999998</v>
      </c>
      <c r="D122">
        <v>30.868200000000002</v>
      </c>
    </row>
    <row r="123" spans="2:4" x14ac:dyDescent="0.35">
      <c r="B123" t="s">
        <v>185</v>
      </c>
      <c r="C123">
        <v>100.0887</v>
      </c>
      <c r="D123">
        <v>97.965400000000002</v>
      </c>
    </row>
    <row r="124" spans="2:4" x14ac:dyDescent="0.35">
      <c r="B124" t="s">
        <v>186</v>
      </c>
      <c r="C124">
        <v>30.3916</v>
      </c>
      <c r="D124">
        <v>27.5685</v>
      </c>
    </row>
    <row r="126" spans="2:4" x14ac:dyDescent="0.35">
      <c r="B126" t="s">
        <v>187</v>
      </c>
    </row>
    <row r="127" spans="2:4" x14ac:dyDescent="0.35">
      <c r="B127" t="s">
        <v>182</v>
      </c>
      <c r="C127" t="s">
        <v>659</v>
      </c>
      <c r="D127" t="s">
        <v>660</v>
      </c>
    </row>
    <row r="128" spans="2:4" x14ac:dyDescent="0.35">
      <c r="B128" t="s">
        <v>184</v>
      </c>
      <c r="C128">
        <v>2.3980000000000001</v>
      </c>
      <c r="D128">
        <v>2.3980000000000001</v>
      </c>
    </row>
    <row r="129" spans="2:4" x14ac:dyDescent="0.35">
      <c r="B129" t="s">
        <v>186</v>
      </c>
      <c r="C129">
        <v>2.1579999999999999</v>
      </c>
      <c r="D129">
        <v>2.1579999999999999</v>
      </c>
    </row>
    <row r="131" spans="2:4" x14ac:dyDescent="0.35">
      <c r="B131" t="s">
        <v>188</v>
      </c>
      <c r="D131" t="s">
        <v>177</v>
      </c>
    </row>
    <row r="132" spans="2:4" x14ac:dyDescent="0.35">
      <c r="B132" t="s">
        <v>189</v>
      </c>
      <c r="D132" t="s">
        <v>177</v>
      </c>
    </row>
    <row r="133" spans="2:4" x14ac:dyDescent="0.35">
      <c r="B133" t="s">
        <v>190</v>
      </c>
      <c r="D133" t="s">
        <v>177</v>
      </c>
    </row>
    <row r="134" spans="2:4" x14ac:dyDescent="0.35">
      <c r="B134" t="s">
        <v>191</v>
      </c>
      <c r="D134">
        <v>0.24935391562411541</v>
      </c>
    </row>
    <row r="136" spans="2:4" x14ac:dyDescent="0.35">
      <c r="B136" t="s">
        <v>192</v>
      </c>
    </row>
    <row r="141" spans="2:4" x14ac:dyDescent="0.35">
      <c r="B141" t="s">
        <v>193</v>
      </c>
    </row>
    <row r="142" spans="2:4" x14ac:dyDescent="0.35">
      <c r="B142" t="s">
        <v>945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60"/>
  <sheetViews>
    <sheetView workbookViewId="0"/>
  </sheetViews>
  <sheetFormatPr defaultRowHeight="14.5" x14ac:dyDescent="0.35"/>
  <sheetData>
    <row r="1" spans="1:9" x14ac:dyDescent="0.35">
      <c r="A1" t="s">
        <v>0</v>
      </c>
      <c r="I1" t="s">
        <v>1</v>
      </c>
    </row>
    <row r="2" spans="1:9" x14ac:dyDescent="0.35">
      <c r="A2" t="s">
        <v>946</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14</v>
      </c>
      <c r="C7" t="s">
        <v>15</v>
      </c>
      <c r="D7" t="s">
        <v>16</v>
      </c>
      <c r="E7">
        <v>1811705</v>
      </c>
      <c r="F7">
        <v>38147.260479999997</v>
      </c>
      <c r="G7">
        <v>7.9327090000000003E-2</v>
      </c>
    </row>
    <row r="8" spans="1:9" x14ac:dyDescent="0.35">
      <c r="A8">
        <v>2</v>
      </c>
      <c r="B8" t="s">
        <v>350</v>
      </c>
      <c r="C8" t="s">
        <v>351</v>
      </c>
      <c r="D8" t="s">
        <v>38</v>
      </c>
      <c r="E8">
        <v>3285248</v>
      </c>
      <c r="F8">
        <v>32563.378175999998</v>
      </c>
      <c r="G8">
        <v>6.7715419999999998E-2</v>
      </c>
    </row>
    <row r="9" spans="1:9" x14ac:dyDescent="0.35">
      <c r="A9">
        <v>3</v>
      </c>
      <c r="B9" t="s">
        <v>20</v>
      </c>
      <c r="C9" t="s">
        <v>21</v>
      </c>
      <c r="D9" t="s">
        <v>22</v>
      </c>
      <c r="E9">
        <v>1532287</v>
      </c>
      <c r="F9">
        <v>24063.035048000002</v>
      </c>
      <c r="G9">
        <v>5.0038989999999998E-2</v>
      </c>
    </row>
    <row r="10" spans="1:9" x14ac:dyDescent="0.35">
      <c r="A10">
        <v>4</v>
      </c>
      <c r="B10" t="s">
        <v>352</v>
      </c>
      <c r="C10" t="s">
        <v>353</v>
      </c>
      <c r="D10" t="s">
        <v>38</v>
      </c>
      <c r="E10">
        <v>1807958</v>
      </c>
      <c r="F10">
        <v>22950.218852000002</v>
      </c>
      <c r="G10">
        <v>4.7724900000000001E-2</v>
      </c>
    </row>
    <row r="11" spans="1:9" x14ac:dyDescent="0.35">
      <c r="A11">
        <v>5</v>
      </c>
      <c r="B11" t="s">
        <v>374</v>
      </c>
      <c r="C11" t="s">
        <v>375</v>
      </c>
      <c r="D11" t="s">
        <v>324</v>
      </c>
      <c r="E11">
        <v>7051129</v>
      </c>
      <c r="F11">
        <v>19605.664184500001</v>
      </c>
      <c r="G11">
        <v>4.0769909999999999E-2</v>
      </c>
    </row>
    <row r="12" spans="1:9" x14ac:dyDescent="0.35">
      <c r="A12">
        <v>6</v>
      </c>
      <c r="B12" t="s">
        <v>54</v>
      </c>
      <c r="C12" t="s">
        <v>55</v>
      </c>
      <c r="D12" t="s">
        <v>56</v>
      </c>
      <c r="E12">
        <v>1090073</v>
      </c>
      <c r="F12">
        <v>16021.892954000001</v>
      </c>
      <c r="G12">
        <v>3.3317470000000002E-2</v>
      </c>
    </row>
    <row r="13" spans="1:9" x14ac:dyDescent="0.35">
      <c r="A13">
        <v>7</v>
      </c>
      <c r="B13" t="s">
        <v>337</v>
      </c>
      <c r="C13" t="s">
        <v>338</v>
      </c>
      <c r="D13" t="s">
        <v>206</v>
      </c>
      <c r="E13">
        <v>1419940</v>
      </c>
      <c r="F13">
        <v>14145.442279999999</v>
      </c>
      <c r="G13">
        <v>2.9415400000000001E-2</v>
      </c>
    </row>
    <row r="14" spans="1:9" x14ac:dyDescent="0.35">
      <c r="A14">
        <v>8</v>
      </c>
      <c r="B14" t="s">
        <v>729</v>
      </c>
      <c r="C14" t="s">
        <v>730</v>
      </c>
      <c r="D14" t="s">
        <v>206</v>
      </c>
      <c r="E14">
        <v>677831</v>
      </c>
      <c r="F14">
        <v>13827.074569</v>
      </c>
      <c r="G14">
        <v>2.875335E-2</v>
      </c>
    </row>
    <row r="15" spans="1:9" x14ac:dyDescent="0.35">
      <c r="A15">
        <v>9</v>
      </c>
      <c r="B15" t="s">
        <v>329</v>
      </c>
      <c r="C15" t="s">
        <v>330</v>
      </c>
      <c r="D15" t="s">
        <v>324</v>
      </c>
      <c r="E15">
        <v>998415</v>
      </c>
      <c r="F15">
        <v>13314.862440000001</v>
      </c>
      <c r="G15">
        <v>2.7688210000000001E-2</v>
      </c>
    </row>
    <row r="16" spans="1:9" x14ac:dyDescent="0.35">
      <c r="A16">
        <v>10</v>
      </c>
      <c r="B16" t="s">
        <v>39</v>
      </c>
      <c r="C16" t="s">
        <v>40</v>
      </c>
      <c r="D16" t="s">
        <v>38</v>
      </c>
      <c r="E16">
        <v>982972</v>
      </c>
      <c r="F16">
        <v>13200.330988</v>
      </c>
      <c r="G16">
        <v>2.7450039999999998E-2</v>
      </c>
    </row>
    <row r="17" spans="1:7" x14ac:dyDescent="0.35">
      <c r="A17">
        <v>11</v>
      </c>
      <c r="B17" t="s">
        <v>112</v>
      </c>
      <c r="C17" t="s">
        <v>113</v>
      </c>
      <c r="D17" t="s">
        <v>114</v>
      </c>
      <c r="E17">
        <v>164533</v>
      </c>
      <c r="F17">
        <v>11587.236525</v>
      </c>
      <c r="G17">
        <v>2.4095620000000002E-2</v>
      </c>
    </row>
    <row r="18" spans="1:7" x14ac:dyDescent="0.35">
      <c r="A18">
        <v>12</v>
      </c>
      <c r="B18" t="s">
        <v>397</v>
      </c>
      <c r="C18" t="s">
        <v>398</v>
      </c>
      <c r="D18" t="s">
        <v>206</v>
      </c>
      <c r="E18">
        <v>1193281</v>
      </c>
      <c r="F18">
        <v>11354.068714999999</v>
      </c>
      <c r="G18">
        <v>2.3610740000000002E-2</v>
      </c>
    </row>
    <row r="19" spans="1:7" x14ac:dyDescent="0.35">
      <c r="A19">
        <v>13</v>
      </c>
      <c r="B19" t="s">
        <v>68</v>
      </c>
      <c r="C19" t="s">
        <v>69</v>
      </c>
      <c r="D19" t="s">
        <v>16</v>
      </c>
      <c r="E19">
        <v>2692219</v>
      </c>
      <c r="F19">
        <v>11273.667062500001</v>
      </c>
      <c r="G19">
        <v>2.344355E-2</v>
      </c>
    </row>
    <row r="20" spans="1:7" x14ac:dyDescent="0.35">
      <c r="A20">
        <v>14</v>
      </c>
      <c r="B20" t="s">
        <v>937</v>
      </c>
      <c r="C20" t="s">
        <v>938</v>
      </c>
      <c r="D20" t="s">
        <v>65</v>
      </c>
      <c r="E20">
        <v>275874</v>
      </c>
      <c r="F20">
        <v>11177.035110000001</v>
      </c>
      <c r="G20">
        <v>2.3242599999999999E-2</v>
      </c>
    </row>
    <row r="21" spans="1:7" x14ac:dyDescent="0.35">
      <c r="A21">
        <v>15</v>
      </c>
      <c r="B21" t="s">
        <v>390</v>
      </c>
      <c r="C21" t="s">
        <v>391</v>
      </c>
      <c r="D21" t="s">
        <v>230</v>
      </c>
      <c r="E21">
        <v>1608752</v>
      </c>
      <c r="F21">
        <v>11127.737584</v>
      </c>
      <c r="G21">
        <v>2.3140089999999999E-2</v>
      </c>
    </row>
    <row r="22" spans="1:7" x14ac:dyDescent="0.35">
      <c r="A22">
        <v>16</v>
      </c>
      <c r="B22" t="s">
        <v>368</v>
      </c>
      <c r="C22" t="s">
        <v>369</v>
      </c>
      <c r="D22" t="s">
        <v>274</v>
      </c>
      <c r="E22">
        <v>572917</v>
      </c>
      <c r="F22">
        <v>10309.068498000001</v>
      </c>
      <c r="G22">
        <v>2.1437669999999999E-2</v>
      </c>
    </row>
    <row r="23" spans="1:7" x14ac:dyDescent="0.35">
      <c r="A23">
        <v>17</v>
      </c>
      <c r="B23" t="s">
        <v>388</v>
      </c>
      <c r="C23" t="s">
        <v>389</v>
      </c>
      <c r="D23" t="s">
        <v>114</v>
      </c>
      <c r="E23">
        <v>1639820</v>
      </c>
      <c r="F23">
        <v>10115.229670000001</v>
      </c>
      <c r="G23">
        <v>2.1034580000000001E-2</v>
      </c>
    </row>
    <row r="24" spans="1:7" x14ac:dyDescent="0.35">
      <c r="A24">
        <v>18</v>
      </c>
      <c r="B24" t="s">
        <v>947</v>
      </c>
      <c r="C24" t="s">
        <v>948</v>
      </c>
      <c r="D24" t="s">
        <v>290</v>
      </c>
      <c r="E24">
        <v>1434034</v>
      </c>
      <c r="F24">
        <v>9582.9322049999992</v>
      </c>
      <c r="G24">
        <v>1.9927670000000001E-2</v>
      </c>
    </row>
    <row r="25" spans="1:7" x14ac:dyDescent="0.35">
      <c r="A25">
        <v>19</v>
      </c>
      <c r="B25" t="s">
        <v>224</v>
      </c>
      <c r="C25" t="s">
        <v>225</v>
      </c>
      <c r="D25" t="s">
        <v>97</v>
      </c>
      <c r="E25">
        <v>457842</v>
      </c>
      <c r="F25">
        <v>8486.1014699999996</v>
      </c>
      <c r="G25">
        <v>1.7646820000000001E-2</v>
      </c>
    </row>
    <row r="26" spans="1:7" x14ac:dyDescent="0.35">
      <c r="A26">
        <v>20</v>
      </c>
      <c r="B26" t="s">
        <v>401</v>
      </c>
      <c r="C26" t="s">
        <v>402</v>
      </c>
      <c r="D26" t="s">
        <v>38</v>
      </c>
      <c r="E26">
        <v>13917467</v>
      </c>
      <c r="F26">
        <v>7374.8657633000003</v>
      </c>
      <c r="G26">
        <v>1.5336010000000001E-2</v>
      </c>
    </row>
    <row r="27" spans="1:7" x14ac:dyDescent="0.35">
      <c r="A27">
        <v>21</v>
      </c>
      <c r="B27" t="s">
        <v>77</v>
      </c>
      <c r="C27" t="s">
        <v>78</v>
      </c>
      <c r="D27" t="s">
        <v>79</v>
      </c>
      <c r="E27">
        <v>145233</v>
      </c>
      <c r="F27">
        <v>7348.0636350000004</v>
      </c>
      <c r="G27">
        <v>1.528027E-2</v>
      </c>
    </row>
    <row r="28" spans="1:7" x14ac:dyDescent="0.35">
      <c r="A28">
        <v>22</v>
      </c>
      <c r="B28" t="s">
        <v>405</v>
      </c>
      <c r="C28" t="s">
        <v>406</v>
      </c>
      <c r="D28" t="s">
        <v>38</v>
      </c>
      <c r="E28">
        <v>1508495</v>
      </c>
      <c r="F28">
        <v>6925.5005449999999</v>
      </c>
      <c r="G28">
        <v>1.4401550000000001E-2</v>
      </c>
    </row>
    <row r="29" spans="1:7" x14ac:dyDescent="0.35">
      <c r="A29">
        <v>23</v>
      </c>
      <c r="B29" t="s">
        <v>949</v>
      </c>
      <c r="C29" t="s">
        <v>950</v>
      </c>
      <c r="D29" t="s">
        <v>240</v>
      </c>
      <c r="E29">
        <v>2477742</v>
      </c>
      <c r="F29">
        <v>6369.0358109999997</v>
      </c>
      <c r="G29">
        <v>1.324439E-2</v>
      </c>
    </row>
    <row r="30" spans="1:7" x14ac:dyDescent="0.35">
      <c r="A30">
        <v>24</v>
      </c>
      <c r="B30" t="s">
        <v>403</v>
      </c>
      <c r="C30" t="s">
        <v>404</v>
      </c>
      <c r="D30" t="s">
        <v>206</v>
      </c>
      <c r="E30">
        <v>351287</v>
      </c>
      <c r="F30">
        <v>6368.4820229999996</v>
      </c>
      <c r="G30">
        <v>1.324324E-2</v>
      </c>
    </row>
    <row r="31" spans="1:7" x14ac:dyDescent="0.35">
      <c r="A31">
        <v>25</v>
      </c>
      <c r="B31" t="s">
        <v>354</v>
      </c>
      <c r="C31" t="s">
        <v>355</v>
      </c>
      <c r="D31" t="s">
        <v>230</v>
      </c>
      <c r="E31">
        <v>359855</v>
      </c>
      <c r="F31">
        <v>5813.0976700000001</v>
      </c>
      <c r="G31">
        <v>1.208832E-2</v>
      </c>
    </row>
    <row r="32" spans="1:7" x14ac:dyDescent="0.35">
      <c r="A32">
        <v>26</v>
      </c>
      <c r="B32" t="s">
        <v>258</v>
      </c>
      <c r="C32" t="s">
        <v>259</v>
      </c>
      <c r="D32" t="s">
        <v>240</v>
      </c>
      <c r="E32">
        <v>663825</v>
      </c>
      <c r="F32">
        <v>5778.9285374999999</v>
      </c>
      <c r="G32">
        <v>1.201726E-2</v>
      </c>
    </row>
    <row r="33" spans="1:7" x14ac:dyDescent="0.35">
      <c r="A33">
        <v>27</v>
      </c>
      <c r="B33" t="s">
        <v>370</v>
      </c>
      <c r="C33" t="s">
        <v>371</v>
      </c>
      <c r="D33" t="s">
        <v>206</v>
      </c>
      <c r="E33">
        <v>333014</v>
      </c>
      <c r="F33">
        <v>5668.564308</v>
      </c>
      <c r="G33">
        <v>1.178776E-2</v>
      </c>
    </row>
    <row r="34" spans="1:7" x14ac:dyDescent="0.35">
      <c r="A34">
        <v>28</v>
      </c>
      <c r="B34" t="s">
        <v>818</v>
      </c>
      <c r="C34" t="s">
        <v>819</v>
      </c>
      <c r="D34" t="s">
        <v>230</v>
      </c>
      <c r="E34">
        <v>90405</v>
      </c>
      <c r="F34">
        <v>5481.7071749999996</v>
      </c>
      <c r="G34">
        <v>1.139919E-2</v>
      </c>
    </row>
    <row r="35" spans="1:7" x14ac:dyDescent="0.35">
      <c r="A35">
        <v>29</v>
      </c>
      <c r="B35" t="s">
        <v>98</v>
      </c>
      <c r="C35" t="s">
        <v>99</v>
      </c>
      <c r="D35" t="s">
        <v>79</v>
      </c>
      <c r="E35">
        <v>1343146</v>
      </c>
      <c r="F35">
        <v>5424.2951210000001</v>
      </c>
      <c r="G35">
        <v>1.12798E-2</v>
      </c>
    </row>
    <row r="36" spans="1:7" x14ac:dyDescent="0.35">
      <c r="A36">
        <v>30</v>
      </c>
      <c r="B36" t="s">
        <v>444</v>
      </c>
      <c r="C36" t="s">
        <v>445</v>
      </c>
      <c r="D36" t="s">
        <v>65</v>
      </c>
      <c r="E36">
        <v>1639084</v>
      </c>
      <c r="F36">
        <v>5211.4675779999998</v>
      </c>
      <c r="G36">
        <v>1.083723E-2</v>
      </c>
    </row>
    <row r="37" spans="1:7" x14ac:dyDescent="0.35">
      <c r="A37">
        <v>31</v>
      </c>
      <c r="B37" t="s">
        <v>951</v>
      </c>
      <c r="C37" t="s">
        <v>952</v>
      </c>
      <c r="D37" t="s">
        <v>252</v>
      </c>
      <c r="E37">
        <v>1100371</v>
      </c>
      <c r="F37">
        <v>5194.8514910000004</v>
      </c>
      <c r="G37">
        <v>1.080267E-2</v>
      </c>
    </row>
    <row r="38" spans="1:7" x14ac:dyDescent="0.35">
      <c r="A38">
        <v>32</v>
      </c>
      <c r="B38" t="s">
        <v>423</v>
      </c>
      <c r="C38" t="s">
        <v>424</v>
      </c>
      <c r="D38" t="s">
        <v>290</v>
      </c>
      <c r="E38">
        <v>1124763</v>
      </c>
      <c r="F38">
        <v>5167.7236034999996</v>
      </c>
      <c r="G38">
        <v>1.0746260000000001E-2</v>
      </c>
    </row>
    <row r="39" spans="1:7" x14ac:dyDescent="0.35">
      <c r="A39">
        <v>33</v>
      </c>
      <c r="B39" t="s">
        <v>419</v>
      </c>
      <c r="C39" t="s">
        <v>420</v>
      </c>
      <c r="D39" t="s">
        <v>235</v>
      </c>
      <c r="E39">
        <v>204748</v>
      </c>
      <c r="F39">
        <v>4799.2931200000003</v>
      </c>
      <c r="G39">
        <v>9.9801100000000004E-3</v>
      </c>
    </row>
    <row r="40" spans="1:7" x14ac:dyDescent="0.35">
      <c r="A40">
        <v>34</v>
      </c>
      <c r="B40" t="s">
        <v>356</v>
      </c>
      <c r="C40" t="s">
        <v>357</v>
      </c>
      <c r="D40" t="s">
        <v>38</v>
      </c>
      <c r="E40">
        <v>216759</v>
      </c>
      <c r="F40">
        <v>4771.0823490000002</v>
      </c>
      <c r="G40">
        <v>9.9214500000000001E-3</v>
      </c>
    </row>
    <row r="41" spans="1:7" x14ac:dyDescent="0.35">
      <c r="A41">
        <v>35</v>
      </c>
      <c r="B41" t="s">
        <v>953</v>
      </c>
      <c r="C41" t="s">
        <v>954</v>
      </c>
      <c r="D41" t="s">
        <v>38</v>
      </c>
      <c r="E41">
        <v>3168712</v>
      </c>
      <c r="F41">
        <v>4620.6158384</v>
      </c>
      <c r="G41">
        <v>9.6085500000000004E-3</v>
      </c>
    </row>
    <row r="42" spans="1:7" x14ac:dyDescent="0.35">
      <c r="A42">
        <v>36</v>
      </c>
      <c r="B42" t="s">
        <v>715</v>
      </c>
      <c r="C42" t="s">
        <v>716</v>
      </c>
      <c r="D42" t="s">
        <v>206</v>
      </c>
      <c r="E42">
        <v>1260897</v>
      </c>
      <c r="F42">
        <v>4498.8804959999998</v>
      </c>
      <c r="G42">
        <v>9.3554099999999998E-3</v>
      </c>
    </row>
    <row r="43" spans="1:7" x14ac:dyDescent="0.35">
      <c r="A43">
        <v>37</v>
      </c>
      <c r="B43" t="s">
        <v>409</v>
      </c>
      <c r="C43" t="s">
        <v>410</v>
      </c>
      <c r="D43" t="s">
        <v>38</v>
      </c>
      <c r="E43">
        <v>7120524</v>
      </c>
      <c r="F43">
        <v>4485.2180675999998</v>
      </c>
      <c r="G43">
        <v>9.3269900000000003E-3</v>
      </c>
    </row>
    <row r="44" spans="1:7" x14ac:dyDescent="0.35">
      <c r="A44">
        <v>38</v>
      </c>
      <c r="B44" t="s">
        <v>429</v>
      </c>
      <c r="C44" t="s">
        <v>430</v>
      </c>
      <c r="D44" t="s">
        <v>274</v>
      </c>
      <c r="E44">
        <v>1096915</v>
      </c>
      <c r="F44">
        <v>4437.5696324999999</v>
      </c>
      <c r="G44">
        <v>9.2279100000000006E-3</v>
      </c>
    </row>
    <row r="45" spans="1:7" x14ac:dyDescent="0.35">
      <c r="A45">
        <v>39</v>
      </c>
      <c r="B45" t="s">
        <v>516</v>
      </c>
      <c r="C45" t="s">
        <v>517</v>
      </c>
      <c r="D45" t="s">
        <v>230</v>
      </c>
      <c r="E45">
        <v>275867</v>
      </c>
      <c r="F45">
        <v>4388.7681030000003</v>
      </c>
      <c r="G45">
        <v>9.1264299999999996E-3</v>
      </c>
    </row>
    <row r="46" spans="1:7" x14ac:dyDescent="0.35">
      <c r="A46">
        <v>40</v>
      </c>
      <c r="B46" t="s">
        <v>228</v>
      </c>
      <c r="C46" t="s">
        <v>229</v>
      </c>
      <c r="D46" t="s">
        <v>230</v>
      </c>
      <c r="E46">
        <v>257972</v>
      </c>
      <c r="F46">
        <v>4290.0743599999996</v>
      </c>
      <c r="G46">
        <v>8.9211900000000007E-3</v>
      </c>
    </row>
    <row r="47" spans="1:7" x14ac:dyDescent="0.35">
      <c r="A47">
        <v>41</v>
      </c>
      <c r="B47" t="s">
        <v>452</v>
      </c>
      <c r="C47" t="s">
        <v>453</v>
      </c>
      <c r="D47" t="s">
        <v>235</v>
      </c>
      <c r="E47">
        <v>369884</v>
      </c>
      <c r="F47">
        <v>4177.8397800000002</v>
      </c>
      <c r="G47">
        <v>8.6878000000000007E-3</v>
      </c>
    </row>
    <row r="48" spans="1:7" x14ac:dyDescent="0.35">
      <c r="A48">
        <v>42</v>
      </c>
      <c r="B48" t="s">
        <v>431</v>
      </c>
      <c r="C48" t="s">
        <v>432</v>
      </c>
      <c r="D48" t="s">
        <v>240</v>
      </c>
      <c r="E48">
        <v>717133</v>
      </c>
      <c r="F48">
        <v>4019.8890314999999</v>
      </c>
      <c r="G48">
        <v>8.3593399999999998E-3</v>
      </c>
    </row>
    <row r="49" spans="1:7" x14ac:dyDescent="0.35">
      <c r="A49">
        <v>43</v>
      </c>
      <c r="B49" t="s">
        <v>897</v>
      </c>
      <c r="C49" t="s">
        <v>898</v>
      </c>
      <c r="D49" t="s">
        <v>114</v>
      </c>
      <c r="E49">
        <v>206251</v>
      </c>
      <c r="F49">
        <v>3978.3755390000001</v>
      </c>
      <c r="G49">
        <v>8.2730200000000007E-3</v>
      </c>
    </row>
    <row r="50" spans="1:7" x14ac:dyDescent="0.35">
      <c r="A50">
        <v>44</v>
      </c>
      <c r="B50" t="s">
        <v>889</v>
      </c>
      <c r="C50" t="s">
        <v>890</v>
      </c>
      <c r="D50" t="s">
        <v>206</v>
      </c>
      <c r="E50">
        <v>265123</v>
      </c>
      <c r="F50">
        <v>3881.4007200000001</v>
      </c>
      <c r="G50">
        <v>8.0713599999999996E-3</v>
      </c>
    </row>
    <row r="51" spans="1:7" x14ac:dyDescent="0.35">
      <c r="A51">
        <v>45</v>
      </c>
      <c r="B51" t="s">
        <v>221</v>
      </c>
      <c r="C51" t="s">
        <v>222</v>
      </c>
      <c r="D51" t="s">
        <v>223</v>
      </c>
      <c r="E51">
        <v>208079</v>
      </c>
      <c r="F51">
        <v>3798.6902239999999</v>
      </c>
      <c r="G51">
        <v>7.8993599999999994E-3</v>
      </c>
    </row>
    <row r="52" spans="1:7" x14ac:dyDescent="0.35">
      <c r="A52">
        <v>46</v>
      </c>
      <c r="B52" t="s">
        <v>458</v>
      </c>
      <c r="C52" t="s">
        <v>459</v>
      </c>
      <c r="D52" t="s">
        <v>460</v>
      </c>
      <c r="E52">
        <v>352255</v>
      </c>
      <c r="F52">
        <v>3576.09276</v>
      </c>
      <c r="G52">
        <v>7.4364699999999997E-3</v>
      </c>
    </row>
    <row r="53" spans="1:7" x14ac:dyDescent="0.35">
      <c r="A53">
        <v>47</v>
      </c>
      <c r="B53" t="s">
        <v>442</v>
      </c>
      <c r="C53" t="s">
        <v>443</v>
      </c>
      <c r="D53" t="s">
        <v>235</v>
      </c>
      <c r="E53">
        <v>130000</v>
      </c>
      <c r="F53">
        <v>3312.92</v>
      </c>
      <c r="G53">
        <v>6.8892099999999998E-3</v>
      </c>
    </row>
    <row r="54" spans="1:7" x14ac:dyDescent="0.35">
      <c r="A54">
        <v>48</v>
      </c>
      <c r="B54" t="s">
        <v>955</v>
      </c>
      <c r="C54" t="s">
        <v>956</v>
      </c>
      <c r="D54" t="s">
        <v>526</v>
      </c>
      <c r="E54">
        <v>908373</v>
      </c>
      <c r="F54">
        <v>3028.515582</v>
      </c>
      <c r="G54">
        <v>6.2977900000000002E-3</v>
      </c>
    </row>
    <row r="55" spans="1:7" x14ac:dyDescent="0.35">
      <c r="A55">
        <v>49</v>
      </c>
      <c r="B55" t="s">
        <v>226</v>
      </c>
      <c r="C55" t="s">
        <v>227</v>
      </c>
      <c r="D55" t="s">
        <v>114</v>
      </c>
      <c r="E55">
        <v>331338</v>
      </c>
      <c r="F55">
        <v>2929.02792</v>
      </c>
      <c r="G55">
        <v>6.0908999999999998E-3</v>
      </c>
    </row>
    <row r="56" spans="1:7" x14ac:dyDescent="0.35">
      <c r="A56">
        <v>50</v>
      </c>
      <c r="B56" t="s">
        <v>286</v>
      </c>
      <c r="C56" t="s">
        <v>287</v>
      </c>
      <c r="D56" t="s">
        <v>38</v>
      </c>
      <c r="E56">
        <v>332975</v>
      </c>
      <c r="F56">
        <v>2877.5699500000001</v>
      </c>
      <c r="G56">
        <v>5.9839000000000003E-3</v>
      </c>
    </row>
    <row r="57" spans="1:7" x14ac:dyDescent="0.35">
      <c r="A57">
        <v>51</v>
      </c>
      <c r="B57" t="s">
        <v>233</v>
      </c>
      <c r="C57" t="s">
        <v>234</v>
      </c>
      <c r="D57" t="s">
        <v>235</v>
      </c>
      <c r="E57">
        <v>94906</v>
      </c>
      <c r="F57">
        <v>2498.1157320000002</v>
      </c>
      <c r="G57">
        <v>5.1948200000000002E-3</v>
      </c>
    </row>
    <row r="58" spans="1:7" x14ac:dyDescent="0.35">
      <c r="A58">
        <v>52</v>
      </c>
      <c r="B58" t="s">
        <v>928</v>
      </c>
      <c r="C58" t="s">
        <v>929</v>
      </c>
      <c r="D58" t="s">
        <v>324</v>
      </c>
      <c r="E58">
        <v>354103</v>
      </c>
      <c r="F58">
        <v>1367.7228375</v>
      </c>
      <c r="G58">
        <v>2.84418E-3</v>
      </c>
    </row>
    <row r="59" spans="1:7" x14ac:dyDescent="0.35">
      <c r="C59" t="s">
        <v>139</v>
      </c>
      <c r="F59">
        <v>456716.48211480002</v>
      </c>
      <c r="G59">
        <v>0.94974026</v>
      </c>
    </row>
    <row r="61" spans="1:7" x14ac:dyDescent="0.35">
      <c r="C61" t="s">
        <v>140</v>
      </c>
    </row>
    <row r="62" spans="1:7" x14ac:dyDescent="0.35">
      <c r="A62">
        <v>1</v>
      </c>
      <c r="B62" t="s">
        <v>957</v>
      </c>
      <c r="C62" t="s">
        <v>958</v>
      </c>
      <c r="D62" t="s">
        <v>240</v>
      </c>
      <c r="E62">
        <v>74187</v>
      </c>
      <c r="F62">
        <v>5478.1268223750003</v>
      </c>
      <c r="G62">
        <v>1.1391739999999999E-2</v>
      </c>
    </row>
    <row r="63" spans="1:7" x14ac:dyDescent="0.35">
      <c r="C63" t="s">
        <v>139</v>
      </c>
      <c r="F63">
        <v>5478.1268223750003</v>
      </c>
      <c r="G63">
        <v>1.1391739999999999E-2</v>
      </c>
    </row>
    <row r="65" spans="3:7" x14ac:dyDescent="0.35">
      <c r="C65" t="s">
        <v>142</v>
      </c>
    </row>
    <row r="66" spans="3:7" x14ac:dyDescent="0.35">
      <c r="C66" t="s">
        <v>139</v>
      </c>
      <c r="F66" t="s">
        <v>141</v>
      </c>
      <c r="G66">
        <v>0</v>
      </c>
    </row>
    <row r="68" spans="3:7" x14ac:dyDescent="0.35">
      <c r="C68" t="s">
        <v>147</v>
      </c>
    </row>
    <row r="69" spans="3:7" x14ac:dyDescent="0.35">
      <c r="C69" t="s">
        <v>139</v>
      </c>
      <c r="F69" t="s">
        <v>141</v>
      </c>
      <c r="G69">
        <v>0</v>
      </c>
    </row>
    <row r="71" spans="3:7" x14ac:dyDescent="0.35">
      <c r="C71" t="s">
        <v>148</v>
      </c>
    </row>
    <row r="72" spans="3:7" x14ac:dyDescent="0.35">
      <c r="C72" t="s">
        <v>139</v>
      </c>
      <c r="F72" t="s">
        <v>141</v>
      </c>
      <c r="G72">
        <v>0</v>
      </c>
    </row>
    <row r="74" spans="3:7" x14ac:dyDescent="0.35">
      <c r="C74" t="s">
        <v>149</v>
      </c>
    </row>
    <row r="75" spans="3:7" x14ac:dyDescent="0.35">
      <c r="C75" t="s">
        <v>139</v>
      </c>
      <c r="F75" t="s">
        <v>141</v>
      </c>
      <c r="G75">
        <v>0</v>
      </c>
    </row>
    <row r="77" spans="3:7" x14ac:dyDescent="0.35">
      <c r="C77" t="s">
        <v>150</v>
      </c>
      <c r="F77">
        <v>462194.60893717501</v>
      </c>
      <c r="G77">
        <v>0.96113199999999999</v>
      </c>
    </row>
    <row r="79" spans="3:7" x14ac:dyDescent="0.35">
      <c r="C79" t="s">
        <v>151</v>
      </c>
    </row>
    <row r="80" spans="3:7" x14ac:dyDescent="0.35">
      <c r="C80" t="s">
        <v>13</v>
      </c>
    </row>
    <row r="81" spans="3:7" x14ac:dyDescent="0.35">
      <c r="C81" t="s">
        <v>139</v>
      </c>
      <c r="F81" t="s">
        <v>141</v>
      </c>
      <c r="G81">
        <v>0</v>
      </c>
    </row>
    <row r="83" spans="3:7" x14ac:dyDescent="0.35">
      <c r="C83" t="s">
        <v>152</v>
      </c>
    </row>
    <row r="84" spans="3:7" x14ac:dyDescent="0.35">
      <c r="C84" t="s">
        <v>139</v>
      </c>
      <c r="F84" t="s">
        <v>141</v>
      </c>
      <c r="G84">
        <v>0</v>
      </c>
    </row>
    <row r="86" spans="3:7" x14ac:dyDescent="0.35">
      <c r="C86" t="s">
        <v>153</v>
      </c>
    </row>
    <row r="87" spans="3:7" x14ac:dyDescent="0.35">
      <c r="C87" t="s">
        <v>139</v>
      </c>
      <c r="F87" t="s">
        <v>141</v>
      </c>
      <c r="G87">
        <v>0</v>
      </c>
    </row>
    <row r="89" spans="3:7" x14ac:dyDescent="0.35">
      <c r="C89" t="s">
        <v>154</v>
      </c>
    </row>
    <row r="90" spans="3:7" x14ac:dyDescent="0.35">
      <c r="C90" t="s">
        <v>139</v>
      </c>
      <c r="F90" t="s">
        <v>141</v>
      </c>
      <c r="G90">
        <v>0</v>
      </c>
    </row>
    <row r="92" spans="3:7" x14ac:dyDescent="0.35">
      <c r="C92" t="s">
        <v>155</v>
      </c>
      <c r="F92">
        <v>0</v>
      </c>
      <c r="G92">
        <v>0</v>
      </c>
    </row>
    <row r="94" spans="3:7" x14ac:dyDescent="0.35">
      <c r="C94" t="s">
        <v>156</v>
      </c>
    </row>
    <row r="95" spans="3:7" x14ac:dyDescent="0.35">
      <c r="C95" t="s">
        <v>157</v>
      </c>
    </row>
    <row r="96" spans="3:7" x14ac:dyDescent="0.35">
      <c r="C96" t="s">
        <v>139</v>
      </c>
      <c r="F96" t="s">
        <v>141</v>
      </c>
      <c r="G96">
        <v>0</v>
      </c>
    </row>
    <row r="98" spans="1:8" x14ac:dyDescent="0.35">
      <c r="C98" t="s">
        <v>158</v>
      </c>
    </row>
    <row r="99" spans="1:8" x14ac:dyDescent="0.35">
      <c r="C99" t="s">
        <v>139</v>
      </c>
      <c r="F99" t="s">
        <v>141</v>
      </c>
      <c r="G99">
        <v>0</v>
      </c>
    </row>
    <row r="101" spans="1:8" x14ac:dyDescent="0.35">
      <c r="C101" t="s">
        <v>159</v>
      </c>
    </row>
    <row r="102" spans="1:8" x14ac:dyDescent="0.35">
      <c r="C102" t="s">
        <v>139</v>
      </c>
      <c r="F102" t="s">
        <v>141</v>
      </c>
      <c r="G102">
        <v>0</v>
      </c>
    </row>
    <row r="104" spans="1:8" x14ac:dyDescent="0.35">
      <c r="C104" t="s">
        <v>160</v>
      </c>
    </row>
    <row r="105" spans="1:8" x14ac:dyDescent="0.35">
      <c r="A105">
        <v>1</v>
      </c>
      <c r="C105" t="s">
        <v>161</v>
      </c>
      <c r="F105">
        <v>10051.597523017999</v>
      </c>
      <c r="G105">
        <v>2.0902259999999999E-2</v>
      </c>
      <c r="H105">
        <v>5.42</v>
      </c>
    </row>
    <row r="106" spans="1:8" x14ac:dyDescent="0.35">
      <c r="C106" t="s">
        <v>139</v>
      </c>
      <c r="F106">
        <v>10051.597523017999</v>
      </c>
      <c r="G106">
        <v>2.0902259999999999E-2</v>
      </c>
    </row>
    <row r="108" spans="1:8" x14ac:dyDescent="0.35">
      <c r="C108" t="s">
        <v>162</v>
      </c>
      <c r="F108">
        <v>10051.597523017999</v>
      </c>
      <c r="G108">
        <v>2.0902259999999999E-2</v>
      </c>
    </row>
    <row r="110" spans="1:8" x14ac:dyDescent="0.35">
      <c r="C110" t="s">
        <v>163</v>
      </c>
    </row>
    <row r="111" spans="1:8" x14ac:dyDescent="0.35">
      <c r="C111" t="s">
        <v>164</v>
      </c>
    </row>
    <row r="112" spans="1:8" x14ac:dyDescent="0.35">
      <c r="A112">
        <v>1</v>
      </c>
      <c r="B112" t="s">
        <v>478</v>
      </c>
      <c r="C112" t="s">
        <v>479</v>
      </c>
      <c r="E112">
        <v>33026302.7575</v>
      </c>
      <c r="F112">
        <v>5150.4188887290002</v>
      </c>
      <c r="G112">
        <v>1.0710280000000001E-2</v>
      </c>
    </row>
    <row r="113" spans="1:7" x14ac:dyDescent="0.35">
      <c r="A113">
        <v>2</v>
      </c>
      <c r="B113" t="s">
        <v>344</v>
      </c>
      <c r="C113" t="s">
        <v>383</v>
      </c>
      <c r="E113">
        <v>208646.36300000001</v>
      </c>
      <c r="F113">
        <v>5005.3277672869999</v>
      </c>
      <c r="G113">
        <v>1.0408560000000001E-2</v>
      </c>
    </row>
    <row r="114" spans="1:7" x14ac:dyDescent="0.35">
      <c r="C114" t="s">
        <v>139</v>
      </c>
      <c r="F114">
        <v>10155.746656015999</v>
      </c>
      <c r="G114">
        <v>2.111884E-2</v>
      </c>
    </row>
    <row r="116" spans="1:7" x14ac:dyDescent="0.35">
      <c r="C116" t="s">
        <v>165</v>
      </c>
    </row>
    <row r="117" spans="1:7" x14ac:dyDescent="0.35">
      <c r="C117" t="s">
        <v>166</v>
      </c>
    </row>
    <row r="118" spans="1:7" x14ac:dyDescent="0.35">
      <c r="C118" t="s">
        <v>139</v>
      </c>
      <c r="F118" t="s">
        <v>141</v>
      </c>
      <c r="G118">
        <v>0</v>
      </c>
    </row>
    <row r="120" spans="1:7" x14ac:dyDescent="0.35">
      <c r="C120" t="s">
        <v>167</v>
      </c>
    </row>
    <row r="121" spans="1:7" x14ac:dyDescent="0.35">
      <c r="C121" t="s">
        <v>139</v>
      </c>
      <c r="F121" t="s">
        <v>141</v>
      </c>
      <c r="G121">
        <v>0</v>
      </c>
    </row>
    <row r="123" spans="1:7" x14ac:dyDescent="0.35">
      <c r="C123" t="s">
        <v>480</v>
      </c>
      <c r="F123">
        <v>112.8862532</v>
      </c>
      <c r="G123">
        <v>2.3474999999999999E-4</v>
      </c>
    </row>
    <row r="124" spans="1:7" x14ac:dyDescent="0.35">
      <c r="C124" t="s">
        <v>168</v>
      </c>
      <c r="F124">
        <v>-1629.15600045</v>
      </c>
      <c r="G124">
        <v>-3.3878200000000002E-3</v>
      </c>
    </row>
    <row r="125" spans="1:7" x14ac:dyDescent="0.35">
      <c r="C125" t="s">
        <v>169</v>
      </c>
      <c r="F125">
        <v>480885.683368959</v>
      </c>
      <c r="G125">
        <v>1.00000003</v>
      </c>
    </row>
    <row r="127" spans="1:7" x14ac:dyDescent="0.35">
      <c r="B127" t="s">
        <v>170</v>
      </c>
    </row>
    <row r="128" spans="1:7" x14ac:dyDescent="0.35">
      <c r="B128" t="s">
        <v>171</v>
      </c>
    </row>
    <row r="129" spans="2:4" x14ac:dyDescent="0.35">
      <c r="B129" t="s">
        <v>172</v>
      </c>
    </row>
    <row r="130" spans="2:4" x14ac:dyDescent="0.35">
      <c r="B130" t="s">
        <v>173</v>
      </c>
    </row>
    <row r="131" spans="2:4" x14ac:dyDescent="0.35">
      <c r="B131" t="s">
        <v>174</v>
      </c>
    </row>
    <row r="133" spans="2:4" x14ac:dyDescent="0.35">
      <c r="B133" t="s">
        <v>175</v>
      </c>
    </row>
    <row r="134" spans="2:4" x14ac:dyDescent="0.35">
      <c r="B134" t="s">
        <v>176</v>
      </c>
      <c r="D134" t="s">
        <v>177</v>
      </c>
    </row>
    <row r="135" spans="2:4" x14ac:dyDescent="0.35">
      <c r="B135" t="s">
        <v>178</v>
      </c>
      <c r="D135" t="s">
        <v>177</v>
      </c>
    </row>
    <row r="136" spans="2:4" x14ac:dyDescent="0.35">
      <c r="B136" t="s">
        <v>179</v>
      </c>
    </row>
    <row r="137" spans="2:4" x14ac:dyDescent="0.35">
      <c r="C137" t="s">
        <v>180</v>
      </c>
      <c r="D137" t="s">
        <v>181</v>
      </c>
    </row>
    <row r="138" spans="2:4" x14ac:dyDescent="0.35">
      <c r="B138" t="s">
        <v>182</v>
      </c>
      <c r="C138" s="1">
        <v>45991</v>
      </c>
      <c r="D138" s="1">
        <v>46022</v>
      </c>
    </row>
    <row r="139" spans="2:4" x14ac:dyDescent="0.35">
      <c r="B139" t="s">
        <v>183</v>
      </c>
      <c r="C139">
        <v>39.453499999999998</v>
      </c>
      <c r="D139">
        <v>39.359499999999997</v>
      </c>
    </row>
    <row r="140" spans="2:4" x14ac:dyDescent="0.35">
      <c r="B140" t="s">
        <v>184</v>
      </c>
      <c r="C140">
        <v>27.078800000000001</v>
      </c>
      <c r="D140">
        <v>25.226299999999998</v>
      </c>
    </row>
    <row r="141" spans="2:4" x14ac:dyDescent="0.35">
      <c r="B141" t="s">
        <v>185</v>
      </c>
      <c r="C141">
        <v>36.296199999999999</v>
      </c>
      <c r="D141">
        <v>36.174199999999999</v>
      </c>
    </row>
    <row r="142" spans="2:4" x14ac:dyDescent="0.35">
      <c r="B142" t="s">
        <v>186</v>
      </c>
      <c r="C142">
        <v>24.884599999999999</v>
      </c>
      <c r="D142">
        <v>23.144300000000001</v>
      </c>
    </row>
    <row r="144" spans="2:4" x14ac:dyDescent="0.35">
      <c r="B144" t="s">
        <v>187</v>
      </c>
    </row>
    <row r="145" spans="2:4" x14ac:dyDescent="0.35">
      <c r="B145" t="s">
        <v>182</v>
      </c>
      <c r="C145" t="s">
        <v>659</v>
      </c>
      <c r="D145" t="s">
        <v>660</v>
      </c>
    </row>
    <row r="146" spans="2:4" x14ac:dyDescent="0.35">
      <c r="B146" t="s">
        <v>184</v>
      </c>
      <c r="C146">
        <v>1.784</v>
      </c>
      <c r="D146" t="s">
        <v>806</v>
      </c>
    </row>
    <row r="147" spans="2:4" x14ac:dyDescent="0.35">
      <c r="B147" t="s">
        <v>186</v>
      </c>
      <c r="C147">
        <v>1.6539999999999999</v>
      </c>
      <c r="D147">
        <v>1.6539999999999999</v>
      </c>
    </row>
    <row r="149" spans="2:4" x14ac:dyDescent="0.35">
      <c r="B149" t="s">
        <v>188</v>
      </c>
      <c r="D149" t="s">
        <v>177</v>
      </c>
    </row>
    <row r="150" spans="2:4" x14ac:dyDescent="0.35">
      <c r="B150" t="s">
        <v>189</v>
      </c>
      <c r="D150" t="str">
        <f>"Rs. "&amp;TEXT(F63,"0.00")&amp;" Lacs"</f>
        <v>Rs. 5478.13 Lacs</v>
      </c>
    </row>
    <row r="151" spans="2:4" x14ac:dyDescent="0.35">
      <c r="B151" t="s">
        <v>190</v>
      </c>
      <c r="D151" t="s">
        <v>177</v>
      </c>
    </row>
    <row r="152" spans="2:4" x14ac:dyDescent="0.35">
      <c r="B152" t="s">
        <v>191</v>
      </c>
      <c r="D152">
        <v>0.52871921044973691</v>
      </c>
    </row>
    <row r="154" spans="2:4" x14ac:dyDescent="0.35">
      <c r="B154" t="s">
        <v>192</v>
      </c>
    </row>
    <row r="159" spans="2:4" x14ac:dyDescent="0.35">
      <c r="B159" t="s">
        <v>193</v>
      </c>
      <c r="D159" t="s">
        <v>346</v>
      </c>
    </row>
    <row r="160" spans="2:4" x14ac:dyDescent="0.35">
      <c r="B160" t="s">
        <v>959</v>
      </c>
      <c r="D160" t="s">
        <v>960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0"/>
  <sheetViews>
    <sheetView workbookViewId="0"/>
  </sheetViews>
  <sheetFormatPr defaultRowHeight="14.5" x14ac:dyDescent="0.35"/>
  <sheetData>
    <row r="1" spans="1:9" x14ac:dyDescent="0.35">
      <c r="A1" t="s">
        <v>0</v>
      </c>
      <c r="I1" t="s">
        <v>1</v>
      </c>
    </row>
    <row r="2" spans="1:9" x14ac:dyDescent="0.35">
      <c r="A2" t="s">
        <v>961</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1221000</v>
      </c>
      <c r="F7">
        <v>12102.552</v>
      </c>
      <c r="G7">
        <v>8.1947000000000006E-2</v>
      </c>
    </row>
    <row r="8" spans="1:9" x14ac:dyDescent="0.35">
      <c r="A8">
        <v>2</v>
      </c>
      <c r="B8" t="s">
        <v>20</v>
      </c>
      <c r="C8" t="s">
        <v>21</v>
      </c>
      <c r="D8" t="s">
        <v>22</v>
      </c>
      <c r="E8">
        <v>592000</v>
      </c>
      <c r="F8">
        <v>9296.768</v>
      </c>
      <c r="G8">
        <v>6.2948889999999993E-2</v>
      </c>
    </row>
    <row r="9" spans="1:9" x14ac:dyDescent="0.35">
      <c r="A9">
        <v>3</v>
      </c>
      <c r="B9" t="s">
        <v>39</v>
      </c>
      <c r="C9" t="s">
        <v>40</v>
      </c>
      <c r="D9" t="s">
        <v>38</v>
      </c>
      <c r="E9">
        <v>529000</v>
      </c>
      <c r="F9">
        <v>7103.9409999999998</v>
      </c>
      <c r="G9">
        <v>4.8101150000000002E-2</v>
      </c>
    </row>
    <row r="10" spans="1:9" x14ac:dyDescent="0.35">
      <c r="A10">
        <v>4</v>
      </c>
      <c r="B10" t="s">
        <v>352</v>
      </c>
      <c r="C10" t="s">
        <v>353</v>
      </c>
      <c r="D10" t="s">
        <v>38</v>
      </c>
      <c r="E10">
        <v>520000</v>
      </c>
      <c r="F10">
        <v>6600.88</v>
      </c>
      <c r="G10">
        <v>4.4694900000000003E-2</v>
      </c>
    </row>
    <row r="11" spans="1:9" x14ac:dyDescent="0.35">
      <c r="A11">
        <v>5</v>
      </c>
      <c r="B11" t="s">
        <v>14</v>
      </c>
      <c r="C11" t="s">
        <v>15</v>
      </c>
      <c r="D11" t="s">
        <v>16</v>
      </c>
      <c r="E11">
        <v>310165</v>
      </c>
      <c r="F11">
        <v>6530.8342400000001</v>
      </c>
      <c r="G11">
        <v>4.422061E-2</v>
      </c>
    </row>
    <row r="12" spans="1:9" x14ac:dyDescent="0.35">
      <c r="A12">
        <v>6</v>
      </c>
      <c r="B12" t="s">
        <v>354</v>
      </c>
      <c r="C12" t="s">
        <v>355</v>
      </c>
      <c r="D12" t="s">
        <v>230</v>
      </c>
      <c r="E12">
        <v>400000</v>
      </c>
      <c r="F12">
        <v>6461.6</v>
      </c>
      <c r="G12">
        <v>4.3751819999999997E-2</v>
      </c>
    </row>
    <row r="13" spans="1:9" x14ac:dyDescent="0.35">
      <c r="A13">
        <v>7</v>
      </c>
      <c r="B13" t="s">
        <v>36</v>
      </c>
      <c r="C13" t="s">
        <v>37</v>
      </c>
      <c r="D13" t="s">
        <v>38</v>
      </c>
      <c r="E13">
        <v>595000</v>
      </c>
      <c r="F13">
        <v>5844.09</v>
      </c>
      <c r="G13">
        <v>3.9570630000000002E-2</v>
      </c>
    </row>
    <row r="14" spans="1:9" x14ac:dyDescent="0.35">
      <c r="A14">
        <v>8</v>
      </c>
      <c r="B14" t="s">
        <v>17</v>
      </c>
      <c r="C14" t="s">
        <v>18</v>
      </c>
      <c r="D14" t="s">
        <v>19</v>
      </c>
      <c r="E14">
        <v>138000</v>
      </c>
      <c r="F14">
        <v>5635.23</v>
      </c>
      <c r="G14">
        <v>3.8156429999999998E-2</v>
      </c>
    </row>
    <row r="15" spans="1:9" x14ac:dyDescent="0.35">
      <c r="A15">
        <v>9</v>
      </c>
      <c r="B15" t="s">
        <v>703</v>
      </c>
      <c r="C15" t="s">
        <v>704</v>
      </c>
      <c r="D15" t="s">
        <v>493</v>
      </c>
      <c r="E15">
        <v>1210000</v>
      </c>
      <c r="F15">
        <v>4876.3</v>
      </c>
      <c r="G15">
        <v>3.3017680000000001E-2</v>
      </c>
    </row>
    <row r="16" spans="1:9" x14ac:dyDescent="0.35">
      <c r="A16">
        <v>10</v>
      </c>
      <c r="B16" t="s">
        <v>924</v>
      </c>
      <c r="C16" t="s">
        <v>925</v>
      </c>
      <c r="D16" t="s">
        <v>252</v>
      </c>
      <c r="E16">
        <v>19735</v>
      </c>
      <c r="F16">
        <v>4058.7001</v>
      </c>
      <c r="G16">
        <v>2.748167E-2</v>
      </c>
    </row>
    <row r="17" spans="1:7" x14ac:dyDescent="0.35">
      <c r="A17">
        <v>11</v>
      </c>
      <c r="B17" t="s">
        <v>23</v>
      </c>
      <c r="C17" t="s">
        <v>24</v>
      </c>
      <c r="D17" t="s">
        <v>25</v>
      </c>
      <c r="E17">
        <v>1215766</v>
      </c>
      <c r="F17">
        <v>4006.556853</v>
      </c>
      <c r="G17">
        <v>2.7128599999999999E-2</v>
      </c>
    </row>
    <row r="18" spans="1:7" x14ac:dyDescent="0.35">
      <c r="A18">
        <v>12</v>
      </c>
      <c r="B18" t="s">
        <v>26</v>
      </c>
      <c r="C18" t="s">
        <v>27</v>
      </c>
      <c r="D18" t="s">
        <v>28</v>
      </c>
      <c r="E18">
        <v>32000</v>
      </c>
      <c r="F18">
        <v>3770.88</v>
      </c>
      <c r="G18">
        <v>2.5532820000000001E-2</v>
      </c>
    </row>
    <row r="19" spans="1:7" x14ac:dyDescent="0.35">
      <c r="A19">
        <v>13</v>
      </c>
      <c r="B19" t="s">
        <v>719</v>
      </c>
      <c r="C19" t="s">
        <v>720</v>
      </c>
      <c r="D19" t="s">
        <v>243</v>
      </c>
      <c r="E19">
        <v>236775</v>
      </c>
      <c r="F19">
        <v>3578.3805750000001</v>
      </c>
      <c r="G19">
        <v>2.4229400000000002E-2</v>
      </c>
    </row>
    <row r="20" spans="1:7" x14ac:dyDescent="0.35">
      <c r="A20">
        <v>14</v>
      </c>
      <c r="B20" t="s">
        <v>66</v>
      </c>
      <c r="C20" t="s">
        <v>67</v>
      </c>
      <c r="D20" t="s">
        <v>53</v>
      </c>
      <c r="E20">
        <v>256337</v>
      </c>
      <c r="F20">
        <v>3124.2353560000001</v>
      </c>
      <c r="G20">
        <v>2.1154360000000001E-2</v>
      </c>
    </row>
    <row r="21" spans="1:7" x14ac:dyDescent="0.35">
      <c r="A21">
        <v>15</v>
      </c>
      <c r="B21" t="s">
        <v>266</v>
      </c>
      <c r="C21" t="s">
        <v>267</v>
      </c>
      <c r="D21" t="s">
        <v>243</v>
      </c>
      <c r="E21">
        <v>54500</v>
      </c>
      <c r="F21">
        <v>3001.0425</v>
      </c>
      <c r="G21">
        <v>2.0320209999999998E-2</v>
      </c>
    </row>
    <row r="22" spans="1:7" x14ac:dyDescent="0.35">
      <c r="A22">
        <v>16</v>
      </c>
      <c r="B22" t="s">
        <v>512</v>
      </c>
      <c r="C22" t="s">
        <v>513</v>
      </c>
      <c r="D22" t="s">
        <v>257</v>
      </c>
      <c r="E22">
        <v>602000</v>
      </c>
      <c r="F22">
        <v>2948.8969999999999</v>
      </c>
      <c r="G22">
        <v>1.996713E-2</v>
      </c>
    </row>
    <row r="23" spans="1:7" x14ac:dyDescent="0.35">
      <c r="A23">
        <v>17</v>
      </c>
      <c r="B23" t="s">
        <v>92</v>
      </c>
      <c r="C23" t="s">
        <v>93</v>
      </c>
      <c r="D23" t="s">
        <v>94</v>
      </c>
      <c r="E23">
        <v>1700000</v>
      </c>
      <c r="F23">
        <v>2926.72</v>
      </c>
      <c r="G23">
        <v>1.981697E-2</v>
      </c>
    </row>
    <row r="24" spans="1:7" x14ac:dyDescent="0.35">
      <c r="A24">
        <v>18</v>
      </c>
      <c r="B24" t="s">
        <v>293</v>
      </c>
      <c r="C24" t="s">
        <v>294</v>
      </c>
      <c r="D24" t="s">
        <v>281</v>
      </c>
      <c r="E24">
        <v>530885</v>
      </c>
      <c r="F24">
        <v>2806.2581100000002</v>
      </c>
      <c r="G24">
        <v>1.9001319999999999E-2</v>
      </c>
    </row>
    <row r="25" spans="1:7" x14ac:dyDescent="0.35">
      <c r="A25">
        <v>19</v>
      </c>
      <c r="B25" t="s">
        <v>104</v>
      </c>
      <c r="C25" t="s">
        <v>105</v>
      </c>
      <c r="D25" t="s">
        <v>28</v>
      </c>
      <c r="E25">
        <v>465833</v>
      </c>
      <c r="F25">
        <v>2591.6618954999999</v>
      </c>
      <c r="G25">
        <v>1.7548279999999999E-2</v>
      </c>
    </row>
    <row r="26" spans="1:7" x14ac:dyDescent="0.35">
      <c r="A26">
        <v>20</v>
      </c>
      <c r="B26" t="s">
        <v>508</v>
      </c>
      <c r="C26" t="s">
        <v>509</v>
      </c>
      <c r="D26" t="s">
        <v>257</v>
      </c>
      <c r="E26">
        <v>170000</v>
      </c>
      <c r="F26">
        <v>2454.29</v>
      </c>
      <c r="G26">
        <v>1.661812E-2</v>
      </c>
    </row>
    <row r="27" spans="1:7" x14ac:dyDescent="0.35">
      <c r="A27">
        <v>21</v>
      </c>
      <c r="B27" t="s">
        <v>788</v>
      </c>
      <c r="C27" t="s">
        <v>789</v>
      </c>
      <c r="D27" t="s">
        <v>230</v>
      </c>
      <c r="E27">
        <v>74734</v>
      </c>
      <c r="F27">
        <v>2396.1215080000002</v>
      </c>
      <c r="G27">
        <v>1.6224260000000001E-2</v>
      </c>
    </row>
    <row r="28" spans="1:7" x14ac:dyDescent="0.35">
      <c r="A28">
        <v>22</v>
      </c>
      <c r="B28" t="s">
        <v>286</v>
      </c>
      <c r="C28" t="s">
        <v>287</v>
      </c>
      <c r="D28" t="s">
        <v>38</v>
      </c>
      <c r="E28">
        <v>270000</v>
      </c>
      <c r="F28">
        <v>2333.34</v>
      </c>
      <c r="G28">
        <v>1.579916E-2</v>
      </c>
    </row>
    <row r="29" spans="1:7" x14ac:dyDescent="0.35">
      <c r="A29">
        <v>23</v>
      </c>
      <c r="B29" t="s">
        <v>308</v>
      </c>
      <c r="C29" t="s">
        <v>309</v>
      </c>
      <c r="D29" t="s">
        <v>240</v>
      </c>
      <c r="E29">
        <v>1566147</v>
      </c>
      <c r="F29">
        <v>2317.1144865000001</v>
      </c>
      <c r="G29">
        <v>1.56893E-2</v>
      </c>
    </row>
    <row r="30" spans="1:7" x14ac:dyDescent="0.35">
      <c r="A30">
        <v>24</v>
      </c>
      <c r="B30" t="s">
        <v>897</v>
      </c>
      <c r="C30" t="s">
        <v>898</v>
      </c>
      <c r="D30" t="s">
        <v>114</v>
      </c>
      <c r="E30">
        <v>110000</v>
      </c>
      <c r="F30">
        <v>2121.79</v>
      </c>
      <c r="G30">
        <v>1.4366749999999999E-2</v>
      </c>
    </row>
    <row r="31" spans="1:7" x14ac:dyDescent="0.35">
      <c r="A31">
        <v>25</v>
      </c>
      <c r="B31" t="s">
        <v>928</v>
      </c>
      <c r="C31" t="s">
        <v>929</v>
      </c>
      <c r="D31" t="s">
        <v>324</v>
      </c>
      <c r="E31">
        <v>540000</v>
      </c>
      <c r="F31">
        <v>2085.75</v>
      </c>
      <c r="G31">
        <v>1.412272E-2</v>
      </c>
    </row>
    <row r="32" spans="1:7" x14ac:dyDescent="0.35">
      <c r="A32">
        <v>26</v>
      </c>
      <c r="B32" t="s">
        <v>34</v>
      </c>
      <c r="C32" t="s">
        <v>35</v>
      </c>
      <c r="D32" t="s">
        <v>25</v>
      </c>
      <c r="E32">
        <v>768264</v>
      </c>
      <c r="F32">
        <v>2032.826544</v>
      </c>
      <c r="G32">
        <v>1.376437E-2</v>
      </c>
    </row>
    <row r="33" spans="1:7" x14ac:dyDescent="0.35">
      <c r="A33">
        <v>27</v>
      </c>
      <c r="B33" t="s">
        <v>487</v>
      </c>
      <c r="C33" t="s">
        <v>488</v>
      </c>
      <c r="D33" t="s">
        <v>230</v>
      </c>
      <c r="E33">
        <v>125000</v>
      </c>
      <c r="F33">
        <v>2029.125</v>
      </c>
      <c r="G33">
        <v>1.3739309999999999E-2</v>
      </c>
    </row>
    <row r="34" spans="1:7" x14ac:dyDescent="0.35">
      <c r="A34">
        <v>28</v>
      </c>
      <c r="B34" t="s">
        <v>214</v>
      </c>
      <c r="C34" t="s">
        <v>215</v>
      </c>
      <c r="D34" t="s">
        <v>22</v>
      </c>
      <c r="E34">
        <v>380000</v>
      </c>
      <c r="F34">
        <v>1896.39</v>
      </c>
      <c r="G34">
        <v>1.2840549999999999E-2</v>
      </c>
    </row>
    <row r="35" spans="1:7" x14ac:dyDescent="0.35">
      <c r="A35">
        <v>29</v>
      </c>
      <c r="B35" t="s">
        <v>376</v>
      </c>
      <c r="C35" t="s">
        <v>377</v>
      </c>
      <c r="D35" t="s">
        <v>378</v>
      </c>
      <c r="E35">
        <v>434000</v>
      </c>
      <c r="F35">
        <v>1803.27</v>
      </c>
      <c r="G35">
        <v>1.221003E-2</v>
      </c>
    </row>
    <row r="36" spans="1:7" x14ac:dyDescent="0.35">
      <c r="A36">
        <v>30</v>
      </c>
      <c r="B36" t="s">
        <v>260</v>
      </c>
      <c r="C36" t="s">
        <v>261</v>
      </c>
      <c r="D36" t="s">
        <v>43</v>
      </c>
      <c r="E36">
        <v>335000</v>
      </c>
      <c r="F36">
        <v>1675</v>
      </c>
      <c r="G36">
        <v>1.1341510000000001E-2</v>
      </c>
    </row>
    <row r="37" spans="1:7" x14ac:dyDescent="0.35">
      <c r="A37">
        <v>31</v>
      </c>
      <c r="B37" t="s">
        <v>962</v>
      </c>
      <c r="C37" t="s">
        <v>963</v>
      </c>
      <c r="D37" t="s">
        <v>235</v>
      </c>
      <c r="E37">
        <v>205000</v>
      </c>
      <c r="F37">
        <v>1650.7625</v>
      </c>
      <c r="G37">
        <v>1.1177400000000001E-2</v>
      </c>
    </row>
    <row r="38" spans="1:7" x14ac:dyDescent="0.35">
      <c r="A38">
        <v>32</v>
      </c>
      <c r="B38" t="s">
        <v>926</v>
      </c>
      <c r="C38" t="s">
        <v>927</v>
      </c>
      <c r="D38" t="s">
        <v>38</v>
      </c>
      <c r="E38">
        <v>1058068</v>
      </c>
      <c r="F38">
        <v>1626.8853568</v>
      </c>
      <c r="G38">
        <v>1.101572E-2</v>
      </c>
    </row>
    <row r="39" spans="1:7" x14ac:dyDescent="0.35">
      <c r="A39">
        <v>33</v>
      </c>
      <c r="B39" t="s">
        <v>964</v>
      </c>
      <c r="C39" t="s">
        <v>965</v>
      </c>
      <c r="D39" t="s">
        <v>252</v>
      </c>
      <c r="E39">
        <v>434000</v>
      </c>
      <c r="F39">
        <v>1594.299</v>
      </c>
      <c r="G39">
        <v>1.079508E-2</v>
      </c>
    </row>
    <row r="40" spans="1:7" x14ac:dyDescent="0.35">
      <c r="A40">
        <v>34</v>
      </c>
      <c r="B40" t="s">
        <v>516</v>
      </c>
      <c r="C40" t="s">
        <v>517</v>
      </c>
      <c r="D40" t="s">
        <v>230</v>
      </c>
      <c r="E40">
        <v>100000</v>
      </c>
      <c r="F40">
        <v>1590.9</v>
      </c>
      <c r="G40">
        <v>1.077207E-2</v>
      </c>
    </row>
    <row r="41" spans="1:7" x14ac:dyDescent="0.35">
      <c r="A41">
        <v>35</v>
      </c>
      <c r="B41" t="s">
        <v>966</v>
      </c>
      <c r="C41" t="s">
        <v>967</v>
      </c>
      <c r="D41" t="s">
        <v>129</v>
      </c>
      <c r="E41">
        <v>325000</v>
      </c>
      <c r="F41">
        <v>1563.4124999999999</v>
      </c>
      <c r="G41">
        <v>1.058595E-2</v>
      </c>
    </row>
    <row r="42" spans="1:7" x14ac:dyDescent="0.35">
      <c r="A42">
        <v>36</v>
      </c>
      <c r="B42" t="s">
        <v>968</v>
      </c>
      <c r="C42" t="s">
        <v>969</v>
      </c>
      <c r="D42" t="s">
        <v>28</v>
      </c>
      <c r="E42">
        <v>53000</v>
      </c>
      <c r="F42">
        <v>1499.37</v>
      </c>
      <c r="G42">
        <v>1.0152309999999999E-2</v>
      </c>
    </row>
    <row r="43" spans="1:7" x14ac:dyDescent="0.35">
      <c r="A43">
        <v>37</v>
      </c>
      <c r="B43" t="s">
        <v>520</v>
      </c>
      <c r="C43" t="s">
        <v>521</v>
      </c>
      <c r="D43" t="s">
        <v>94</v>
      </c>
      <c r="E43">
        <v>770000</v>
      </c>
      <c r="F43">
        <v>1498.1890000000001</v>
      </c>
      <c r="G43">
        <v>1.014431E-2</v>
      </c>
    </row>
    <row r="44" spans="1:7" x14ac:dyDescent="0.35">
      <c r="A44">
        <v>38</v>
      </c>
      <c r="B44" t="s">
        <v>970</v>
      </c>
      <c r="C44" t="s">
        <v>971</v>
      </c>
      <c r="D44" t="s">
        <v>65</v>
      </c>
      <c r="E44">
        <v>612000</v>
      </c>
      <c r="F44">
        <v>1440.954</v>
      </c>
      <c r="G44">
        <v>9.7567699999999997E-3</v>
      </c>
    </row>
    <row r="45" spans="1:7" x14ac:dyDescent="0.35">
      <c r="A45">
        <v>39</v>
      </c>
      <c r="B45" t="s">
        <v>238</v>
      </c>
      <c r="C45" t="s">
        <v>239</v>
      </c>
      <c r="D45" t="s">
        <v>240</v>
      </c>
      <c r="E45">
        <v>235000</v>
      </c>
      <c r="F45">
        <v>1312.71</v>
      </c>
      <c r="G45">
        <v>8.8884299999999992E-3</v>
      </c>
    </row>
    <row r="46" spans="1:7" x14ac:dyDescent="0.35">
      <c r="A46">
        <v>40</v>
      </c>
      <c r="B46" t="s">
        <v>316</v>
      </c>
      <c r="C46" t="s">
        <v>317</v>
      </c>
      <c r="D46" t="s">
        <v>209</v>
      </c>
      <c r="E46">
        <v>40000</v>
      </c>
      <c r="F46">
        <v>1295.28</v>
      </c>
      <c r="G46">
        <v>8.7704099999999993E-3</v>
      </c>
    </row>
    <row r="47" spans="1:7" x14ac:dyDescent="0.35">
      <c r="A47">
        <v>41</v>
      </c>
      <c r="B47" t="s">
        <v>972</v>
      </c>
      <c r="C47" t="s">
        <v>973</v>
      </c>
      <c r="D47" t="s">
        <v>94</v>
      </c>
      <c r="E47">
        <v>113589</v>
      </c>
      <c r="F47">
        <v>1290.484629</v>
      </c>
      <c r="G47">
        <v>8.7379399999999996E-3</v>
      </c>
    </row>
    <row r="48" spans="1:7" x14ac:dyDescent="0.35">
      <c r="A48">
        <v>42</v>
      </c>
      <c r="B48" t="s">
        <v>500</v>
      </c>
      <c r="C48" t="s">
        <v>501</v>
      </c>
      <c r="D48" t="s">
        <v>43</v>
      </c>
      <c r="E48">
        <v>140000</v>
      </c>
      <c r="F48">
        <v>1273.3699999999999</v>
      </c>
      <c r="G48">
        <v>8.6220499999999992E-3</v>
      </c>
    </row>
    <row r="49" spans="1:7" x14ac:dyDescent="0.35">
      <c r="A49">
        <v>43</v>
      </c>
      <c r="B49" t="s">
        <v>446</v>
      </c>
      <c r="C49" t="s">
        <v>447</v>
      </c>
      <c r="D49" t="s">
        <v>274</v>
      </c>
      <c r="E49">
        <v>112500</v>
      </c>
      <c r="F49">
        <v>1257.5250000000001</v>
      </c>
      <c r="G49">
        <v>8.5147699999999996E-3</v>
      </c>
    </row>
    <row r="50" spans="1:7" x14ac:dyDescent="0.35">
      <c r="A50">
        <v>44</v>
      </c>
      <c r="B50" t="s">
        <v>887</v>
      </c>
      <c r="C50" t="s">
        <v>888</v>
      </c>
      <c r="D50" t="s">
        <v>65</v>
      </c>
      <c r="E50">
        <v>130000</v>
      </c>
      <c r="F50">
        <v>1168.83</v>
      </c>
      <c r="G50">
        <v>7.9142099999999996E-3</v>
      </c>
    </row>
    <row r="51" spans="1:7" x14ac:dyDescent="0.35">
      <c r="A51">
        <v>45</v>
      </c>
      <c r="B51" t="s">
        <v>717</v>
      </c>
      <c r="C51" t="s">
        <v>718</v>
      </c>
      <c r="D51" t="s">
        <v>72</v>
      </c>
      <c r="E51">
        <v>274000</v>
      </c>
      <c r="F51">
        <v>1162.7190000000001</v>
      </c>
      <c r="G51">
        <v>7.8728300000000008E-3</v>
      </c>
    </row>
    <row r="52" spans="1:7" x14ac:dyDescent="0.35">
      <c r="A52">
        <v>46</v>
      </c>
      <c r="B52" t="s">
        <v>974</v>
      </c>
      <c r="C52" t="s">
        <v>975</v>
      </c>
      <c r="D52" t="s">
        <v>65</v>
      </c>
      <c r="E52">
        <v>110000</v>
      </c>
      <c r="F52">
        <v>1037.3</v>
      </c>
      <c r="G52">
        <v>7.0236099999999996E-3</v>
      </c>
    </row>
    <row r="53" spans="1:7" x14ac:dyDescent="0.35">
      <c r="A53">
        <v>47</v>
      </c>
      <c r="B53" t="s">
        <v>136</v>
      </c>
      <c r="C53" t="s">
        <v>137</v>
      </c>
      <c r="D53" t="s">
        <v>138</v>
      </c>
      <c r="E53">
        <v>294000</v>
      </c>
      <c r="F53">
        <v>948.44399999999996</v>
      </c>
      <c r="G53">
        <v>6.42196E-3</v>
      </c>
    </row>
    <row r="54" spans="1:7" x14ac:dyDescent="0.35">
      <c r="A54">
        <v>48</v>
      </c>
      <c r="B54" t="s">
        <v>468</v>
      </c>
      <c r="C54" t="s">
        <v>469</v>
      </c>
      <c r="D54" t="s">
        <v>53</v>
      </c>
      <c r="E54">
        <v>35000</v>
      </c>
      <c r="F54">
        <v>910.28</v>
      </c>
      <c r="G54">
        <v>6.1635500000000003E-3</v>
      </c>
    </row>
    <row r="55" spans="1:7" x14ac:dyDescent="0.35">
      <c r="A55">
        <v>49</v>
      </c>
      <c r="B55" t="s">
        <v>335</v>
      </c>
      <c r="C55" t="s">
        <v>336</v>
      </c>
      <c r="D55" t="s">
        <v>43</v>
      </c>
      <c r="E55">
        <v>35000</v>
      </c>
      <c r="F55">
        <v>647.88499999999999</v>
      </c>
      <c r="G55">
        <v>4.3868600000000002E-3</v>
      </c>
    </row>
    <row r="56" spans="1:7" x14ac:dyDescent="0.35">
      <c r="C56" t="s">
        <v>139</v>
      </c>
      <c r="F56">
        <v>145180.1451538</v>
      </c>
      <c r="G56">
        <v>0.98302217999999997</v>
      </c>
    </row>
    <row r="58" spans="1:7" x14ac:dyDescent="0.35">
      <c r="C58" t="s">
        <v>140</v>
      </c>
    </row>
    <row r="59" spans="1:7" x14ac:dyDescent="0.35">
      <c r="C59" t="s">
        <v>139</v>
      </c>
      <c r="F59" t="s">
        <v>141</v>
      </c>
      <c r="G59">
        <v>0</v>
      </c>
    </row>
    <row r="61" spans="1:7" x14ac:dyDescent="0.35">
      <c r="C61" t="s">
        <v>142</v>
      </c>
    </row>
    <row r="62" spans="1:7" x14ac:dyDescent="0.35">
      <c r="C62" t="s">
        <v>139</v>
      </c>
      <c r="F62" t="s">
        <v>141</v>
      </c>
      <c r="G62">
        <v>0</v>
      </c>
    </row>
    <row r="64" spans="1:7" x14ac:dyDescent="0.35">
      <c r="C64" t="s">
        <v>147</v>
      </c>
    </row>
    <row r="65" spans="3:7" x14ac:dyDescent="0.35">
      <c r="C65" t="s">
        <v>139</v>
      </c>
      <c r="F65" t="s">
        <v>141</v>
      </c>
      <c r="G65">
        <v>0</v>
      </c>
    </row>
    <row r="67" spans="3:7" x14ac:dyDescent="0.35">
      <c r="C67" t="s">
        <v>148</v>
      </c>
    </row>
    <row r="68" spans="3:7" x14ac:dyDescent="0.35">
      <c r="C68" t="s">
        <v>139</v>
      </c>
      <c r="F68" t="s">
        <v>141</v>
      </c>
      <c r="G68">
        <v>0</v>
      </c>
    </row>
    <row r="70" spans="3:7" x14ac:dyDescent="0.35">
      <c r="C70" t="s">
        <v>149</v>
      </c>
    </row>
    <row r="71" spans="3:7" x14ac:dyDescent="0.35">
      <c r="C71" t="s">
        <v>139</v>
      </c>
      <c r="F71" t="s">
        <v>141</v>
      </c>
      <c r="G71">
        <v>0</v>
      </c>
    </row>
    <row r="73" spans="3:7" x14ac:dyDescent="0.35">
      <c r="C73" t="s">
        <v>150</v>
      </c>
      <c r="F73">
        <v>145180.1451538</v>
      </c>
      <c r="G73">
        <v>0.98302217999999997</v>
      </c>
    </row>
    <row r="75" spans="3:7" x14ac:dyDescent="0.35">
      <c r="C75" t="s">
        <v>151</v>
      </c>
    </row>
    <row r="76" spans="3:7" x14ac:dyDescent="0.35">
      <c r="C76" t="s">
        <v>13</v>
      </c>
    </row>
    <row r="77" spans="3:7" x14ac:dyDescent="0.35">
      <c r="C77" t="s">
        <v>139</v>
      </c>
      <c r="F77" t="s">
        <v>141</v>
      </c>
      <c r="G77">
        <v>0</v>
      </c>
    </row>
    <row r="79" spans="3:7" x14ac:dyDescent="0.35">
      <c r="C79" t="s">
        <v>152</v>
      </c>
    </row>
    <row r="80" spans="3:7" x14ac:dyDescent="0.35">
      <c r="C80" t="s">
        <v>139</v>
      </c>
      <c r="F80" t="s">
        <v>141</v>
      </c>
      <c r="G80">
        <v>0</v>
      </c>
    </row>
    <row r="82" spans="3:7" x14ac:dyDescent="0.35">
      <c r="C82" t="s">
        <v>153</v>
      </c>
    </row>
    <row r="83" spans="3:7" x14ac:dyDescent="0.35">
      <c r="C83" t="s">
        <v>139</v>
      </c>
      <c r="F83" t="s">
        <v>141</v>
      </c>
      <c r="G83">
        <v>0</v>
      </c>
    </row>
    <row r="85" spans="3:7" x14ac:dyDescent="0.35">
      <c r="C85" t="s">
        <v>154</v>
      </c>
    </row>
    <row r="86" spans="3:7" x14ac:dyDescent="0.35">
      <c r="C86" t="s">
        <v>139</v>
      </c>
      <c r="F86" t="s">
        <v>141</v>
      </c>
      <c r="G86">
        <v>0</v>
      </c>
    </row>
    <row r="88" spans="3:7" x14ac:dyDescent="0.35">
      <c r="C88" t="s">
        <v>155</v>
      </c>
      <c r="F88">
        <v>0</v>
      </c>
      <c r="G88">
        <v>0</v>
      </c>
    </row>
    <row r="90" spans="3:7" x14ac:dyDescent="0.35">
      <c r="C90" t="s">
        <v>156</v>
      </c>
    </row>
    <row r="91" spans="3:7" x14ac:dyDescent="0.35">
      <c r="C91" t="s">
        <v>157</v>
      </c>
    </row>
    <row r="92" spans="3:7" x14ac:dyDescent="0.35">
      <c r="C92" t="s">
        <v>139</v>
      </c>
      <c r="F92" t="s">
        <v>141</v>
      </c>
      <c r="G92">
        <v>0</v>
      </c>
    </row>
    <row r="94" spans="3:7" x14ac:dyDescent="0.35">
      <c r="C94" t="s">
        <v>158</v>
      </c>
    </row>
    <row r="95" spans="3:7" x14ac:dyDescent="0.35">
      <c r="C95" t="s">
        <v>139</v>
      </c>
      <c r="F95" t="s">
        <v>141</v>
      </c>
      <c r="G95">
        <v>0</v>
      </c>
    </row>
    <row r="97" spans="1:7" x14ac:dyDescent="0.35">
      <c r="C97" t="s">
        <v>159</v>
      </c>
    </row>
    <row r="98" spans="1:7" x14ac:dyDescent="0.35">
      <c r="C98" t="s">
        <v>139</v>
      </c>
      <c r="F98" t="s">
        <v>141</v>
      </c>
      <c r="G98">
        <v>0</v>
      </c>
    </row>
    <row r="100" spans="1:7" x14ac:dyDescent="0.35">
      <c r="C100" t="s">
        <v>160</v>
      </c>
    </row>
    <row r="101" spans="1:7" x14ac:dyDescent="0.35">
      <c r="A101">
        <v>1</v>
      </c>
      <c r="C101" t="s">
        <v>161</v>
      </c>
      <c r="F101">
        <v>2348.182855995</v>
      </c>
      <c r="G101">
        <v>1.5899670000000001E-2</v>
      </c>
    </row>
    <row r="102" spans="1:7" x14ac:dyDescent="0.35">
      <c r="C102" t="s">
        <v>139</v>
      </c>
      <c r="F102">
        <v>2348.182855995</v>
      </c>
      <c r="G102">
        <v>1.5899670000000001E-2</v>
      </c>
    </row>
    <row r="104" spans="1:7" x14ac:dyDescent="0.35">
      <c r="C104" t="s">
        <v>162</v>
      </c>
      <c r="F104">
        <v>2348.182855995</v>
      </c>
      <c r="G104">
        <v>1.5899670000000001E-2</v>
      </c>
    </row>
    <row r="106" spans="1:7" x14ac:dyDescent="0.35">
      <c r="C106" t="s">
        <v>163</v>
      </c>
    </row>
    <row r="107" spans="1:7" x14ac:dyDescent="0.35">
      <c r="C107" t="s">
        <v>164</v>
      </c>
    </row>
    <row r="108" spans="1:7" x14ac:dyDescent="0.35">
      <c r="C108" t="s">
        <v>139</v>
      </c>
      <c r="F108" t="s">
        <v>141</v>
      </c>
      <c r="G108">
        <v>0</v>
      </c>
    </row>
    <row r="110" spans="1:7" x14ac:dyDescent="0.35">
      <c r="C110" t="s">
        <v>165</v>
      </c>
    </row>
    <row r="111" spans="1:7" x14ac:dyDescent="0.35">
      <c r="C111" t="s">
        <v>166</v>
      </c>
    </row>
    <row r="112" spans="1:7" x14ac:dyDescent="0.35">
      <c r="C112" t="s">
        <v>139</v>
      </c>
      <c r="F112" t="s">
        <v>141</v>
      </c>
      <c r="G112">
        <v>0</v>
      </c>
    </row>
    <row r="114" spans="2:7" x14ac:dyDescent="0.35">
      <c r="C114" t="s">
        <v>167</v>
      </c>
    </row>
    <row r="115" spans="2:7" x14ac:dyDescent="0.35">
      <c r="C115" t="s">
        <v>139</v>
      </c>
      <c r="F115" t="s">
        <v>141</v>
      </c>
      <c r="G115">
        <v>0</v>
      </c>
    </row>
    <row r="117" spans="2:7" x14ac:dyDescent="0.35">
      <c r="C117" t="s">
        <v>168</v>
      </c>
      <c r="F117">
        <v>159.23210535999999</v>
      </c>
      <c r="G117">
        <v>1.07817E-3</v>
      </c>
    </row>
    <row r="118" spans="2:7" x14ac:dyDescent="0.35">
      <c r="C118" t="s">
        <v>169</v>
      </c>
      <c r="F118">
        <v>147687.56011515501</v>
      </c>
      <c r="G118">
        <v>1.0000000200000001</v>
      </c>
    </row>
    <row r="120" spans="2:7" x14ac:dyDescent="0.35">
      <c r="B120" t="s">
        <v>170</v>
      </c>
    </row>
    <row r="121" spans="2:7" x14ac:dyDescent="0.35">
      <c r="B121" t="s">
        <v>171</v>
      </c>
    </row>
    <row r="122" spans="2:7" x14ac:dyDescent="0.35">
      <c r="B122" t="s">
        <v>172</v>
      </c>
    </row>
    <row r="123" spans="2:7" x14ac:dyDescent="0.35">
      <c r="B123" t="s">
        <v>173</v>
      </c>
    </row>
    <row r="124" spans="2:7" x14ac:dyDescent="0.35">
      <c r="B124" t="s">
        <v>174</v>
      </c>
    </row>
    <row r="126" spans="2:7" x14ac:dyDescent="0.35">
      <c r="B126" t="s">
        <v>175</v>
      </c>
    </row>
    <row r="127" spans="2:7" x14ac:dyDescent="0.35">
      <c r="B127" t="s">
        <v>176</v>
      </c>
      <c r="D127" t="s">
        <v>177</v>
      </c>
    </row>
    <row r="128" spans="2:7" x14ac:dyDescent="0.35">
      <c r="B128" t="s">
        <v>178</v>
      </c>
      <c r="D128" t="s">
        <v>177</v>
      </c>
    </row>
    <row r="129" spans="2:4" x14ac:dyDescent="0.35">
      <c r="B129" t="s">
        <v>179</v>
      </c>
    </row>
    <row r="130" spans="2:4" x14ac:dyDescent="0.35">
      <c r="C130" t="s">
        <v>180</v>
      </c>
      <c r="D130" t="s">
        <v>181</v>
      </c>
    </row>
    <row r="131" spans="2:4" x14ac:dyDescent="0.35">
      <c r="B131" t="s">
        <v>182</v>
      </c>
      <c r="C131" s="1">
        <v>45991</v>
      </c>
      <c r="D131" s="1">
        <v>46022</v>
      </c>
    </row>
    <row r="132" spans="2:4" x14ac:dyDescent="0.35">
      <c r="B132" t="s">
        <v>183</v>
      </c>
      <c r="C132">
        <v>241.28909999999999</v>
      </c>
      <c r="D132">
        <v>242.35769999999999</v>
      </c>
    </row>
    <row r="133" spans="2:4" x14ac:dyDescent="0.35">
      <c r="B133" t="s">
        <v>184</v>
      </c>
      <c r="C133">
        <v>21.294499999999999</v>
      </c>
      <c r="D133">
        <v>21.3888</v>
      </c>
    </row>
    <row r="134" spans="2:4" x14ac:dyDescent="0.35">
      <c r="B134" t="s">
        <v>185</v>
      </c>
      <c r="C134">
        <v>227.35079999999999</v>
      </c>
      <c r="D134">
        <v>228.25280000000001</v>
      </c>
    </row>
    <row r="135" spans="2:4" x14ac:dyDescent="0.35">
      <c r="B135" t="s">
        <v>186</v>
      </c>
      <c r="C135">
        <v>17.4922</v>
      </c>
      <c r="D135">
        <v>17.561599999999999</v>
      </c>
    </row>
    <row r="137" spans="2:4" x14ac:dyDescent="0.35">
      <c r="B137" t="s">
        <v>187</v>
      </c>
      <c r="D137" t="s">
        <v>177</v>
      </c>
    </row>
    <row r="139" spans="2:4" x14ac:dyDescent="0.35">
      <c r="B139" t="s">
        <v>188</v>
      </c>
      <c r="D139" t="s">
        <v>177</v>
      </c>
    </row>
    <row r="140" spans="2:4" x14ac:dyDescent="0.35">
      <c r="B140" t="s">
        <v>189</v>
      </c>
      <c r="D140" t="s">
        <v>177</v>
      </c>
    </row>
    <row r="141" spans="2:4" x14ac:dyDescent="0.35">
      <c r="B141" t="s">
        <v>190</v>
      </c>
      <c r="D141" t="s">
        <v>177</v>
      </c>
    </row>
    <row r="142" spans="2:4" x14ac:dyDescent="0.35">
      <c r="B142" t="s">
        <v>191</v>
      </c>
      <c r="D142">
        <v>0.51828513254388953</v>
      </c>
    </row>
    <row r="144" spans="2:4" x14ac:dyDescent="0.35">
      <c r="B144" t="s">
        <v>192</v>
      </c>
    </row>
    <row r="149" spans="2:2" x14ac:dyDescent="0.35">
      <c r="B149" t="s">
        <v>193</v>
      </c>
    </row>
    <row r="150" spans="2:2" x14ac:dyDescent="0.35">
      <c r="B150" t="s">
        <v>976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40"/>
  <sheetViews>
    <sheetView workbookViewId="0"/>
  </sheetViews>
  <sheetFormatPr defaultRowHeight="14.5" x14ac:dyDescent="0.35"/>
  <sheetData>
    <row r="1" spans="1:9" x14ac:dyDescent="0.35">
      <c r="A1" t="s">
        <v>0</v>
      </c>
      <c r="I1" t="s">
        <v>1</v>
      </c>
    </row>
    <row r="2" spans="1:9" x14ac:dyDescent="0.35">
      <c r="A2" t="s">
        <v>977</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3180198</v>
      </c>
      <c r="F7">
        <v>31522.122576000002</v>
      </c>
      <c r="G7">
        <v>9.3714259999999994E-2</v>
      </c>
    </row>
    <row r="8" spans="1:9" x14ac:dyDescent="0.35">
      <c r="A8">
        <v>2</v>
      </c>
      <c r="B8" t="s">
        <v>39</v>
      </c>
      <c r="C8" t="s">
        <v>40</v>
      </c>
      <c r="D8" t="s">
        <v>38</v>
      </c>
      <c r="E8">
        <v>1676804</v>
      </c>
      <c r="F8">
        <v>22517.800916</v>
      </c>
      <c r="G8">
        <v>6.6944699999999996E-2</v>
      </c>
    </row>
    <row r="9" spans="1:9" x14ac:dyDescent="0.35">
      <c r="A9">
        <v>3</v>
      </c>
      <c r="B9" t="s">
        <v>14</v>
      </c>
      <c r="C9" t="s">
        <v>15</v>
      </c>
      <c r="D9" t="s">
        <v>16</v>
      </c>
      <c r="E9">
        <v>977000</v>
      </c>
      <c r="F9">
        <v>20571.712</v>
      </c>
      <c r="G9">
        <v>6.1159039999999998E-2</v>
      </c>
    </row>
    <row r="10" spans="1:9" x14ac:dyDescent="0.35">
      <c r="A10">
        <v>4</v>
      </c>
      <c r="B10" t="s">
        <v>352</v>
      </c>
      <c r="C10" t="s">
        <v>353</v>
      </c>
      <c r="D10" t="s">
        <v>38</v>
      </c>
      <c r="E10">
        <v>1495369</v>
      </c>
      <c r="F10">
        <v>18982.214086</v>
      </c>
      <c r="G10">
        <v>5.6433509999999999E-2</v>
      </c>
    </row>
    <row r="11" spans="1:9" x14ac:dyDescent="0.35">
      <c r="A11">
        <v>5</v>
      </c>
      <c r="B11" t="s">
        <v>354</v>
      </c>
      <c r="C11" t="s">
        <v>355</v>
      </c>
      <c r="D11" t="s">
        <v>230</v>
      </c>
      <c r="E11">
        <v>1025318</v>
      </c>
      <c r="F11">
        <v>16562.986971999999</v>
      </c>
      <c r="G11">
        <v>4.9241229999999997E-2</v>
      </c>
    </row>
    <row r="12" spans="1:9" x14ac:dyDescent="0.35">
      <c r="A12">
        <v>6</v>
      </c>
      <c r="B12" t="s">
        <v>20</v>
      </c>
      <c r="C12" t="s">
        <v>21</v>
      </c>
      <c r="D12" t="s">
        <v>22</v>
      </c>
      <c r="E12">
        <v>1011076</v>
      </c>
      <c r="F12">
        <v>15877.937504</v>
      </c>
      <c r="G12">
        <v>4.7204599999999999E-2</v>
      </c>
    </row>
    <row r="13" spans="1:9" x14ac:dyDescent="0.35">
      <c r="A13">
        <v>7</v>
      </c>
      <c r="B13" t="s">
        <v>36</v>
      </c>
      <c r="C13" t="s">
        <v>37</v>
      </c>
      <c r="D13" t="s">
        <v>38</v>
      </c>
      <c r="E13">
        <v>1307239</v>
      </c>
      <c r="F13">
        <v>12839.701458</v>
      </c>
      <c r="G13">
        <v>3.8172020000000001E-2</v>
      </c>
    </row>
    <row r="14" spans="1:9" x14ac:dyDescent="0.35">
      <c r="A14">
        <v>8</v>
      </c>
      <c r="B14" t="s">
        <v>372</v>
      </c>
      <c r="C14" t="s">
        <v>373</v>
      </c>
      <c r="D14" t="s">
        <v>243</v>
      </c>
      <c r="E14">
        <v>662000</v>
      </c>
      <c r="F14">
        <v>11384.414000000001</v>
      </c>
      <c r="G14">
        <v>3.3845500000000001E-2</v>
      </c>
    </row>
    <row r="15" spans="1:9" x14ac:dyDescent="0.35">
      <c r="A15">
        <v>9</v>
      </c>
      <c r="B15" t="s">
        <v>17</v>
      </c>
      <c r="C15" t="s">
        <v>18</v>
      </c>
      <c r="D15" t="s">
        <v>19</v>
      </c>
      <c r="E15">
        <v>277730</v>
      </c>
      <c r="F15">
        <v>11341.10455</v>
      </c>
      <c r="G15">
        <v>3.3716740000000002E-2</v>
      </c>
    </row>
    <row r="16" spans="1:9" x14ac:dyDescent="0.35">
      <c r="A16">
        <v>10</v>
      </c>
      <c r="B16" t="s">
        <v>32</v>
      </c>
      <c r="C16" t="s">
        <v>33</v>
      </c>
      <c r="D16" t="s">
        <v>22</v>
      </c>
      <c r="E16">
        <v>2949214</v>
      </c>
      <c r="F16">
        <v>11324.981760000001</v>
      </c>
      <c r="G16">
        <v>3.366881E-2</v>
      </c>
    </row>
    <row r="17" spans="1:7" x14ac:dyDescent="0.35">
      <c r="A17">
        <v>11</v>
      </c>
      <c r="B17" t="s">
        <v>356</v>
      </c>
      <c r="C17" t="s">
        <v>357</v>
      </c>
      <c r="D17" t="s">
        <v>38</v>
      </c>
      <c r="E17">
        <v>496353</v>
      </c>
      <c r="F17">
        <v>10925.225882999999</v>
      </c>
      <c r="G17">
        <v>3.2480349999999998E-2</v>
      </c>
    </row>
    <row r="18" spans="1:7" x14ac:dyDescent="0.35">
      <c r="A18">
        <v>12</v>
      </c>
      <c r="B18" t="s">
        <v>250</v>
      </c>
      <c r="C18" t="s">
        <v>251</v>
      </c>
      <c r="D18" t="s">
        <v>252</v>
      </c>
      <c r="E18">
        <v>278803</v>
      </c>
      <c r="F18">
        <v>10370.913994</v>
      </c>
      <c r="G18">
        <v>3.0832399999999999E-2</v>
      </c>
    </row>
    <row r="19" spans="1:7" x14ac:dyDescent="0.35">
      <c r="A19">
        <v>13</v>
      </c>
      <c r="B19" t="s">
        <v>358</v>
      </c>
      <c r="C19" t="s">
        <v>359</v>
      </c>
      <c r="D19" t="s">
        <v>252</v>
      </c>
      <c r="E19">
        <v>271223</v>
      </c>
      <c r="F19">
        <v>10060.203516</v>
      </c>
      <c r="G19">
        <v>2.990866E-2</v>
      </c>
    </row>
    <row r="20" spans="1:7" x14ac:dyDescent="0.35">
      <c r="A20">
        <v>14</v>
      </c>
      <c r="B20" t="s">
        <v>877</v>
      </c>
      <c r="C20" t="s">
        <v>878</v>
      </c>
      <c r="D20" t="s">
        <v>324</v>
      </c>
      <c r="E20">
        <v>258923</v>
      </c>
      <c r="F20">
        <v>9792.9857059999995</v>
      </c>
      <c r="G20">
        <v>2.9114230000000001E-2</v>
      </c>
    </row>
    <row r="21" spans="1:7" x14ac:dyDescent="0.35">
      <c r="A21">
        <v>15</v>
      </c>
      <c r="B21" t="s">
        <v>516</v>
      </c>
      <c r="C21" t="s">
        <v>517</v>
      </c>
      <c r="D21" t="s">
        <v>230</v>
      </c>
      <c r="E21">
        <v>596688</v>
      </c>
      <c r="F21">
        <v>9492.7093920000007</v>
      </c>
      <c r="G21">
        <v>2.822152E-2</v>
      </c>
    </row>
    <row r="22" spans="1:7" x14ac:dyDescent="0.35">
      <c r="A22">
        <v>16</v>
      </c>
      <c r="B22" t="s">
        <v>80</v>
      </c>
      <c r="C22" t="s">
        <v>81</v>
      </c>
      <c r="D22" t="s">
        <v>43</v>
      </c>
      <c r="E22">
        <v>109075</v>
      </c>
      <c r="F22">
        <v>8387.3221250000006</v>
      </c>
      <c r="G22">
        <v>2.4935240000000001E-2</v>
      </c>
    </row>
    <row r="23" spans="1:7" x14ac:dyDescent="0.35">
      <c r="A23">
        <v>17</v>
      </c>
      <c r="B23" t="s">
        <v>77</v>
      </c>
      <c r="C23" t="s">
        <v>78</v>
      </c>
      <c r="D23" t="s">
        <v>79</v>
      </c>
      <c r="E23">
        <v>145000</v>
      </c>
      <c r="F23">
        <v>7336.2749999999996</v>
      </c>
      <c r="G23">
        <v>2.1810510000000002E-2</v>
      </c>
    </row>
    <row r="24" spans="1:7" x14ac:dyDescent="0.35">
      <c r="A24">
        <v>18</v>
      </c>
      <c r="B24" t="s">
        <v>26</v>
      </c>
      <c r="C24" t="s">
        <v>27</v>
      </c>
      <c r="D24" t="s">
        <v>28</v>
      </c>
      <c r="E24">
        <v>62000</v>
      </c>
      <c r="F24">
        <v>7306.08</v>
      </c>
      <c r="G24">
        <v>2.1720739999999999E-2</v>
      </c>
    </row>
    <row r="25" spans="1:7" x14ac:dyDescent="0.35">
      <c r="A25">
        <v>19</v>
      </c>
      <c r="B25" t="s">
        <v>218</v>
      </c>
      <c r="C25" t="s">
        <v>219</v>
      </c>
      <c r="D25" t="s">
        <v>220</v>
      </c>
      <c r="E25">
        <v>943756</v>
      </c>
      <c r="F25">
        <v>7083.8325359999999</v>
      </c>
      <c r="G25">
        <v>2.1060010000000001E-2</v>
      </c>
    </row>
    <row r="26" spans="1:7" x14ac:dyDescent="0.35">
      <c r="A26">
        <v>20</v>
      </c>
      <c r="B26" t="s">
        <v>518</v>
      </c>
      <c r="C26" t="s">
        <v>519</v>
      </c>
      <c r="D26" t="s">
        <v>290</v>
      </c>
      <c r="E26">
        <v>332646</v>
      </c>
      <c r="F26">
        <v>6769.0134539999999</v>
      </c>
      <c r="G26">
        <v>2.0124059999999999E-2</v>
      </c>
    </row>
    <row r="27" spans="1:7" x14ac:dyDescent="0.35">
      <c r="A27">
        <v>21</v>
      </c>
      <c r="B27" t="s">
        <v>316</v>
      </c>
      <c r="C27" t="s">
        <v>317</v>
      </c>
      <c r="D27" t="s">
        <v>209</v>
      </c>
      <c r="E27">
        <v>202732</v>
      </c>
      <c r="F27">
        <v>6564.8676240000004</v>
      </c>
      <c r="G27">
        <v>1.9517139999999999E-2</v>
      </c>
    </row>
    <row r="28" spans="1:7" x14ac:dyDescent="0.35">
      <c r="A28">
        <v>22</v>
      </c>
      <c r="B28" t="s">
        <v>883</v>
      </c>
      <c r="C28" t="s">
        <v>884</v>
      </c>
      <c r="D28" t="s">
        <v>243</v>
      </c>
      <c r="E28">
        <v>515708</v>
      </c>
      <c r="F28">
        <v>6556.7115119999999</v>
      </c>
      <c r="G28">
        <v>1.9492889999999999E-2</v>
      </c>
    </row>
    <row r="29" spans="1:7" x14ac:dyDescent="0.35">
      <c r="A29">
        <v>23</v>
      </c>
      <c r="B29" t="s">
        <v>23</v>
      </c>
      <c r="C29" t="s">
        <v>24</v>
      </c>
      <c r="D29" t="s">
        <v>25</v>
      </c>
      <c r="E29">
        <v>1967000</v>
      </c>
      <c r="F29">
        <v>6482.2484999999997</v>
      </c>
      <c r="G29">
        <v>1.927152E-2</v>
      </c>
    </row>
    <row r="30" spans="1:7" x14ac:dyDescent="0.35">
      <c r="A30">
        <v>24</v>
      </c>
      <c r="B30" t="s">
        <v>514</v>
      </c>
      <c r="C30" t="s">
        <v>515</v>
      </c>
      <c r="D30" t="s">
        <v>324</v>
      </c>
      <c r="E30">
        <v>145000</v>
      </c>
      <c r="F30">
        <v>6204.55</v>
      </c>
      <c r="G30">
        <v>1.8445929999999999E-2</v>
      </c>
    </row>
    <row r="31" spans="1:7" x14ac:dyDescent="0.35">
      <c r="A31">
        <v>25</v>
      </c>
      <c r="B31" t="s">
        <v>928</v>
      </c>
      <c r="C31" t="s">
        <v>929</v>
      </c>
      <c r="D31" t="s">
        <v>324</v>
      </c>
      <c r="E31">
        <v>1598239</v>
      </c>
      <c r="F31">
        <v>6173.1981374999996</v>
      </c>
      <c r="G31">
        <v>1.8352719999999999E-2</v>
      </c>
    </row>
    <row r="32" spans="1:7" x14ac:dyDescent="0.35">
      <c r="A32">
        <v>26</v>
      </c>
      <c r="B32" t="s">
        <v>717</v>
      </c>
      <c r="C32" t="s">
        <v>718</v>
      </c>
      <c r="D32" t="s">
        <v>72</v>
      </c>
      <c r="E32">
        <v>1428942</v>
      </c>
      <c r="F32">
        <v>6063.7153770000004</v>
      </c>
      <c r="G32">
        <v>1.8027230000000002E-2</v>
      </c>
    </row>
    <row r="33" spans="1:7" x14ac:dyDescent="0.35">
      <c r="A33">
        <v>27</v>
      </c>
      <c r="B33" t="s">
        <v>487</v>
      </c>
      <c r="C33" t="s">
        <v>488</v>
      </c>
      <c r="D33" t="s">
        <v>230</v>
      </c>
      <c r="E33">
        <v>285965</v>
      </c>
      <c r="F33">
        <v>4642.069845</v>
      </c>
      <c r="G33">
        <v>1.3800730000000001E-2</v>
      </c>
    </row>
    <row r="34" spans="1:7" x14ac:dyDescent="0.35">
      <c r="A34">
        <v>28</v>
      </c>
      <c r="B34" t="s">
        <v>496</v>
      </c>
      <c r="C34" t="s">
        <v>497</v>
      </c>
      <c r="D34" t="s">
        <v>220</v>
      </c>
      <c r="E34">
        <v>319989</v>
      </c>
      <c r="F34">
        <v>3814.2688800000001</v>
      </c>
      <c r="G34">
        <v>1.1339699999999999E-2</v>
      </c>
    </row>
    <row r="35" spans="1:7" x14ac:dyDescent="0.35">
      <c r="A35">
        <v>29</v>
      </c>
      <c r="B35" t="s">
        <v>61</v>
      </c>
      <c r="C35" t="s">
        <v>62</v>
      </c>
      <c r="D35" t="s">
        <v>53</v>
      </c>
      <c r="E35">
        <v>85031</v>
      </c>
      <c r="F35">
        <v>3792.5526620000001</v>
      </c>
      <c r="G35">
        <v>1.1275139999999999E-2</v>
      </c>
    </row>
    <row r="36" spans="1:7" x14ac:dyDescent="0.35">
      <c r="A36">
        <v>30</v>
      </c>
      <c r="B36" t="s">
        <v>302</v>
      </c>
      <c r="C36" t="s">
        <v>303</v>
      </c>
      <c r="D36" t="s">
        <v>243</v>
      </c>
      <c r="E36">
        <v>159406</v>
      </c>
      <c r="F36">
        <v>3501.3527899999999</v>
      </c>
      <c r="G36">
        <v>1.0409409999999999E-2</v>
      </c>
    </row>
    <row r="37" spans="1:7" x14ac:dyDescent="0.35">
      <c r="A37">
        <v>31</v>
      </c>
      <c r="B37" t="s">
        <v>360</v>
      </c>
      <c r="C37" t="s">
        <v>361</v>
      </c>
      <c r="D37" t="s">
        <v>38</v>
      </c>
      <c r="E37">
        <v>1168476</v>
      </c>
      <c r="F37">
        <v>3457.5204840000001</v>
      </c>
      <c r="G37">
        <v>1.0279099999999999E-2</v>
      </c>
    </row>
    <row r="38" spans="1:7" x14ac:dyDescent="0.35">
      <c r="A38">
        <v>32</v>
      </c>
      <c r="B38" t="s">
        <v>238</v>
      </c>
      <c r="C38" t="s">
        <v>239</v>
      </c>
      <c r="D38" t="s">
        <v>240</v>
      </c>
      <c r="E38">
        <v>586911</v>
      </c>
      <c r="F38">
        <v>3278.4848459999998</v>
      </c>
      <c r="G38">
        <v>9.7468299999999997E-3</v>
      </c>
    </row>
    <row r="39" spans="1:7" x14ac:dyDescent="0.35">
      <c r="A39">
        <v>33</v>
      </c>
      <c r="B39" t="s">
        <v>329</v>
      </c>
      <c r="C39" t="s">
        <v>330</v>
      </c>
      <c r="D39" t="s">
        <v>324</v>
      </c>
      <c r="E39">
        <v>235000</v>
      </c>
      <c r="F39">
        <v>3133.96</v>
      </c>
      <c r="G39">
        <v>9.3171599999999997E-3</v>
      </c>
    </row>
    <row r="40" spans="1:7" x14ac:dyDescent="0.35">
      <c r="A40">
        <v>34</v>
      </c>
      <c r="B40" t="s">
        <v>279</v>
      </c>
      <c r="C40" t="s">
        <v>280</v>
      </c>
      <c r="D40" t="s">
        <v>281</v>
      </c>
      <c r="E40">
        <v>150611</v>
      </c>
      <c r="F40">
        <v>3126.2325270000001</v>
      </c>
      <c r="G40">
        <v>9.2941900000000008E-3</v>
      </c>
    </row>
    <row r="41" spans="1:7" x14ac:dyDescent="0.35">
      <c r="C41" t="s">
        <v>139</v>
      </c>
      <c r="F41">
        <v>327241.27061250003</v>
      </c>
      <c r="G41">
        <v>0.97287782</v>
      </c>
    </row>
    <row r="43" spans="1:7" x14ac:dyDescent="0.35">
      <c r="C43" t="s">
        <v>140</v>
      </c>
    </row>
    <row r="44" spans="1:7" x14ac:dyDescent="0.35">
      <c r="C44" t="s">
        <v>139</v>
      </c>
      <c r="F44" t="s">
        <v>141</v>
      </c>
      <c r="G44">
        <v>0</v>
      </c>
    </row>
    <row r="46" spans="1:7" x14ac:dyDescent="0.35">
      <c r="C46" t="s">
        <v>142</v>
      </c>
    </row>
    <row r="47" spans="1:7" x14ac:dyDescent="0.35">
      <c r="C47" t="s">
        <v>139</v>
      </c>
      <c r="F47" t="s">
        <v>141</v>
      </c>
      <c r="G47">
        <v>0</v>
      </c>
    </row>
    <row r="49" spans="3:7" x14ac:dyDescent="0.35">
      <c r="C49" t="s">
        <v>147</v>
      </c>
    </row>
    <row r="50" spans="3:7" x14ac:dyDescent="0.35">
      <c r="C50" t="s">
        <v>139</v>
      </c>
      <c r="F50" t="s">
        <v>141</v>
      </c>
      <c r="G50">
        <v>0</v>
      </c>
    </row>
    <row r="52" spans="3:7" x14ac:dyDescent="0.35">
      <c r="C52" t="s">
        <v>148</v>
      </c>
    </row>
    <row r="53" spans="3:7" x14ac:dyDescent="0.35">
      <c r="C53" t="s">
        <v>139</v>
      </c>
      <c r="F53" t="s">
        <v>141</v>
      </c>
      <c r="G53">
        <v>0</v>
      </c>
    </row>
    <row r="55" spans="3:7" x14ac:dyDescent="0.35">
      <c r="C55" t="s">
        <v>149</v>
      </c>
    </row>
    <row r="56" spans="3:7" x14ac:dyDescent="0.35">
      <c r="C56" t="s">
        <v>139</v>
      </c>
      <c r="F56" t="s">
        <v>141</v>
      </c>
      <c r="G56">
        <v>0</v>
      </c>
    </row>
    <row r="58" spans="3:7" x14ac:dyDescent="0.35">
      <c r="C58" t="s">
        <v>150</v>
      </c>
      <c r="F58">
        <f>F41</f>
        <v>327241.27061250003</v>
      </c>
      <c r="G58">
        <f>G41</f>
        <v>0.97287782</v>
      </c>
    </row>
    <row r="60" spans="3:7" x14ac:dyDescent="0.35">
      <c r="C60" t="s">
        <v>151</v>
      </c>
    </row>
    <row r="61" spans="3:7" x14ac:dyDescent="0.35">
      <c r="C61" t="s">
        <v>13</v>
      </c>
    </row>
    <row r="62" spans="3:7" x14ac:dyDescent="0.35">
      <c r="C62" t="s">
        <v>139</v>
      </c>
      <c r="F62" t="s">
        <v>141</v>
      </c>
      <c r="G62">
        <v>0</v>
      </c>
    </row>
    <row r="64" spans="3:7" x14ac:dyDescent="0.35">
      <c r="C64" t="s">
        <v>152</v>
      </c>
    </row>
    <row r="65" spans="1:8" x14ac:dyDescent="0.35">
      <c r="C65" t="s">
        <v>139</v>
      </c>
      <c r="F65" t="s">
        <v>141</v>
      </c>
      <c r="G65">
        <v>0</v>
      </c>
    </row>
    <row r="67" spans="1:8" x14ac:dyDescent="0.35">
      <c r="C67" t="s">
        <v>153</v>
      </c>
    </row>
    <row r="68" spans="1:8" x14ac:dyDescent="0.35">
      <c r="C68" t="s">
        <v>139</v>
      </c>
      <c r="F68" t="s">
        <v>141</v>
      </c>
      <c r="G68">
        <v>0</v>
      </c>
    </row>
    <row r="70" spans="1:8" x14ac:dyDescent="0.35">
      <c r="C70" t="s">
        <v>154</v>
      </c>
    </row>
    <row r="71" spans="1:8" x14ac:dyDescent="0.35">
      <c r="C71" t="s">
        <v>139</v>
      </c>
      <c r="F71" t="s">
        <v>141</v>
      </c>
      <c r="G71">
        <v>0</v>
      </c>
    </row>
    <row r="73" spans="1:8" x14ac:dyDescent="0.35">
      <c r="C73" t="s">
        <v>341</v>
      </c>
    </row>
    <row r="74" spans="1:8" x14ac:dyDescent="0.35">
      <c r="A74">
        <v>1</v>
      </c>
      <c r="B74" t="s">
        <v>342</v>
      </c>
      <c r="C74" t="s">
        <v>343</v>
      </c>
      <c r="D74" t="s">
        <v>252</v>
      </c>
      <c r="E74">
        <v>1115212</v>
      </c>
      <c r="F74">
        <v>113.59549432</v>
      </c>
      <c r="G74">
        <v>3.3772000000000001E-4</v>
      </c>
      <c r="H74">
        <v>6.1050000000000004</v>
      </c>
    </row>
    <row r="75" spans="1:8" x14ac:dyDescent="0.35">
      <c r="C75" t="s">
        <v>139</v>
      </c>
      <c r="F75">
        <f>F74</f>
        <v>113.59549432</v>
      </c>
      <c r="G75">
        <f>G74</f>
        <v>3.3772000000000001E-4</v>
      </c>
    </row>
    <row r="77" spans="1:8" x14ac:dyDescent="0.35">
      <c r="C77" t="s">
        <v>155</v>
      </c>
      <c r="F77">
        <f>F75</f>
        <v>113.59549432</v>
      </c>
      <c r="G77">
        <f>G75</f>
        <v>3.3772000000000001E-4</v>
      </c>
    </row>
    <row r="79" spans="1:8" x14ac:dyDescent="0.35">
      <c r="C79" t="s">
        <v>156</v>
      </c>
    </row>
    <row r="80" spans="1:8" x14ac:dyDescent="0.35">
      <c r="C80" t="s">
        <v>157</v>
      </c>
    </row>
    <row r="81" spans="1:8" x14ac:dyDescent="0.35">
      <c r="C81" t="s">
        <v>139</v>
      </c>
      <c r="F81" t="s">
        <v>141</v>
      </c>
      <c r="G81">
        <v>0</v>
      </c>
    </row>
    <row r="83" spans="1:8" x14ac:dyDescent="0.35">
      <c r="C83" t="s">
        <v>158</v>
      </c>
    </row>
    <row r="84" spans="1:8" x14ac:dyDescent="0.35">
      <c r="C84" t="s">
        <v>139</v>
      </c>
      <c r="F84" t="s">
        <v>141</v>
      </c>
      <c r="G84">
        <v>0</v>
      </c>
    </row>
    <row r="86" spans="1:8" x14ac:dyDescent="0.35">
      <c r="C86" t="s">
        <v>159</v>
      </c>
    </row>
    <row r="87" spans="1:8" x14ac:dyDescent="0.35">
      <c r="C87" t="s">
        <v>139</v>
      </c>
      <c r="F87" t="s">
        <v>141</v>
      </c>
      <c r="G87">
        <v>0</v>
      </c>
    </row>
    <row r="89" spans="1:8" x14ac:dyDescent="0.35">
      <c r="C89" t="s">
        <v>160</v>
      </c>
    </row>
    <row r="90" spans="1:8" x14ac:dyDescent="0.35">
      <c r="A90">
        <v>1</v>
      </c>
      <c r="C90" t="s">
        <v>161</v>
      </c>
      <c r="F90">
        <v>8241.2293440079993</v>
      </c>
      <c r="G90">
        <v>2.4500910000000001E-2</v>
      </c>
      <c r="H90">
        <v>5.42</v>
      </c>
    </row>
    <row r="91" spans="1:8" x14ac:dyDescent="0.35">
      <c r="C91" t="s">
        <v>139</v>
      </c>
      <c r="F91">
        <v>8241.2293440079993</v>
      </c>
      <c r="G91">
        <v>2.4500910000000001E-2</v>
      </c>
    </row>
    <row r="93" spans="1:8" x14ac:dyDescent="0.35">
      <c r="C93" t="s">
        <v>162</v>
      </c>
      <c r="F93">
        <v>8241.2293440079993</v>
      </c>
      <c r="G93">
        <v>2.4500910000000001E-2</v>
      </c>
    </row>
    <row r="95" spans="1:8" x14ac:dyDescent="0.35">
      <c r="C95" t="s">
        <v>163</v>
      </c>
    </row>
    <row r="96" spans="1:8" x14ac:dyDescent="0.35">
      <c r="C96" t="s">
        <v>164</v>
      </c>
    </row>
    <row r="97" spans="2:7" x14ac:dyDescent="0.35">
      <c r="C97" t="s">
        <v>139</v>
      </c>
      <c r="F97" t="s">
        <v>141</v>
      </c>
      <c r="G97">
        <v>0</v>
      </c>
    </row>
    <row r="99" spans="2:7" x14ac:dyDescent="0.35">
      <c r="C99" t="s">
        <v>165</v>
      </c>
    </row>
    <row r="100" spans="2:7" x14ac:dyDescent="0.35">
      <c r="C100" t="s">
        <v>166</v>
      </c>
    </row>
    <row r="101" spans="2:7" x14ac:dyDescent="0.35">
      <c r="C101" t="s">
        <v>139</v>
      </c>
      <c r="F101" t="s">
        <v>141</v>
      </c>
      <c r="G101">
        <v>0</v>
      </c>
    </row>
    <row r="103" spans="2:7" x14ac:dyDescent="0.35">
      <c r="C103" t="s">
        <v>167</v>
      </c>
    </row>
    <row r="104" spans="2:7" x14ac:dyDescent="0.35">
      <c r="C104" t="s">
        <v>139</v>
      </c>
      <c r="F104" t="s">
        <v>141</v>
      </c>
      <c r="G104">
        <v>0</v>
      </c>
    </row>
    <row r="107" spans="2:7" x14ac:dyDescent="0.35">
      <c r="C107" t="s">
        <v>168</v>
      </c>
      <c r="F107">
        <v>768.112754</v>
      </c>
      <c r="G107">
        <v>2.2835799999999999E-3</v>
      </c>
    </row>
    <row r="108" spans="2:7" x14ac:dyDescent="0.35">
      <c r="C108" t="s">
        <v>169</v>
      </c>
      <c r="F108">
        <v>336364.20820482803</v>
      </c>
      <c r="G108">
        <v>1.00000003</v>
      </c>
    </row>
    <row r="110" spans="2:7" x14ac:dyDescent="0.35">
      <c r="B110" t="s">
        <v>170</v>
      </c>
    </row>
    <row r="111" spans="2:7" x14ac:dyDescent="0.35">
      <c r="B111" t="s">
        <v>171</v>
      </c>
    </row>
    <row r="112" spans="2:7" x14ac:dyDescent="0.35">
      <c r="B112" t="s">
        <v>172</v>
      </c>
    </row>
    <row r="113" spans="2:4" x14ac:dyDescent="0.35">
      <c r="B113" t="s">
        <v>173</v>
      </c>
    </row>
    <row r="114" spans="2:4" x14ac:dyDescent="0.35">
      <c r="B114" t="s">
        <v>174</v>
      </c>
    </row>
    <row r="116" spans="2:4" x14ac:dyDescent="0.35">
      <c r="B116" t="s">
        <v>175</v>
      </c>
    </row>
    <row r="117" spans="2:4" x14ac:dyDescent="0.35">
      <c r="B117" t="s">
        <v>176</v>
      </c>
      <c r="D117" t="s">
        <v>177</v>
      </c>
    </row>
    <row r="118" spans="2:4" x14ac:dyDescent="0.35">
      <c r="B118" t="s">
        <v>178</v>
      </c>
      <c r="D118" t="s">
        <v>177</v>
      </c>
    </row>
    <row r="119" spans="2:4" x14ac:dyDescent="0.35">
      <c r="B119" t="s">
        <v>179</v>
      </c>
    </row>
    <row r="120" spans="2:4" x14ac:dyDescent="0.35">
      <c r="C120" t="s">
        <v>180</v>
      </c>
      <c r="D120" t="s">
        <v>181</v>
      </c>
    </row>
    <row r="121" spans="2:4" x14ac:dyDescent="0.35">
      <c r="B121" t="s">
        <v>182</v>
      </c>
      <c r="C121" s="1">
        <v>45991</v>
      </c>
      <c r="D121" s="1">
        <v>46022</v>
      </c>
    </row>
    <row r="122" spans="2:4" x14ac:dyDescent="0.35">
      <c r="B122" t="s">
        <v>183</v>
      </c>
      <c r="C122">
        <v>23.515999999999998</v>
      </c>
      <c r="D122">
        <v>23.538499999999999</v>
      </c>
    </row>
    <row r="123" spans="2:4" x14ac:dyDescent="0.35">
      <c r="B123" t="s">
        <v>184</v>
      </c>
      <c r="C123">
        <v>17.074100000000001</v>
      </c>
      <c r="D123">
        <v>17.090399999999999</v>
      </c>
    </row>
    <row r="124" spans="2:4" x14ac:dyDescent="0.35">
      <c r="B124" t="s">
        <v>185</v>
      </c>
      <c r="C124">
        <v>21.8018</v>
      </c>
      <c r="D124">
        <v>21.799199999999999</v>
      </c>
    </row>
    <row r="125" spans="2:4" x14ac:dyDescent="0.35">
      <c r="B125" t="s">
        <v>186</v>
      </c>
      <c r="C125">
        <v>15.8043</v>
      </c>
      <c r="D125">
        <v>15.8024</v>
      </c>
    </row>
    <row r="127" spans="2:4" x14ac:dyDescent="0.35">
      <c r="B127" t="s">
        <v>187</v>
      </c>
      <c r="D127" t="s">
        <v>177</v>
      </c>
    </row>
    <row r="129" spans="2:4" x14ac:dyDescent="0.35">
      <c r="B129" t="s">
        <v>188</v>
      </c>
      <c r="D129" t="s">
        <v>177</v>
      </c>
    </row>
    <row r="130" spans="2:4" x14ac:dyDescent="0.35">
      <c r="B130" t="s">
        <v>189</v>
      </c>
      <c r="D130" t="s">
        <v>177</v>
      </c>
    </row>
    <row r="131" spans="2:4" x14ac:dyDescent="0.35">
      <c r="B131" t="s">
        <v>190</v>
      </c>
      <c r="D131" t="s">
        <v>177</v>
      </c>
    </row>
    <row r="132" spans="2:4" x14ac:dyDescent="0.35">
      <c r="B132" t="s">
        <v>191</v>
      </c>
      <c r="D132">
        <v>0.34799395417093221</v>
      </c>
    </row>
    <row r="134" spans="2:4" x14ac:dyDescent="0.35">
      <c r="B134" t="s">
        <v>192</v>
      </c>
    </row>
    <row r="139" spans="2:4" x14ac:dyDescent="0.35">
      <c r="B139" t="s">
        <v>193</v>
      </c>
    </row>
    <row r="140" spans="2:4" x14ac:dyDescent="0.35">
      <c r="B140" t="s">
        <v>978</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46"/>
  <sheetViews>
    <sheetView workbookViewId="0"/>
  </sheetViews>
  <sheetFormatPr defaultRowHeight="14.5" x14ac:dyDescent="0.35"/>
  <sheetData>
    <row r="1" spans="1:9" x14ac:dyDescent="0.35">
      <c r="A1" t="s">
        <v>0</v>
      </c>
      <c r="I1" t="s">
        <v>1</v>
      </c>
    </row>
    <row r="2" spans="1:9" x14ac:dyDescent="0.35">
      <c r="A2" t="s">
        <v>979</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14</v>
      </c>
      <c r="C7" t="s">
        <v>15</v>
      </c>
      <c r="D7" t="s">
        <v>16</v>
      </c>
      <c r="E7">
        <v>532285</v>
      </c>
      <c r="F7">
        <v>11207.792960000001</v>
      </c>
      <c r="G7">
        <v>6.2653249999999994E-2</v>
      </c>
    </row>
    <row r="8" spans="1:9" x14ac:dyDescent="0.35">
      <c r="A8">
        <v>2</v>
      </c>
      <c r="B8" t="s">
        <v>356</v>
      </c>
      <c r="C8" t="s">
        <v>357</v>
      </c>
      <c r="D8" t="s">
        <v>38</v>
      </c>
      <c r="E8">
        <v>480763</v>
      </c>
      <c r="F8">
        <v>10582.074393000001</v>
      </c>
      <c r="G8">
        <v>5.915538E-2</v>
      </c>
    </row>
    <row r="9" spans="1:9" x14ac:dyDescent="0.35">
      <c r="A9">
        <v>3</v>
      </c>
      <c r="B9" t="s">
        <v>17</v>
      </c>
      <c r="C9" t="s">
        <v>18</v>
      </c>
      <c r="D9" t="s">
        <v>19</v>
      </c>
      <c r="E9">
        <v>218399</v>
      </c>
      <c r="F9">
        <v>8918.3231649999998</v>
      </c>
      <c r="G9">
        <v>4.985477E-2</v>
      </c>
    </row>
    <row r="10" spans="1:9" x14ac:dyDescent="0.35">
      <c r="A10">
        <v>4</v>
      </c>
      <c r="B10" t="s">
        <v>374</v>
      </c>
      <c r="C10" t="s">
        <v>375</v>
      </c>
      <c r="D10" t="s">
        <v>324</v>
      </c>
      <c r="E10">
        <v>3037687</v>
      </c>
      <c r="F10">
        <v>8446.2887035000003</v>
      </c>
      <c r="G10">
        <v>4.7216019999999997E-2</v>
      </c>
    </row>
    <row r="11" spans="1:9" x14ac:dyDescent="0.35">
      <c r="A11">
        <v>5</v>
      </c>
      <c r="B11" t="s">
        <v>20</v>
      </c>
      <c r="C11" t="s">
        <v>21</v>
      </c>
      <c r="D11" t="s">
        <v>22</v>
      </c>
      <c r="E11">
        <v>450032</v>
      </c>
      <c r="F11">
        <v>7067.3025280000002</v>
      </c>
      <c r="G11">
        <v>3.9507279999999999E-2</v>
      </c>
    </row>
    <row r="12" spans="1:9" x14ac:dyDescent="0.35">
      <c r="A12">
        <v>6</v>
      </c>
      <c r="B12" t="s">
        <v>358</v>
      </c>
      <c r="C12" t="s">
        <v>359</v>
      </c>
      <c r="D12" t="s">
        <v>252</v>
      </c>
      <c r="E12">
        <v>156652</v>
      </c>
      <c r="F12">
        <v>5810.5359840000001</v>
      </c>
      <c r="G12">
        <v>3.248177E-2</v>
      </c>
    </row>
    <row r="13" spans="1:9" x14ac:dyDescent="0.35">
      <c r="A13">
        <v>7</v>
      </c>
      <c r="B13" t="s">
        <v>711</v>
      </c>
      <c r="C13" t="s">
        <v>712</v>
      </c>
      <c r="D13" t="s">
        <v>710</v>
      </c>
      <c r="E13">
        <v>584396</v>
      </c>
      <c r="F13">
        <v>5181.8393319999996</v>
      </c>
      <c r="G13">
        <v>2.8967260000000002E-2</v>
      </c>
    </row>
    <row r="14" spans="1:9" x14ac:dyDescent="0.35">
      <c r="A14">
        <v>8</v>
      </c>
      <c r="B14" t="s">
        <v>368</v>
      </c>
      <c r="C14" t="s">
        <v>369</v>
      </c>
      <c r="D14" t="s">
        <v>274</v>
      </c>
      <c r="E14">
        <v>275632</v>
      </c>
      <c r="F14">
        <v>4959.7222080000001</v>
      </c>
      <c r="G14">
        <v>2.7725590000000001E-2</v>
      </c>
    </row>
    <row r="15" spans="1:9" x14ac:dyDescent="0.35">
      <c r="A15">
        <v>9</v>
      </c>
      <c r="B15" t="s">
        <v>63</v>
      </c>
      <c r="C15" t="s">
        <v>64</v>
      </c>
      <c r="D15" t="s">
        <v>65</v>
      </c>
      <c r="E15">
        <v>75393</v>
      </c>
      <c r="F15">
        <v>4815.3509100000001</v>
      </c>
      <c r="G15">
        <v>2.691853E-2</v>
      </c>
    </row>
    <row r="16" spans="1:9" x14ac:dyDescent="0.35">
      <c r="A16">
        <v>10</v>
      </c>
      <c r="B16" t="s">
        <v>104</v>
      </c>
      <c r="C16" t="s">
        <v>105</v>
      </c>
      <c r="D16" t="s">
        <v>28</v>
      </c>
      <c r="E16">
        <v>811735</v>
      </c>
      <c r="F16">
        <v>4516.0876724999998</v>
      </c>
      <c r="G16">
        <v>2.5245610000000002E-2</v>
      </c>
    </row>
    <row r="17" spans="1:7" x14ac:dyDescent="0.35">
      <c r="A17">
        <v>11</v>
      </c>
      <c r="B17" t="s">
        <v>364</v>
      </c>
      <c r="C17" t="s">
        <v>365</v>
      </c>
      <c r="D17" t="s">
        <v>31</v>
      </c>
      <c r="E17">
        <v>98914</v>
      </c>
      <c r="F17">
        <v>4341.0387179999998</v>
      </c>
      <c r="G17">
        <v>2.426706E-2</v>
      </c>
    </row>
    <row r="18" spans="1:7" x14ac:dyDescent="0.35">
      <c r="A18">
        <v>12</v>
      </c>
      <c r="B18" t="s">
        <v>949</v>
      </c>
      <c r="C18" t="s">
        <v>950</v>
      </c>
      <c r="D18" t="s">
        <v>240</v>
      </c>
      <c r="E18">
        <v>1688302</v>
      </c>
      <c r="F18">
        <v>4339.780291</v>
      </c>
      <c r="G18">
        <v>2.426002E-2</v>
      </c>
    </row>
    <row r="19" spans="1:7" x14ac:dyDescent="0.35">
      <c r="A19">
        <v>13</v>
      </c>
      <c r="B19" t="s">
        <v>221</v>
      </c>
      <c r="C19" t="s">
        <v>222</v>
      </c>
      <c r="D19" t="s">
        <v>223</v>
      </c>
      <c r="E19">
        <v>234297</v>
      </c>
      <c r="F19">
        <v>4277.3260319999999</v>
      </c>
      <c r="G19">
        <v>2.3910890000000001E-2</v>
      </c>
    </row>
    <row r="20" spans="1:7" x14ac:dyDescent="0.35">
      <c r="A20">
        <v>14</v>
      </c>
      <c r="B20" t="s">
        <v>508</v>
      </c>
      <c r="C20" t="s">
        <v>509</v>
      </c>
      <c r="D20" t="s">
        <v>257</v>
      </c>
      <c r="E20">
        <v>279909</v>
      </c>
      <c r="F20">
        <v>4041.046233</v>
      </c>
      <c r="G20">
        <v>2.2590059999999999E-2</v>
      </c>
    </row>
    <row r="21" spans="1:7" x14ac:dyDescent="0.35">
      <c r="A21">
        <v>15</v>
      </c>
      <c r="B21" t="s">
        <v>98</v>
      </c>
      <c r="C21" t="s">
        <v>99</v>
      </c>
      <c r="D21" t="s">
        <v>79</v>
      </c>
      <c r="E21">
        <v>916913</v>
      </c>
      <c r="F21">
        <v>3702.9531505</v>
      </c>
      <c r="G21">
        <v>2.0700059999999999E-2</v>
      </c>
    </row>
    <row r="22" spans="1:7" x14ac:dyDescent="0.35">
      <c r="A22">
        <v>16</v>
      </c>
      <c r="B22" t="s">
        <v>500</v>
      </c>
      <c r="C22" t="s">
        <v>501</v>
      </c>
      <c r="D22" t="s">
        <v>43</v>
      </c>
      <c r="E22">
        <v>397564</v>
      </c>
      <c r="F22">
        <v>3616.0433619999999</v>
      </c>
      <c r="G22">
        <v>2.021423E-2</v>
      </c>
    </row>
    <row r="23" spans="1:7" x14ac:dyDescent="0.35">
      <c r="A23">
        <v>17</v>
      </c>
      <c r="B23" t="s">
        <v>286</v>
      </c>
      <c r="C23" t="s">
        <v>287</v>
      </c>
      <c r="D23" t="s">
        <v>38</v>
      </c>
      <c r="E23">
        <v>410607</v>
      </c>
      <c r="F23">
        <v>3548.465694</v>
      </c>
      <c r="G23">
        <v>1.983646E-2</v>
      </c>
    </row>
    <row r="24" spans="1:7" x14ac:dyDescent="0.35">
      <c r="A24">
        <v>18</v>
      </c>
      <c r="B24" t="s">
        <v>446</v>
      </c>
      <c r="C24" t="s">
        <v>447</v>
      </c>
      <c r="D24" t="s">
        <v>274</v>
      </c>
      <c r="E24">
        <v>312617</v>
      </c>
      <c r="F24">
        <v>3494.4328260000002</v>
      </c>
      <c r="G24">
        <v>1.95344E-2</v>
      </c>
    </row>
    <row r="25" spans="1:7" x14ac:dyDescent="0.35">
      <c r="A25">
        <v>19</v>
      </c>
      <c r="B25" t="s">
        <v>238</v>
      </c>
      <c r="C25" t="s">
        <v>239</v>
      </c>
      <c r="D25" t="s">
        <v>240</v>
      </c>
      <c r="E25">
        <v>610330</v>
      </c>
      <c r="F25">
        <v>3409.3033799999998</v>
      </c>
      <c r="G25">
        <v>1.9058519999999999E-2</v>
      </c>
    </row>
    <row r="26" spans="1:7" x14ac:dyDescent="0.35">
      <c r="A26">
        <v>20</v>
      </c>
      <c r="B26" t="s">
        <v>970</v>
      </c>
      <c r="C26" t="s">
        <v>971</v>
      </c>
      <c r="D26" t="s">
        <v>65</v>
      </c>
      <c r="E26">
        <v>1427147</v>
      </c>
      <c r="F26">
        <v>3360.2176115000002</v>
      </c>
      <c r="G26">
        <v>1.8784120000000001E-2</v>
      </c>
    </row>
    <row r="27" spans="1:7" x14ac:dyDescent="0.35">
      <c r="A27">
        <v>21</v>
      </c>
      <c r="B27" t="s">
        <v>29</v>
      </c>
      <c r="C27" t="s">
        <v>30</v>
      </c>
      <c r="D27" t="s">
        <v>31</v>
      </c>
      <c r="E27">
        <v>836771</v>
      </c>
      <c r="F27">
        <v>3343.7369159999998</v>
      </c>
      <c r="G27">
        <v>1.8691989999999999E-2</v>
      </c>
    </row>
    <row r="28" spans="1:7" x14ac:dyDescent="0.35">
      <c r="A28">
        <v>22</v>
      </c>
      <c r="B28" t="s">
        <v>253</v>
      </c>
      <c r="C28" t="s">
        <v>254</v>
      </c>
      <c r="D28" t="s">
        <v>235</v>
      </c>
      <c r="E28">
        <v>270142</v>
      </c>
      <c r="F28">
        <v>3214.6898000000001</v>
      </c>
      <c r="G28">
        <v>1.79706E-2</v>
      </c>
    </row>
    <row r="29" spans="1:7" x14ac:dyDescent="0.35">
      <c r="A29">
        <v>23</v>
      </c>
      <c r="B29" t="s">
        <v>980</v>
      </c>
      <c r="C29" t="s">
        <v>981</v>
      </c>
      <c r="D29" t="s">
        <v>114</v>
      </c>
      <c r="E29">
        <v>166330</v>
      </c>
      <c r="F29">
        <v>3146.9636</v>
      </c>
      <c r="G29">
        <v>1.7592E-2</v>
      </c>
    </row>
    <row r="30" spans="1:7" x14ac:dyDescent="0.35">
      <c r="A30">
        <v>24</v>
      </c>
      <c r="B30" t="s">
        <v>41</v>
      </c>
      <c r="C30" t="s">
        <v>42</v>
      </c>
      <c r="D30" t="s">
        <v>43</v>
      </c>
      <c r="E30">
        <v>185133</v>
      </c>
      <c r="F30">
        <v>3146.3353350000002</v>
      </c>
      <c r="G30">
        <v>1.7588489999999998E-2</v>
      </c>
    </row>
    <row r="31" spans="1:7" x14ac:dyDescent="0.35">
      <c r="A31">
        <v>25</v>
      </c>
      <c r="B31" t="s">
        <v>59</v>
      </c>
      <c r="C31" t="s">
        <v>60</v>
      </c>
      <c r="D31" t="s">
        <v>43</v>
      </c>
      <c r="E31">
        <v>20306</v>
      </c>
      <c r="F31">
        <v>3021.1266799999999</v>
      </c>
      <c r="G31">
        <v>1.6888549999999999E-2</v>
      </c>
    </row>
    <row r="32" spans="1:7" x14ac:dyDescent="0.35">
      <c r="A32">
        <v>26</v>
      </c>
      <c r="B32" t="s">
        <v>270</v>
      </c>
      <c r="C32" t="s">
        <v>271</v>
      </c>
      <c r="D32" t="s">
        <v>43</v>
      </c>
      <c r="E32">
        <v>623711</v>
      </c>
      <c r="F32">
        <v>2990.070534</v>
      </c>
      <c r="G32">
        <v>1.6714940000000001E-2</v>
      </c>
    </row>
    <row r="33" spans="1:7" x14ac:dyDescent="0.35">
      <c r="A33">
        <v>27</v>
      </c>
      <c r="B33" t="s">
        <v>390</v>
      </c>
      <c r="C33" t="s">
        <v>391</v>
      </c>
      <c r="D33" t="s">
        <v>230</v>
      </c>
      <c r="E33">
        <v>430943</v>
      </c>
      <c r="F33">
        <v>2980.832731</v>
      </c>
      <c r="G33">
        <v>1.6663299999999999E-2</v>
      </c>
    </row>
    <row r="34" spans="1:7" x14ac:dyDescent="0.35">
      <c r="A34">
        <v>28</v>
      </c>
      <c r="B34" t="s">
        <v>322</v>
      </c>
      <c r="C34" t="s">
        <v>323</v>
      </c>
      <c r="D34" t="s">
        <v>324</v>
      </c>
      <c r="E34">
        <v>1106835</v>
      </c>
      <c r="F34">
        <v>2934.7730025000001</v>
      </c>
      <c r="G34">
        <v>1.6405820000000002E-2</v>
      </c>
    </row>
    <row r="35" spans="1:7" x14ac:dyDescent="0.35">
      <c r="A35">
        <v>29</v>
      </c>
      <c r="B35" t="s">
        <v>889</v>
      </c>
      <c r="C35" t="s">
        <v>890</v>
      </c>
      <c r="D35" t="s">
        <v>206</v>
      </c>
      <c r="E35">
        <v>198167</v>
      </c>
      <c r="F35">
        <v>2901.1648799999998</v>
      </c>
      <c r="G35">
        <v>1.6217949999999998E-2</v>
      </c>
    </row>
    <row r="36" spans="1:7" x14ac:dyDescent="0.35">
      <c r="A36">
        <v>30</v>
      </c>
      <c r="B36" t="s">
        <v>80</v>
      </c>
      <c r="C36" t="s">
        <v>81</v>
      </c>
      <c r="D36" t="s">
        <v>43</v>
      </c>
      <c r="E36">
        <v>36737</v>
      </c>
      <c r="F36">
        <v>2824.891615</v>
      </c>
      <c r="G36">
        <v>1.5791570000000001E-2</v>
      </c>
    </row>
    <row r="37" spans="1:7" x14ac:dyDescent="0.35">
      <c r="A37">
        <v>31</v>
      </c>
      <c r="B37" t="s">
        <v>119</v>
      </c>
      <c r="C37" t="s">
        <v>120</v>
      </c>
      <c r="D37" t="s">
        <v>53</v>
      </c>
      <c r="E37">
        <v>262754</v>
      </c>
      <c r="F37">
        <v>2784.6668920000002</v>
      </c>
      <c r="G37">
        <v>1.5566709999999999E-2</v>
      </c>
    </row>
    <row r="38" spans="1:7" x14ac:dyDescent="0.35">
      <c r="A38">
        <v>32</v>
      </c>
      <c r="B38" t="s">
        <v>982</v>
      </c>
      <c r="C38" t="s">
        <v>983</v>
      </c>
      <c r="D38" t="s">
        <v>53</v>
      </c>
      <c r="E38">
        <v>1285450</v>
      </c>
      <c r="F38">
        <v>2464.2076499999998</v>
      </c>
      <c r="G38">
        <v>1.3775290000000001E-2</v>
      </c>
    </row>
    <row r="39" spans="1:7" x14ac:dyDescent="0.35">
      <c r="A39">
        <v>33</v>
      </c>
      <c r="B39" t="s">
        <v>442</v>
      </c>
      <c r="C39" t="s">
        <v>443</v>
      </c>
      <c r="D39" t="s">
        <v>235</v>
      </c>
      <c r="E39">
        <v>91883</v>
      </c>
      <c r="F39">
        <v>2341.5463719999998</v>
      </c>
      <c r="G39">
        <v>1.30896E-2</v>
      </c>
    </row>
    <row r="40" spans="1:7" x14ac:dyDescent="0.35">
      <c r="A40">
        <v>34</v>
      </c>
      <c r="B40" t="s">
        <v>325</v>
      </c>
      <c r="C40" t="s">
        <v>326</v>
      </c>
      <c r="D40" t="s">
        <v>114</v>
      </c>
      <c r="E40">
        <v>433519</v>
      </c>
      <c r="F40">
        <v>2256.2496354999998</v>
      </c>
      <c r="G40">
        <v>1.2612770000000001E-2</v>
      </c>
    </row>
    <row r="41" spans="1:7" x14ac:dyDescent="0.35">
      <c r="A41">
        <v>35</v>
      </c>
      <c r="B41" t="s">
        <v>984</v>
      </c>
      <c r="C41" t="s">
        <v>985</v>
      </c>
      <c r="D41" t="s">
        <v>460</v>
      </c>
      <c r="E41">
        <v>390989</v>
      </c>
      <c r="F41">
        <v>2159.2367525</v>
      </c>
      <c r="G41">
        <v>1.207046E-2</v>
      </c>
    </row>
    <row r="42" spans="1:7" x14ac:dyDescent="0.35">
      <c r="A42">
        <v>36</v>
      </c>
      <c r="B42" t="s">
        <v>468</v>
      </c>
      <c r="C42" t="s">
        <v>469</v>
      </c>
      <c r="D42" t="s">
        <v>53</v>
      </c>
      <c r="E42">
        <v>80193</v>
      </c>
      <c r="F42">
        <v>2085.6595440000001</v>
      </c>
      <c r="G42">
        <v>1.165915E-2</v>
      </c>
    </row>
    <row r="43" spans="1:7" x14ac:dyDescent="0.35">
      <c r="A43">
        <v>37</v>
      </c>
      <c r="B43" t="s">
        <v>986</v>
      </c>
      <c r="C43" t="s">
        <v>987</v>
      </c>
      <c r="D43" t="s">
        <v>230</v>
      </c>
      <c r="E43">
        <v>173955</v>
      </c>
      <c r="F43">
        <v>2039.6223749999999</v>
      </c>
      <c r="G43">
        <v>1.14018E-2</v>
      </c>
    </row>
    <row r="44" spans="1:7" x14ac:dyDescent="0.35">
      <c r="A44">
        <v>38</v>
      </c>
      <c r="B44" t="s">
        <v>297</v>
      </c>
      <c r="C44" t="s">
        <v>298</v>
      </c>
      <c r="D44" t="s">
        <v>299</v>
      </c>
      <c r="E44">
        <v>116569</v>
      </c>
      <c r="F44">
        <v>2018.6253730000001</v>
      </c>
      <c r="G44">
        <v>1.128442E-2</v>
      </c>
    </row>
    <row r="45" spans="1:7" x14ac:dyDescent="0.35">
      <c r="A45">
        <v>39</v>
      </c>
      <c r="B45" t="s">
        <v>899</v>
      </c>
      <c r="C45" t="s">
        <v>900</v>
      </c>
      <c r="D45" t="s">
        <v>324</v>
      </c>
      <c r="E45">
        <v>417376</v>
      </c>
      <c r="F45">
        <v>1927.8597440000001</v>
      </c>
      <c r="G45">
        <v>1.077703E-2</v>
      </c>
    </row>
    <row r="46" spans="1:7" x14ac:dyDescent="0.35">
      <c r="A46">
        <v>40</v>
      </c>
      <c r="B46" t="s">
        <v>988</v>
      </c>
      <c r="C46" t="s">
        <v>989</v>
      </c>
      <c r="D46" t="s">
        <v>324</v>
      </c>
      <c r="E46">
        <v>1246487</v>
      </c>
      <c r="F46">
        <v>1664.6833885000001</v>
      </c>
      <c r="G46">
        <v>9.3058299999999993E-3</v>
      </c>
    </row>
    <row r="47" spans="1:7" x14ac:dyDescent="0.35">
      <c r="A47">
        <v>41</v>
      </c>
      <c r="B47" t="s">
        <v>951</v>
      </c>
      <c r="C47" t="s">
        <v>952</v>
      </c>
      <c r="D47" t="s">
        <v>252</v>
      </c>
      <c r="E47">
        <v>275887</v>
      </c>
      <c r="F47">
        <v>1302.4625269999999</v>
      </c>
      <c r="G47">
        <v>7.2809600000000004E-3</v>
      </c>
    </row>
    <row r="48" spans="1:7" x14ac:dyDescent="0.35">
      <c r="A48">
        <v>42</v>
      </c>
      <c r="B48" t="s">
        <v>723</v>
      </c>
      <c r="C48" t="s">
        <v>724</v>
      </c>
      <c r="D48" t="s">
        <v>394</v>
      </c>
      <c r="E48">
        <v>15765</v>
      </c>
      <c r="F48">
        <v>950.78715</v>
      </c>
      <c r="G48">
        <v>5.31504E-3</v>
      </c>
    </row>
    <row r="49" spans="1:7" x14ac:dyDescent="0.35">
      <c r="A49">
        <v>43</v>
      </c>
      <c r="B49" t="s">
        <v>335</v>
      </c>
      <c r="C49" t="s">
        <v>336</v>
      </c>
      <c r="D49" t="s">
        <v>43</v>
      </c>
      <c r="E49">
        <v>41479</v>
      </c>
      <c r="F49">
        <v>767.817769</v>
      </c>
      <c r="G49">
        <v>4.2922200000000002E-3</v>
      </c>
    </row>
    <row r="50" spans="1:7" x14ac:dyDescent="0.35">
      <c r="A50">
        <v>44</v>
      </c>
      <c r="B50" t="s">
        <v>310</v>
      </c>
      <c r="C50" t="s">
        <v>311</v>
      </c>
      <c r="D50" t="s">
        <v>235</v>
      </c>
      <c r="E50">
        <v>378588</v>
      </c>
      <c r="F50">
        <v>591.24087959999997</v>
      </c>
      <c r="G50">
        <v>3.3051299999999999E-3</v>
      </c>
    </row>
    <row r="51" spans="1:7" x14ac:dyDescent="0.35">
      <c r="A51">
        <v>45</v>
      </c>
      <c r="B51" t="s">
        <v>990</v>
      </c>
      <c r="C51" t="s">
        <v>991</v>
      </c>
      <c r="D51" t="s">
        <v>526</v>
      </c>
      <c r="E51">
        <v>98623</v>
      </c>
      <c r="F51">
        <v>392.86472049999998</v>
      </c>
      <c r="G51">
        <v>2.1961699999999999E-3</v>
      </c>
    </row>
    <row r="52" spans="1:7" x14ac:dyDescent="0.35">
      <c r="C52" t="s">
        <v>139</v>
      </c>
      <c r="F52">
        <v>165888.0410201</v>
      </c>
      <c r="G52">
        <v>0.92733907000000004</v>
      </c>
    </row>
    <row r="54" spans="1:7" x14ac:dyDescent="0.35">
      <c r="C54" t="s">
        <v>140</v>
      </c>
    </row>
    <row r="55" spans="1:7" x14ac:dyDescent="0.35">
      <c r="C55" t="s">
        <v>139</v>
      </c>
      <c r="F55" t="s">
        <v>141</v>
      </c>
      <c r="G55">
        <v>0</v>
      </c>
    </row>
    <row r="57" spans="1:7" x14ac:dyDescent="0.35">
      <c r="C57" t="s">
        <v>142</v>
      </c>
    </row>
    <row r="58" spans="1:7" x14ac:dyDescent="0.35">
      <c r="C58" t="s">
        <v>139</v>
      </c>
      <c r="F58" t="s">
        <v>141</v>
      </c>
      <c r="G58">
        <v>0</v>
      </c>
    </row>
    <row r="60" spans="1:7" x14ac:dyDescent="0.35">
      <c r="C60" t="s">
        <v>147</v>
      </c>
    </row>
    <row r="61" spans="1:7" x14ac:dyDescent="0.35">
      <c r="C61" t="s">
        <v>139</v>
      </c>
      <c r="F61" t="s">
        <v>141</v>
      </c>
      <c r="G61">
        <v>0</v>
      </c>
    </row>
    <row r="63" spans="1:7" x14ac:dyDescent="0.35">
      <c r="C63" t="s">
        <v>148</v>
      </c>
    </row>
    <row r="64" spans="1:7" x14ac:dyDescent="0.35">
      <c r="C64" t="s">
        <v>139</v>
      </c>
      <c r="F64" t="s">
        <v>141</v>
      </c>
      <c r="G64">
        <v>0</v>
      </c>
    </row>
    <row r="66" spans="3:7" x14ac:dyDescent="0.35">
      <c r="C66" t="s">
        <v>149</v>
      </c>
    </row>
    <row r="67" spans="3:7" x14ac:dyDescent="0.35">
      <c r="C67" t="s">
        <v>139</v>
      </c>
      <c r="F67" t="s">
        <v>141</v>
      </c>
      <c r="G67">
        <v>0</v>
      </c>
    </row>
    <row r="69" spans="3:7" x14ac:dyDescent="0.35">
      <c r="C69" t="s">
        <v>150</v>
      </c>
      <c r="F69">
        <v>165888.0410201</v>
      </c>
      <c r="G69">
        <v>0.92733907000000004</v>
      </c>
    </row>
    <row r="71" spans="3:7" x14ac:dyDescent="0.35">
      <c r="C71" t="s">
        <v>151</v>
      </c>
    </row>
    <row r="72" spans="3:7" x14ac:dyDescent="0.35">
      <c r="C72" t="s">
        <v>13</v>
      </c>
    </row>
    <row r="73" spans="3:7" x14ac:dyDescent="0.35">
      <c r="C73" t="s">
        <v>139</v>
      </c>
      <c r="F73" t="s">
        <v>141</v>
      </c>
      <c r="G73">
        <v>0</v>
      </c>
    </row>
    <row r="75" spans="3:7" x14ac:dyDescent="0.35">
      <c r="C75" t="s">
        <v>152</v>
      </c>
    </row>
    <row r="76" spans="3:7" x14ac:dyDescent="0.35">
      <c r="C76" t="s">
        <v>139</v>
      </c>
      <c r="F76" t="s">
        <v>141</v>
      </c>
      <c r="G76">
        <v>0</v>
      </c>
    </row>
    <row r="78" spans="3:7" x14ac:dyDescent="0.35">
      <c r="C78" t="s">
        <v>153</v>
      </c>
    </row>
    <row r="79" spans="3:7" x14ac:dyDescent="0.35">
      <c r="C79" t="s">
        <v>139</v>
      </c>
      <c r="F79" t="s">
        <v>141</v>
      </c>
      <c r="G79">
        <v>0</v>
      </c>
    </row>
    <row r="81" spans="3:7" x14ac:dyDescent="0.35">
      <c r="C81" t="s">
        <v>154</v>
      </c>
    </row>
    <row r="82" spans="3:7" x14ac:dyDescent="0.35">
      <c r="C82" t="s">
        <v>139</v>
      </c>
      <c r="F82" t="s">
        <v>141</v>
      </c>
      <c r="G82">
        <v>0</v>
      </c>
    </row>
    <row r="84" spans="3:7" x14ac:dyDescent="0.35">
      <c r="C84" t="s">
        <v>155</v>
      </c>
      <c r="F84">
        <v>0</v>
      </c>
      <c r="G84">
        <v>0</v>
      </c>
    </row>
    <row r="86" spans="3:7" x14ac:dyDescent="0.35">
      <c r="C86" t="s">
        <v>156</v>
      </c>
    </row>
    <row r="87" spans="3:7" x14ac:dyDescent="0.35">
      <c r="C87" t="s">
        <v>157</v>
      </c>
    </row>
    <row r="88" spans="3:7" x14ac:dyDescent="0.35">
      <c r="C88" t="s">
        <v>139</v>
      </c>
      <c r="F88" t="s">
        <v>141</v>
      </c>
      <c r="G88">
        <v>0</v>
      </c>
    </row>
    <row r="90" spans="3:7" x14ac:dyDescent="0.35">
      <c r="C90" t="s">
        <v>158</v>
      </c>
    </row>
    <row r="91" spans="3:7" x14ac:dyDescent="0.35">
      <c r="C91" t="s">
        <v>139</v>
      </c>
      <c r="F91" t="s">
        <v>141</v>
      </c>
      <c r="G91">
        <v>0</v>
      </c>
    </row>
    <row r="93" spans="3:7" x14ac:dyDescent="0.35">
      <c r="C93" t="s">
        <v>159</v>
      </c>
    </row>
    <row r="94" spans="3:7" x14ac:dyDescent="0.35">
      <c r="C94" t="s">
        <v>139</v>
      </c>
      <c r="F94" t="s">
        <v>141</v>
      </c>
      <c r="G94">
        <v>0</v>
      </c>
    </row>
    <row r="96" spans="3:7" x14ac:dyDescent="0.35">
      <c r="C96" t="s">
        <v>160</v>
      </c>
    </row>
    <row r="97" spans="1:8" x14ac:dyDescent="0.35">
      <c r="A97">
        <v>1</v>
      </c>
      <c r="C97" t="s">
        <v>161</v>
      </c>
      <c r="F97">
        <v>12822.316902949</v>
      </c>
      <c r="G97">
        <v>7.1678679999999995E-2</v>
      </c>
      <c r="H97">
        <v>5.42</v>
      </c>
    </row>
    <row r="98" spans="1:8" x14ac:dyDescent="0.35">
      <c r="C98" t="s">
        <v>139</v>
      </c>
      <c r="F98">
        <v>12822.316902949</v>
      </c>
      <c r="G98">
        <v>7.1678679999999995E-2</v>
      </c>
    </row>
    <row r="100" spans="1:8" x14ac:dyDescent="0.35">
      <c r="C100" t="s">
        <v>162</v>
      </c>
      <c r="F100">
        <v>12822.316902949</v>
      </c>
      <c r="G100">
        <v>7.1678679999999995E-2</v>
      </c>
    </row>
    <row r="102" spans="1:8" x14ac:dyDescent="0.35">
      <c r="C102" t="s">
        <v>163</v>
      </c>
    </row>
    <row r="103" spans="1:8" x14ac:dyDescent="0.35">
      <c r="C103" t="s">
        <v>164</v>
      </c>
    </row>
    <row r="104" spans="1:8" x14ac:dyDescent="0.35">
      <c r="C104" t="s">
        <v>139</v>
      </c>
      <c r="F104" t="s">
        <v>141</v>
      </c>
      <c r="G104">
        <v>0</v>
      </c>
    </row>
    <row r="106" spans="1:8" x14ac:dyDescent="0.35">
      <c r="C106" t="s">
        <v>165</v>
      </c>
    </row>
    <row r="107" spans="1:8" x14ac:dyDescent="0.35">
      <c r="C107" t="s">
        <v>166</v>
      </c>
    </row>
    <row r="108" spans="1:8" x14ac:dyDescent="0.35">
      <c r="C108" t="s">
        <v>139</v>
      </c>
      <c r="F108" t="s">
        <v>141</v>
      </c>
      <c r="G108">
        <v>0</v>
      </c>
    </row>
    <row r="110" spans="1:8" x14ac:dyDescent="0.35">
      <c r="C110" t="s">
        <v>167</v>
      </c>
    </row>
    <row r="111" spans="1:8" x14ac:dyDescent="0.35">
      <c r="C111" t="s">
        <v>139</v>
      </c>
      <c r="F111" t="s">
        <v>141</v>
      </c>
      <c r="G111">
        <v>0</v>
      </c>
    </row>
    <row r="113" spans="2:7" x14ac:dyDescent="0.35">
      <c r="C113" t="s">
        <v>168</v>
      </c>
      <c r="F113">
        <v>175.71631099000001</v>
      </c>
      <c r="G113">
        <v>9.8228000000000009E-4</v>
      </c>
    </row>
    <row r="114" spans="2:7" x14ac:dyDescent="0.35">
      <c r="C114" t="s">
        <v>169</v>
      </c>
      <c r="F114">
        <v>178886.074234039</v>
      </c>
      <c r="G114">
        <v>1.00000003</v>
      </c>
    </row>
    <row r="116" spans="2:7" x14ac:dyDescent="0.35">
      <c r="B116" t="s">
        <v>170</v>
      </c>
    </row>
    <row r="117" spans="2:7" x14ac:dyDescent="0.35">
      <c r="B117" t="s">
        <v>171</v>
      </c>
    </row>
    <row r="118" spans="2:7" x14ac:dyDescent="0.35">
      <c r="B118" t="s">
        <v>172</v>
      </c>
    </row>
    <row r="119" spans="2:7" x14ac:dyDescent="0.35">
      <c r="B119" t="s">
        <v>173</v>
      </c>
    </row>
    <row r="120" spans="2:7" x14ac:dyDescent="0.35">
      <c r="B120" t="s">
        <v>174</v>
      </c>
    </row>
    <row r="122" spans="2:7" x14ac:dyDescent="0.35">
      <c r="B122" t="s">
        <v>175</v>
      </c>
    </row>
    <row r="123" spans="2:7" x14ac:dyDescent="0.35">
      <c r="B123" t="s">
        <v>176</v>
      </c>
      <c r="D123" t="s">
        <v>177</v>
      </c>
    </row>
    <row r="124" spans="2:7" x14ac:dyDescent="0.35">
      <c r="B124" t="s">
        <v>178</v>
      </c>
      <c r="D124" t="s">
        <v>177</v>
      </c>
    </row>
    <row r="125" spans="2:7" x14ac:dyDescent="0.35">
      <c r="B125" t="s">
        <v>179</v>
      </c>
    </row>
    <row r="126" spans="2:7" x14ac:dyDescent="0.35">
      <c r="C126" t="s">
        <v>180</v>
      </c>
      <c r="D126" t="s">
        <v>181</v>
      </c>
    </row>
    <row r="127" spans="2:7" x14ac:dyDescent="0.35">
      <c r="B127" t="s">
        <v>182</v>
      </c>
      <c r="C127" s="1">
        <v>45991</v>
      </c>
      <c r="D127" s="1">
        <v>46022</v>
      </c>
    </row>
    <row r="128" spans="2:7" x14ac:dyDescent="0.35">
      <c r="B128" t="s">
        <v>183</v>
      </c>
      <c r="C128">
        <v>11.2478</v>
      </c>
      <c r="D128">
        <v>11.170500000000001</v>
      </c>
    </row>
    <row r="129" spans="2:4" x14ac:dyDescent="0.35">
      <c r="B129" t="s">
        <v>184</v>
      </c>
      <c r="C129">
        <v>11.2478</v>
      </c>
      <c r="D129">
        <v>11.170500000000001</v>
      </c>
    </row>
    <row r="130" spans="2:4" x14ac:dyDescent="0.35">
      <c r="B130" t="s">
        <v>185</v>
      </c>
      <c r="C130">
        <v>10.992800000000001</v>
      </c>
      <c r="D130">
        <v>10.902900000000001</v>
      </c>
    </row>
    <row r="131" spans="2:4" x14ac:dyDescent="0.35">
      <c r="B131" t="s">
        <v>186</v>
      </c>
      <c r="C131">
        <v>10.992800000000001</v>
      </c>
      <c r="D131">
        <v>10.902900000000001</v>
      </c>
    </row>
    <row r="133" spans="2:4" x14ac:dyDescent="0.35">
      <c r="B133" t="s">
        <v>187</v>
      </c>
      <c r="D133" t="s">
        <v>177</v>
      </c>
    </row>
    <row r="135" spans="2:4" x14ac:dyDescent="0.35">
      <c r="B135" t="s">
        <v>188</v>
      </c>
      <c r="D135" t="s">
        <v>177</v>
      </c>
    </row>
    <row r="136" spans="2:4" x14ac:dyDescent="0.35">
      <c r="B136" t="s">
        <v>189</v>
      </c>
      <c r="D136" t="s">
        <v>177</v>
      </c>
    </row>
    <row r="137" spans="2:4" x14ac:dyDescent="0.35">
      <c r="B137" t="s">
        <v>190</v>
      </c>
      <c r="D137" t="s">
        <v>177</v>
      </c>
    </row>
    <row r="138" spans="2:4" x14ac:dyDescent="0.35">
      <c r="B138" t="s">
        <v>191</v>
      </c>
      <c r="D138">
        <v>0.46281648195895209</v>
      </c>
    </row>
    <row r="140" spans="2:4" x14ac:dyDescent="0.35">
      <c r="B140" t="s">
        <v>192</v>
      </c>
    </row>
    <row r="145" spans="2:2" x14ac:dyDescent="0.35">
      <c r="B145" t="s">
        <v>193</v>
      </c>
    </row>
    <row r="146" spans="2:2" x14ac:dyDescent="0.35">
      <c r="B146" t="s">
        <v>992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59"/>
  <sheetViews>
    <sheetView workbookViewId="0"/>
  </sheetViews>
  <sheetFormatPr defaultRowHeight="14.5" x14ac:dyDescent="0.35"/>
  <sheetData>
    <row r="1" spans="1:9" x14ac:dyDescent="0.35">
      <c r="A1" t="s">
        <v>0</v>
      </c>
      <c r="I1" t="s">
        <v>1</v>
      </c>
    </row>
    <row r="2" spans="1:9" x14ac:dyDescent="0.35">
      <c r="A2" t="s">
        <v>993</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1882000</v>
      </c>
      <c r="F7">
        <v>18654.383999999998</v>
      </c>
      <c r="G7">
        <v>8.7654300000000004E-2</v>
      </c>
    </row>
    <row r="8" spans="1:9" x14ac:dyDescent="0.35">
      <c r="A8">
        <v>2</v>
      </c>
      <c r="B8" t="s">
        <v>39</v>
      </c>
      <c r="C8" t="s">
        <v>40</v>
      </c>
      <c r="D8" t="s">
        <v>38</v>
      </c>
      <c r="E8">
        <v>939000</v>
      </c>
      <c r="F8">
        <v>12609.831</v>
      </c>
      <c r="G8">
        <v>5.9251810000000002E-2</v>
      </c>
    </row>
    <row r="9" spans="1:9" x14ac:dyDescent="0.35">
      <c r="A9">
        <v>3</v>
      </c>
      <c r="B9" t="s">
        <v>20</v>
      </c>
      <c r="C9" t="s">
        <v>21</v>
      </c>
      <c r="D9" t="s">
        <v>22</v>
      </c>
      <c r="E9">
        <v>682000</v>
      </c>
      <c r="F9">
        <v>10710.128000000001</v>
      </c>
      <c r="G9">
        <v>5.0325370000000001E-2</v>
      </c>
    </row>
    <row r="10" spans="1:9" x14ac:dyDescent="0.35">
      <c r="A10">
        <v>4</v>
      </c>
      <c r="B10" t="s">
        <v>14</v>
      </c>
      <c r="C10" t="s">
        <v>15</v>
      </c>
      <c r="D10" t="s">
        <v>16</v>
      </c>
      <c r="E10">
        <v>444000</v>
      </c>
      <c r="F10">
        <v>9348.8639999999996</v>
      </c>
      <c r="G10">
        <v>4.3928979999999999E-2</v>
      </c>
    </row>
    <row r="11" spans="1:9" x14ac:dyDescent="0.35">
      <c r="A11">
        <v>5</v>
      </c>
      <c r="B11" t="s">
        <v>354</v>
      </c>
      <c r="C11" t="s">
        <v>355</v>
      </c>
      <c r="D11" t="s">
        <v>230</v>
      </c>
      <c r="E11">
        <v>533419</v>
      </c>
      <c r="F11">
        <v>8616.8505260000002</v>
      </c>
      <c r="G11">
        <v>4.0489360000000002E-2</v>
      </c>
    </row>
    <row r="12" spans="1:9" x14ac:dyDescent="0.35">
      <c r="A12">
        <v>6</v>
      </c>
      <c r="B12" t="s">
        <v>352</v>
      </c>
      <c r="C12" t="s">
        <v>353</v>
      </c>
      <c r="D12" t="s">
        <v>38</v>
      </c>
      <c r="E12">
        <v>665000</v>
      </c>
      <c r="F12">
        <v>8441.51</v>
      </c>
      <c r="G12">
        <v>3.966546E-2</v>
      </c>
    </row>
    <row r="13" spans="1:9" x14ac:dyDescent="0.35">
      <c r="A13">
        <v>7</v>
      </c>
      <c r="B13" t="s">
        <v>36</v>
      </c>
      <c r="C13" t="s">
        <v>37</v>
      </c>
      <c r="D13" t="s">
        <v>38</v>
      </c>
      <c r="E13">
        <v>796000</v>
      </c>
      <c r="F13">
        <v>7818.3119999999999</v>
      </c>
      <c r="G13">
        <v>3.6737140000000001E-2</v>
      </c>
    </row>
    <row r="14" spans="1:9" x14ac:dyDescent="0.35">
      <c r="A14">
        <v>8</v>
      </c>
      <c r="B14" t="s">
        <v>17</v>
      </c>
      <c r="C14" t="s">
        <v>18</v>
      </c>
      <c r="D14" t="s">
        <v>19</v>
      </c>
      <c r="E14">
        <v>190000</v>
      </c>
      <c r="F14">
        <v>7758.65</v>
      </c>
      <c r="G14">
        <v>3.6456790000000003E-2</v>
      </c>
    </row>
    <row r="15" spans="1:9" x14ac:dyDescent="0.35">
      <c r="A15">
        <v>9</v>
      </c>
      <c r="B15" t="s">
        <v>356</v>
      </c>
      <c r="C15" t="s">
        <v>357</v>
      </c>
      <c r="D15" t="s">
        <v>38</v>
      </c>
      <c r="E15">
        <v>300000</v>
      </c>
      <c r="F15">
        <v>6603.3</v>
      </c>
      <c r="G15">
        <v>3.1027969999999998E-2</v>
      </c>
    </row>
    <row r="16" spans="1:9" x14ac:dyDescent="0.35">
      <c r="A16">
        <v>10</v>
      </c>
      <c r="B16" t="s">
        <v>703</v>
      </c>
      <c r="C16" t="s">
        <v>704</v>
      </c>
      <c r="D16" t="s">
        <v>493</v>
      </c>
      <c r="E16">
        <v>1315000</v>
      </c>
      <c r="F16">
        <v>5299.45</v>
      </c>
      <c r="G16">
        <v>2.4901360000000001E-2</v>
      </c>
    </row>
    <row r="17" spans="1:7" x14ac:dyDescent="0.35">
      <c r="A17">
        <v>11</v>
      </c>
      <c r="B17" t="s">
        <v>26</v>
      </c>
      <c r="C17" t="s">
        <v>27</v>
      </c>
      <c r="D17" t="s">
        <v>28</v>
      </c>
      <c r="E17">
        <v>42000</v>
      </c>
      <c r="F17">
        <v>4949.28</v>
      </c>
      <c r="G17">
        <v>2.3255959999999999E-2</v>
      </c>
    </row>
    <row r="18" spans="1:7" x14ac:dyDescent="0.35">
      <c r="A18">
        <v>12</v>
      </c>
      <c r="B18" t="s">
        <v>358</v>
      </c>
      <c r="C18" t="s">
        <v>359</v>
      </c>
      <c r="D18" t="s">
        <v>252</v>
      </c>
      <c r="E18">
        <v>129976</v>
      </c>
      <c r="F18">
        <v>4821.0697920000002</v>
      </c>
      <c r="G18">
        <v>2.265352E-2</v>
      </c>
    </row>
    <row r="19" spans="1:7" x14ac:dyDescent="0.35">
      <c r="A19">
        <v>13</v>
      </c>
      <c r="B19" t="s">
        <v>924</v>
      </c>
      <c r="C19" t="s">
        <v>925</v>
      </c>
      <c r="D19" t="s">
        <v>252</v>
      </c>
      <c r="E19">
        <v>21000</v>
      </c>
      <c r="F19">
        <v>4318.8599999999997</v>
      </c>
      <c r="G19">
        <v>2.029371E-2</v>
      </c>
    </row>
    <row r="20" spans="1:7" x14ac:dyDescent="0.35">
      <c r="A20">
        <v>14</v>
      </c>
      <c r="B20" t="s">
        <v>719</v>
      </c>
      <c r="C20" t="s">
        <v>720</v>
      </c>
      <c r="D20" t="s">
        <v>243</v>
      </c>
      <c r="E20">
        <v>256000</v>
      </c>
      <c r="F20">
        <v>3868.9279999999999</v>
      </c>
      <c r="G20">
        <v>1.8179540000000001E-2</v>
      </c>
    </row>
    <row r="21" spans="1:7" x14ac:dyDescent="0.35">
      <c r="A21">
        <v>15</v>
      </c>
      <c r="B21" t="s">
        <v>66</v>
      </c>
      <c r="C21" t="s">
        <v>67</v>
      </c>
      <c r="D21" t="s">
        <v>53</v>
      </c>
      <c r="E21">
        <v>298419</v>
      </c>
      <c r="F21">
        <v>3637.130772</v>
      </c>
      <c r="G21">
        <v>1.7090359999999999E-2</v>
      </c>
    </row>
    <row r="22" spans="1:7" x14ac:dyDescent="0.35">
      <c r="A22">
        <v>16</v>
      </c>
      <c r="B22" t="s">
        <v>372</v>
      </c>
      <c r="C22" t="s">
        <v>373</v>
      </c>
      <c r="D22" t="s">
        <v>243</v>
      </c>
      <c r="E22">
        <v>202000</v>
      </c>
      <c r="F22">
        <v>3473.7939999999999</v>
      </c>
      <c r="G22">
        <v>1.632287E-2</v>
      </c>
    </row>
    <row r="23" spans="1:7" x14ac:dyDescent="0.35">
      <c r="A23">
        <v>17</v>
      </c>
      <c r="B23" t="s">
        <v>788</v>
      </c>
      <c r="C23" t="s">
        <v>789</v>
      </c>
      <c r="D23" t="s">
        <v>230</v>
      </c>
      <c r="E23">
        <v>102000</v>
      </c>
      <c r="F23">
        <v>3270.3240000000001</v>
      </c>
      <c r="G23">
        <v>1.536679E-2</v>
      </c>
    </row>
    <row r="24" spans="1:7" x14ac:dyDescent="0.35">
      <c r="A24">
        <v>18</v>
      </c>
      <c r="B24" t="s">
        <v>926</v>
      </c>
      <c r="C24" t="s">
        <v>927</v>
      </c>
      <c r="D24" t="s">
        <v>38</v>
      </c>
      <c r="E24">
        <v>2126148</v>
      </c>
      <c r="F24">
        <v>3269.1651648000002</v>
      </c>
      <c r="G24">
        <v>1.5361339999999999E-2</v>
      </c>
    </row>
    <row r="25" spans="1:7" x14ac:dyDescent="0.35">
      <c r="A25">
        <v>19</v>
      </c>
      <c r="B25" t="s">
        <v>487</v>
      </c>
      <c r="C25" t="s">
        <v>488</v>
      </c>
      <c r="D25" t="s">
        <v>230</v>
      </c>
      <c r="E25">
        <v>201000</v>
      </c>
      <c r="F25">
        <v>3262.8330000000001</v>
      </c>
      <c r="G25">
        <v>1.5331590000000001E-2</v>
      </c>
    </row>
    <row r="26" spans="1:7" x14ac:dyDescent="0.35">
      <c r="A26">
        <v>20</v>
      </c>
      <c r="B26" t="s">
        <v>286</v>
      </c>
      <c r="C26" t="s">
        <v>287</v>
      </c>
      <c r="D26" t="s">
        <v>38</v>
      </c>
      <c r="E26">
        <v>367000</v>
      </c>
      <c r="F26">
        <v>3171.614</v>
      </c>
      <c r="G26">
        <v>1.490296E-2</v>
      </c>
    </row>
    <row r="27" spans="1:7" x14ac:dyDescent="0.35">
      <c r="A27">
        <v>21</v>
      </c>
      <c r="B27" t="s">
        <v>23</v>
      </c>
      <c r="C27" t="s">
        <v>24</v>
      </c>
      <c r="D27" t="s">
        <v>25</v>
      </c>
      <c r="E27">
        <v>959000</v>
      </c>
      <c r="F27">
        <v>3160.3845000000001</v>
      </c>
      <c r="G27">
        <v>1.4850199999999999E-2</v>
      </c>
    </row>
    <row r="28" spans="1:7" x14ac:dyDescent="0.35">
      <c r="A28">
        <v>22</v>
      </c>
      <c r="B28" t="s">
        <v>266</v>
      </c>
      <c r="C28" t="s">
        <v>267</v>
      </c>
      <c r="D28" t="s">
        <v>243</v>
      </c>
      <c r="E28">
        <v>53000</v>
      </c>
      <c r="F28">
        <v>2918.4450000000002</v>
      </c>
      <c r="G28">
        <v>1.3713360000000001E-2</v>
      </c>
    </row>
    <row r="29" spans="1:7" x14ac:dyDescent="0.35">
      <c r="A29">
        <v>23</v>
      </c>
      <c r="B29" t="s">
        <v>928</v>
      </c>
      <c r="C29" t="s">
        <v>929</v>
      </c>
      <c r="D29" t="s">
        <v>324</v>
      </c>
      <c r="E29">
        <v>750000</v>
      </c>
      <c r="F29">
        <v>2896.875</v>
      </c>
      <c r="G29">
        <v>1.3612000000000001E-2</v>
      </c>
    </row>
    <row r="30" spans="1:7" x14ac:dyDescent="0.35">
      <c r="A30">
        <v>24</v>
      </c>
      <c r="B30" t="s">
        <v>897</v>
      </c>
      <c r="C30" t="s">
        <v>898</v>
      </c>
      <c r="D30" t="s">
        <v>114</v>
      </c>
      <c r="E30">
        <v>150000</v>
      </c>
      <c r="F30">
        <v>2893.35</v>
      </c>
      <c r="G30">
        <v>1.359544E-2</v>
      </c>
    </row>
    <row r="31" spans="1:7" x14ac:dyDescent="0.35">
      <c r="A31">
        <v>25</v>
      </c>
      <c r="B31" t="s">
        <v>508</v>
      </c>
      <c r="C31" t="s">
        <v>509</v>
      </c>
      <c r="D31" t="s">
        <v>257</v>
      </c>
      <c r="E31">
        <v>200000</v>
      </c>
      <c r="F31">
        <v>2887.4</v>
      </c>
      <c r="G31">
        <v>1.356748E-2</v>
      </c>
    </row>
    <row r="32" spans="1:7" x14ac:dyDescent="0.35">
      <c r="A32">
        <v>26</v>
      </c>
      <c r="B32" t="s">
        <v>374</v>
      </c>
      <c r="C32" t="s">
        <v>375</v>
      </c>
      <c r="D32" t="s">
        <v>324</v>
      </c>
      <c r="E32">
        <v>1035000</v>
      </c>
      <c r="F32">
        <v>2877.8175000000001</v>
      </c>
      <c r="G32">
        <v>1.352246E-2</v>
      </c>
    </row>
    <row r="33" spans="1:7" x14ac:dyDescent="0.35">
      <c r="A33">
        <v>27</v>
      </c>
      <c r="B33" t="s">
        <v>308</v>
      </c>
      <c r="C33" t="s">
        <v>309</v>
      </c>
      <c r="D33" t="s">
        <v>240</v>
      </c>
      <c r="E33">
        <v>1944000</v>
      </c>
      <c r="F33">
        <v>2876.1480000000001</v>
      </c>
      <c r="G33">
        <v>1.351461E-2</v>
      </c>
    </row>
    <row r="34" spans="1:7" x14ac:dyDescent="0.35">
      <c r="A34">
        <v>28</v>
      </c>
      <c r="B34" t="s">
        <v>104</v>
      </c>
      <c r="C34" t="s">
        <v>105</v>
      </c>
      <c r="D34" t="s">
        <v>28</v>
      </c>
      <c r="E34">
        <v>515000</v>
      </c>
      <c r="F34">
        <v>2865.2024999999999</v>
      </c>
      <c r="G34">
        <v>1.346318E-2</v>
      </c>
    </row>
    <row r="35" spans="1:7" x14ac:dyDescent="0.35">
      <c r="A35">
        <v>29</v>
      </c>
      <c r="B35" t="s">
        <v>57</v>
      </c>
      <c r="C35" t="s">
        <v>58</v>
      </c>
      <c r="D35" t="s">
        <v>53</v>
      </c>
      <c r="E35">
        <v>63000</v>
      </c>
      <c r="F35">
        <v>2793.672</v>
      </c>
      <c r="G35">
        <v>1.3127069999999999E-2</v>
      </c>
    </row>
    <row r="36" spans="1:7" x14ac:dyDescent="0.35">
      <c r="A36">
        <v>30</v>
      </c>
      <c r="B36" t="s">
        <v>293</v>
      </c>
      <c r="C36" t="s">
        <v>294</v>
      </c>
      <c r="D36" t="s">
        <v>281</v>
      </c>
      <c r="E36">
        <v>512642</v>
      </c>
      <c r="F36">
        <v>2709.8256120000001</v>
      </c>
      <c r="G36">
        <v>1.2733090000000001E-2</v>
      </c>
    </row>
    <row r="37" spans="1:7" x14ac:dyDescent="0.35">
      <c r="A37">
        <v>31</v>
      </c>
      <c r="B37" t="s">
        <v>512</v>
      </c>
      <c r="C37" t="s">
        <v>513</v>
      </c>
      <c r="D37" t="s">
        <v>257</v>
      </c>
      <c r="E37">
        <v>551000</v>
      </c>
      <c r="F37">
        <v>2699.0735</v>
      </c>
      <c r="G37">
        <v>1.2682560000000001E-2</v>
      </c>
    </row>
    <row r="38" spans="1:7" x14ac:dyDescent="0.35">
      <c r="A38">
        <v>32</v>
      </c>
      <c r="B38" t="s">
        <v>516</v>
      </c>
      <c r="C38" t="s">
        <v>517</v>
      </c>
      <c r="D38" t="s">
        <v>230</v>
      </c>
      <c r="E38">
        <v>168601</v>
      </c>
      <c r="F38">
        <v>2682.2733090000002</v>
      </c>
      <c r="G38">
        <v>1.2603619999999999E-2</v>
      </c>
    </row>
    <row r="39" spans="1:7" x14ac:dyDescent="0.35">
      <c r="A39">
        <v>33</v>
      </c>
      <c r="B39" t="s">
        <v>92</v>
      </c>
      <c r="C39" t="s">
        <v>93</v>
      </c>
      <c r="D39" t="s">
        <v>94</v>
      </c>
      <c r="E39">
        <v>1498000</v>
      </c>
      <c r="F39">
        <v>2578.9567999999999</v>
      </c>
      <c r="G39">
        <v>1.2118149999999999E-2</v>
      </c>
    </row>
    <row r="40" spans="1:7" x14ac:dyDescent="0.35">
      <c r="A40">
        <v>34</v>
      </c>
      <c r="B40" t="s">
        <v>98</v>
      </c>
      <c r="C40" t="s">
        <v>99</v>
      </c>
      <c r="D40" t="s">
        <v>79</v>
      </c>
      <c r="E40">
        <v>629000</v>
      </c>
      <c r="F40">
        <v>2540.2165</v>
      </c>
      <c r="G40">
        <v>1.193612E-2</v>
      </c>
    </row>
    <row r="41" spans="1:7" x14ac:dyDescent="0.35">
      <c r="A41">
        <v>35</v>
      </c>
      <c r="B41" t="s">
        <v>496</v>
      </c>
      <c r="C41" t="s">
        <v>497</v>
      </c>
      <c r="D41" t="s">
        <v>220</v>
      </c>
      <c r="E41">
        <v>193000</v>
      </c>
      <c r="F41">
        <v>2300.56</v>
      </c>
      <c r="G41">
        <v>1.081001E-2</v>
      </c>
    </row>
    <row r="42" spans="1:7" x14ac:dyDescent="0.35">
      <c r="A42">
        <v>36</v>
      </c>
      <c r="B42" t="s">
        <v>238</v>
      </c>
      <c r="C42" t="s">
        <v>239</v>
      </c>
      <c r="D42" t="s">
        <v>240</v>
      </c>
      <c r="E42">
        <v>410000</v>
      </c>
      <c r="F42">
        <v>2290.2600000000002</v>
      </c>
      <c r="G42">
        <v>1.076161E-2</v>
      </c>
    </row>
    <row r="43" spans="1:7" x14ac:dyDescent="0.35">
      <c r="A43">
        <v>37</v>
      </c>
      <c r="B43" t="s">
        <v>930</v>
      </c>
      <c r="C43" t="s">
        <v>931</v>
      </c>
      <c r="D43" t="s">
        <v>209</v>
      </c>
      <c r="E43">
        <v>277970</v>
      </c>
      <c r="F43">
        <v>2210.2784550000001</v>
      </c>
      <c r="G43">
        <v>1.0385790000000001E-2</v>
      </c>
    </row>
    <row r="44" spans="1:7" x14ac:dyDescent="0.35">
      <c r="A44">
        <v>38</v>
      </c>
      <c r="B44" t="s">
        <v>77</v>
      </c>
      <c r="C44" t="s">
        <v>78</v>
      </c>
      <c r="D44" t="s">
        <v>79</v>
      </c>
      <c r="E44">
        <v>43308</v>
      </c>
      <c r="F44">
        <v>2191.1682599999999</v>
      </c>
      <c r="G44">
        <v>1.029599E-2</v>
      </c>
    </row>
    <row r="45" spans="1:7" x14ac:dyDescent="0.35">
      <c r="A45">
        <v>39</v>
      </c>
      <c r="B45" t="s">
        <v>368</v>
      </c>
      <c r="C45" t="s">
        <v>369</v>
      </c>
      <c r="D45" t="s">
        <v>274</v>
      </c>
      <c r="E45">
        <v>121186</v>
      </c>
      <c r="F45">
        <v>2180.6208839999999</v>
      </c>
      <c r="G45">
        <v>1.0246430000000001E-2</v>
      </c>
    </row>
    <row r="46" spans="1:7" x14ac:dyDescent="0.35">
      <c r="A46">
        <v>40</v>
      </c>
      <c r="B46" t="s">
        <v>364</v>
      </c>
      <c r="C46" t="s">
        <v>365</v>
      </c>
      <c r="D46" t="s">
        <v>31</v>
      </c>
      <c r="E46">
        <v>48500</v>
      </c>
      <c r="F46">
        <v>2128.5194999999999</v>
      </c>
      <c r="G46">
        <v>1.0001609999999999E-2</v>
      </c>
    </row>
    <row r="47" spans="1:7" x14ac:dyDescent="0.35">
      <c r="A47">
        <v>41</v>
      </c>
      <c r="B47" t="s">
        <v>325</v>
      </c>
      <c r="C47" t="s">
        <v>326</v>
      </c>
      <c r="D47" t="s">
        <v>114</v>
      </c>
      <c r="E47">
        <v>404761</v>
      </c>
      <c r="F47">
        <v>2106.5786244999999</v>
      </c>
      <c r="G47">
        <v>9.8985099999999993E-3</v>
      </c>
    </row>
    <row r="48" spans="1:7" x14ac:dyDescent="0.35">
      <c r="A48">
        <v>42</v>
      </c>
      <c r="B48" t="s">
        <v>887</v>
      </c>
      <c r="C48" t="s">
        <v>888</v>
      </c>
      <c r="D48" t="s">
        <v>65</v>
      </c>
      <c r="E48">
        <v>233000</v>
      </c>
      <c r="F48">
        <v>2094.9029999999998</v>
      </c>
      <c r="G48">
        <v>9.8436500000000007E-3</v>
      </c>
    </row>
    <row r="49" spans="1:7" x14ac:dyDescent="0.35">
      <c r="A49">
        <v>43</v>
      </c>
      <c r="B49" t="s">
        <v>370</v>
      </c>
      <c r="C49" t="s">
        <v>371</v>
      </c>
      <c r="D49" t="s">
        <v>206</v>
      </c>
      <c r="E49">
        <v>123000</v>
      </c>
      <c r="F49">
        <v>2093.7060000000001</v>
      </c>
      <c r="G49">
        <v>9.8380299999999993E-3</v>
      </c>
    </row>
    <row r="50" spans="1:7" x14ac:dyDescent="0.35">
      <c r="A50">
        <v>44</v>
      </c>
      <c r="B50" t="s">
        <v>500</v>
      </c>
      <c r="C50" t="s">
        <v>501</v>
      </c>
      <c r="D50" t="s">
        <v>43</v>
      </c>
      <c r="E50">
        <v>223000</v>
      </c>
      <c r="F50">
        <v>2028.2964999999999</v>
      </c>
      <c r="G50">
        <v>9.5306799999999997E-3</v>
      </c>
    </row>
    <row r="51" spans="1:7" x14ac:dyDescent="0.35">
      <c r="A51">
        <v>45</v>
      </c>
      <c r="B51" t="s">
        <v>86</v>
      </c>
      <c r="C51" t="s">
        <v>87</v>
      </c>
      <c r="D51" t="s">
        <v>25</v>
      </c>
      <c r="E51">
        <v>154000</v>
      </c>
      <c r="F51">
        <v>2012.318</v>
      </c>
      <c r="G51">
        <v>9.4555999999999998E-3</v>
      </c>
    </row>
    <row r="52" spans="1:7" x14ac:dyDescent="0.35">
      <c r="A52">
        <v>46</v>
      </c>
      <c r="B52" t="s">
        <v>376</v>
      </c>
      <c r="C52" t="s">
        <v>377</v>
      </c>
      <c r="D52" t="s">
        <v>378</v>
      </c>
      <c r="E52">
        <v>452000</v>
      </c>
      <c r="F52">
        <v>1878.06</v>
      </c>
      <c r="G52">
        <v>8.8247399999999993E-3</v>
      </c>
    </row>
    <row r="53" spans="1:7" x14ac:dyDescent="0.35">
      <c r="A53">
        <v>47</v>
      </c>
      <c r="B53" t="s">
        <v>491</v>
      </c>
      <c r="C53" t="s">
        <v>492</v>
      </c>
      <c r="D53" t="s">
        <v>493</v>
      </c>
      <c r="E53">
        <v>80000</v>
      </c>
      <c r="F53">
        <v>1852.72</v>
      </c>
      <c r="G53">
        <v>8.7056700000000004E-3</v>
      </c>
    </row>
    <row r="54" spans="1:7" x14ac:dyDescent="0.35">
      <c r="A54">
        <v>48</v>
      </c>
      <c r="B54" t="s">
        <v>297</v>
      </c>
      <c r="C54" t="s">
        <v>298</v>
      </c>
      <c r="D54" t="s">
        <v>299</v>
      </c>
      <c r="E54">
        <v>105000</v>
      </c>
      <c r="F54">
        <v>1818.2850000000001</v>
      </c>
      <c r="G54">
        <v>8.5438600000000003E-3</v>
      </c>
    </row>
    <row r="55" spans="1:7" x14ac:dyDescent="0.35">
      <c r="A55">
        <v>49</v>
      </c>
      <c r="B55" t="s">
        <v>818</v>
      </c>
      <c r="C55" t="s">
        <v>819</v>
      </c>
      <c r="D55" t="s">
        <v>230</v>
      </c>
      <c r="E55">
        <v>26500</v>
      </c>
      <c r="F55">
        <v>1606.8275000000001</v>
      </c>
      <c r="G55">
        <v>7.5502499999999997E-3</v>
      </c>
    </row>
    <row r="56" spans="1:7" x14ac:dyDescent="0.35">
      <c r="A56">
        <v>50</v>
      </c>
      <c r="B56" t="s">
        <v>46</v>
      </c>
      <c r="C56" t="s">
        <v>47</v>
      </c>
      <c r="D56" t="s">
        <v>48</v>
      </c>
      <c r="E56">
        <v>48600</v>
      </c>
      <c r="F56">
        <v>1522.395</v>
      </c>
      <c r="G56">
        <v>7.15352E-3</v>
      </c>
    </row>
    <row r="57" spans="1:7" x14ac:dyDescent="0.35">
      <c r="A57">
        <v>51</v>
      </c>
      <c r="B57" t="s">
        <v>136</v>
      </c>
      <c r="C57" t="s">
        <v>137</v>
      </c>
      <c r="D57" t="s">
        <v>138</v>
      </c>
      <c r="E57">
        <v>397000</v>
      </c>
      <c r="F57">
        <v>1280.722</v>
      </c>
      <c r="G57">
        <v>6.0179300000000003E-3</v>
      </c>
    </row>
    <row r="58" spans="1:7" x14ac:dyDescent="0.35">
      <c r="A58">
        <v>52</v>
      </c>
      <c r="B58" t="s">
        <v>932</v>
      </c>
      <c r="C58" t="s">
        <v>933</v>
      </c>
      <c r="D58" t="s">
        <v>28</v>
      </c>
      <c r="E58">
        <v>136000</v>
      </c>
      <c r="F58">
        <v>1058.2159999999999</v>
      </c>
      <c r="G58">
        <v>4.97241E-3</v>
      </c>
    </row>
    <row r="59" spans="1:7" x14ac:dyDescent="0.35">
      <c r="A59">
        <v>53</v>
      </c>
      <c r="B59" t="s">
        <v>524</v>
      </c>
      <c r="C59" t="s">
        <v>525</v>
      </c>
      <c r="D59" t="s">
        <v>526</v>
      </c>
      <c r="E59">
        <v>80000</v>
      </c>
      <c r="F59">
        <v>32.159999999999997</v>
      </c>
      <c r="G59">
        <v>1.5112E-4</v>
      </c>
    </row>
    <row r="60" spans="1:7" x14ac:dyDescent="0.35">
      <c r="C60" t="s">
        <v>139</v>
      </c>
      <c r="F60">
        <v>207970.51319930001</v>
      </c>
      <c r="G60">
        <v>0.97722392999999996</v>
      </c>
    </row>
    <row r="62" spans="1:7" x14ac:dyDescent="0.35">
      <c r="C62" t="s">
        <v>140</v>
      </c>
    </row>
    <row r="63" spans="1:7" x14ac:dyDescent="0.35">
      <c r="C63" t="s">
        <v>139</v>
      </c>
      <c r="F63" t="s">
        <v>141</v>
      </c>
      <c r="G63">
        <v>0</v>
      </c>
    </row>
    <row r="65" spans="3:7" x14ac:dyDescent="0.35">
      <c r="C65" t="s">
        <v>142</v>
      </c>
    </row>
    <row r="66" spans="3:7" x14ac:dyDescent="0.35">
      <c r="C66" t="s">
        <v>139</v>
      </c>
      <c r="F66" t="s">
        <v>141</v>
      </c>
      <c r="G66">
        <v>0</v>
      </c>
    </row>
    <row r="68" spans="3:7" x14ac:dyDescent="0.35">
      <c r="C68" t="s">
        <v>147</v>
      </c>
    </row>
    <row r="69" spans="3:7" x14ac:dyDescent="0.35">
      <c r="C69" t="s">
        <v>139</v>
      </c>
      <c r="F69" t="s">
        <v>141</v>
      </c>
      <c r="G69">
        <v>0</v>
      </c>
    </row>
    <row r="71" spans="3:7" x14ac:dyDescent="0.35">
      <c r="C71" t="s">
        <v>148</v>
      </c>
    </row>
    <row r="72" spans="3:7" x14ac:dyDescent="0.35">
      <c r="C72" t="s">
        <v>139</v>
      </c>
      <c r="F72" t="s">
        <v>141</v>
      </c>
      <c r="G72">
        <v>0</v>
      </c>
    </row>
    <row r="74" spans="3:7" x14ac:dyDescent="0.35">
      <c r="C74" t="s">
        <v>149</v>
      </c>
    </row>
    <row r="75" spans="3:7" x14ac:dyDescent="0.35">
      <c r="C75" t="s">
        <v>139</v>
      </c>
      <c r="F75" t="s">
        <v>141</v>
      </c>
      <c r="G75">
        <v>0</v>
      </c>
    </row>
    <row r="77" spans="3:7" x14ac:dyDescent="0.35">
      <c r="C77" t="s">
        <v>150</v>
      </c>
      <c r="F77">
        <v>207970.51319930001</v>
      </c>
      <c r="G77">
        <v>0.97722392999999996</v>
      </c>
    </row>
    <row r="79" spans="3:7" x14ac:dyDescent="0.35">
      <c r="C79" t="s">
        <v>151</v>
      </c>
    </row>
    <row r="80" spans="3:7" x14ac:dyDescent="0.35">
      <c r="C80" t="s">
        <v>13</v>
      </c>
    </row>
    <row r="81" spans="3:7" x14ac:dyDescent="0.35">
      <c r="C81" t="s">
        <v>139</v>
      </c>
      <c r="F81" t="s">
        <v>141</v>
      </c>
      <c r="G81">
        <v>0</v>
      </c>
    </row>
    <row r="83" spans="3:7" x14ac:dyDescent="0.35">
      <c r="C83" t="s">
        <v>152</v>
      </c>
    </row>
    <row r="84" spans="3:7" x14ac:dyDescent="0.35">
      <c r="C84" t="s">
        <v>139</v>
      </c>
      <c r="F84" t="s">
        <v>141</v>
      </c>
      <c r="G84">
        <v>0</v>
      </c>
    </row>
    <row r="86" spans="3:7" x14ac:dyDescent="0.35">
      <c r="C86" t="s">
        <v>153</v>
      </c>
    </row>
    <row r="87" spans="3:7" x14ac:dyDescent="0.35">
      <c r="C87" t="s">
        <v>139</v>
      </c>
      <c r="F87" t="s">
        <v>141</v>
      </c>
      <c r="G87">
        <v>0</v>
      </c>
    </row>
    <row r="89" spans="3:7" x14ac:dyDescent="0.35">
      <c r="C89" t="s">
        <v>154</v>
      </c>
    </row>
    <row r="90" spans="3:7" x14ac:dyDescent="0.35">
      <c r="C90" t="s">
        <v>139</v>
      </c>
      <c r="F90" t="s">
        <v>141</v>
      </c>
      <c r="G90">
        <v>0</v>
      </c>
    </row>
    <row r="92" spans="3:7" x14ac:dyDescent="0.35">
      <c r="C92" t="s">
        <v>155</v>
      </c>
      <c r="F92">
        <v>0</v>
      </c>
      <c r="G92">
        <v>0</v>
      </c>
    </row>
    <row r="94" spans="3:7" x14ac:dyDescent="0.35">
      <c r="C94" t="s">
        <v>156</v>
      </c>
    </row>
    <row r="95" spans="3:7" x14ac:dyDescent="0.35">
      <c r="C95" t="s">
        <v>157</v>
      </c>
    </row>
    <row r="96" spans="3:7" x14ac:dyDescent="0.35">
      <c r="C96" t="s">
        <v>139</v>
      </c>
      <c r="F96" t="s">
        <v>141</v>
      </c>
      <c r="G96">
        <v>0</v>
      </c>
    </row>
    <row r="98" spans="1:8" x14ac:dyDescent="0.35">
      <c r="C98" t="s">
        <v>158</v>
      </c>
    </row>
    <row r="99" spans="1:8" x14ac:dyDescent="0.35">
      <c r="C99" t="s">
        <v>139</v>
      </c>
      <c r="F99" t="s">
        <v>141</v>
      </c>
      <c r="G99">
        <v>0</v>
      </c>
    </row>
    <row r="101" spans="1:8" x14ac:dyDescent="0.35">
      <c r="C101" t="s">
        <v>159</v>
      </c>
    </row>
    <row r="102" spans="1:8" x14ac:dyDescent="0.35">
      <c r="C102" t="s">
        <v>139</v>
      </c>
      <c r="F102" t="s">
        <v>141</v>
      </c>
      <c r="G102">
        <v>0</v>
      </c>
    </row>
    <row r="104" spans="1:8" x14ac:dyDescent="0.35">
      <c r="C104" t="s">
        <v>160</v>
      </c>
    </row>
    <row r="105" spans="1:8" x14ac:dyDescent="0.35">
      <c r="A105">
        <v>1</v>
      </c>
      <c r="C105" t="s">
        <v>161</v>
      </c>
      <c r="F105">
        <v>3870.0746200079998</v>
      </c>
      <c r="G105">
        <v>1.8184929999999998E-2</v>
      </c>
      <c r="H105">
        <v>5.42</v>
      </c>
    </row>
    <row r="106" spans="1:8" x14ac:dyDescent="0.35">
      <c r="C106" t="s">
        <v>139</v>
      </c>
      <c r="F106">
        <v>3870.0746200079998</v>
      </c>
      <c r="G106">
        <v>1.8184929999999998E-2</v>
      </c>
    </row>
    <row r="108" spans="1:8" x14ac:dyDescent="0.35">
      <c r="C108" t="s">
        <v>162</v>
      </c>
      <c r="F108">
        <v>3870.0746200079998</v>
      </c>
      <c r="G108">
        <v>1.8184929999999998E-2</v>
      </c>
    </row>
    <row r="110" spans="1:8" x14ac:dyDescent="0.35">
      <c r="C110" t="s">
        <v>163</v>
      </c>
    </row>
    <row r="111" spans="1:8" x14ac:dyDescent="0.35">
      <c r="C111" t="s">
        <v>164</v>
      </c>
    </row>
    <row r="112" spans="1:8" x14ac:dyDescent="0.35">
      <c r="C112" t="s">
        <v>139</v>
      </c>
      <c r="F112" t="s">
        <v>141</v>
      </c>
      <c r="G112">
        <v>0</v>
      </c>
    </row>
    <row r="114" spans="2:7" x14ac:dyDescent="0.35">
      <c r="C114" t="s">
        <v>165</v>
      </c>
    </row>
    <row r="115" spans="2:7" x14ac:dyDescent="0.35">
      <c r="C115" t="s">
        <v>166</v>
      </c>
    </row>
    <row r="116" spans="2:7" x14ac:dyDescent="0.35">
      <c r="C116" t="s">
        <v>139</v>
      </c>
      <c r="F116" t="s">
        <v>141</v>
      </c>
      <c r="G116">
        <v>0</v>
      </c>
    </row>
    <row r="118" spans="2:7" x14ac:dyDescent="0.35">
      <c r="C118" t="s">
        <v>167</v>
      </c>
    </row>
    <row r="119" spans="2:7" x14ac:dyDescent="0.35">
      <c r="C119" t="s">
        <v>139</v>
      </c>
      <c r="F119" t="s">
        <v>141</v>
      </c>
      <c r="G119">
        <v>0</v>
      </c>
    </row>
    <row r="121" spans="2:7" x14ac:dyDescent="0.35">
      <c r="C121" t="s">
        <v>168</v>
      </c>
      <c r="F121">
        <v>977.08107515999995</v>
      </c>
      <c r="G121">
        <v>4.5911700000000003E-3</v>
      </c>
    </row>
    <row r="122" spans="2:7" x14ac:dyDescent="0.35">
      <c r="C122" t="s">
        <v>169</v>
      </c>
      <c r="F122">
        <v>212817.66889446799</v>
      </c>
      <c r="G122">
        <v>1.00000003</v>
      </c>
    </row>
    <row r="124" spans="2:7" x14ac:dyDescent="0.35">
      <c r="B124" t="s">
        <v>170</v>
      </c>
    </row>
    <row r="125" spans="2:7" x14ac:dyDescent="0.35">
      <c r="B125" t="s">
        <v>171</v>
      </c>
    </row>
    <row r="126" spans="2:7" x14ac:dyDescent="0.35">
      <c r="B126" t="s">
        <v>172</v>
      </c>
    </row>
    <row r="127" spans="2:7" x14ac:dyDescent="0.35">
      <c r="B127" t="s">
        <v>173</v>
      </c>
    </row>
    <row r="128" spans="2:7" x14ac:dyDescent="0.35">
      <c r="B128" t="s">
        <v>174</v>
      </c>
    </row>
    <row r="130" spans="2:4" x14ac:dyDescent="0.35">
      <c r="B130" t="s">
        <v>175</v>
      </c>
    </row>
    <row r="131" spans="2:4" x14ac:dyDescent="0.35">
      <c r="B131" t="s">
        <v>176</v>
      </c>
      <c r="D131" t="s">
        <v>177</v>
      </c>
    </row>
    <row r="132" spans="2:4" x14ac:dyDescent="0.35">
      <c r="B132" t="s">
        <v>178</v>
      </c>
      <c r="D132" t="s">
        <v>177</v>
      </c>
    </row>
    <row r="133" spans="2:4" x14ac:dyDescent="0.35">
      <c r="B133" t="s">
        <v>179</v>
      </c>
    </row>
    <row r="134" spans="2:4" x14ac:dyDescent="0.35">
      <c r="C134" t="s">
        <v>180</v>
      </c>
      <c r="D134" t="s">
        <v>181</v>
      </c>
    </row>
    <row r="135" spans="2:4" x14ac:dyDescent="0.35">
      <c r="B135" t="s">
        <v>182</v>
      </c>
      <c r="C135" s="1">
        <v>45991</v>
      </c>
      <c r="D135" s="1">
        <v>46022</v>
      </c>
    </row>
    <row r="136" spans="2:4" x14ac:dyDescent="0.35">
      <c r="B136" t="s">
        <v>183</v>
      </c>
      <c r="C136">
        <v>16.101299999999998</v>
      </c>
      <c r="D136">
        <v>16.103100000000001</v>
      </c>
    </row>
    <row r="137" spans="2:4" x14ac:dyDescent="0.35">
      <c r="B137" t="s">
        <v>184</v>
      </c>
      <c r="C137">
        <v>15.272500000000001</v>
      </c>
      <c r="D137">
        <v>14.363300000000001</v>
      </c>
    </row>
    <row r="138" spans="2:4" x14ac:dyDescent="0.35">
      <c r="B138" t="s">
        <v>185</v>
      </c>
      <c r="C138">
        <v>15.313499999999999</v>
      </c>
      <c r="D138">
        <v>15.2974</v>
      </c>
    </row>
    <row r="139" spans="2:4" x14ac:dyDescent="0.35">
      <c r="B139" t="s">
        <v>186</v>
      </c>
      <c r="C139">
        <v>14.525499999999999</v>
      </c>
      <c r="D139">
        <v>13.635</v>
      </c>
    </row>
    <row r="141" spans="2:4" x14ac:dyDescent="0.35">
      <c r="B141" t="s">
        <v>187</v>
      </c>
    </row>
    <row r="142" spans="2:4" x14ac:dyDescent="0.35">
      <c r="B142" t="s">
        <v>182</v>
      </c>
      <c r="C142" t="s">
        <v>659</v>
      </c>
      <c r="D142" t="s">
        <v>660</v>
      </c>
    </row>
    <row r="143" spans="2:4" x14ac:dyDescent="0.35">
      <c r="B143" t="s">
        <v>184</v>
      </c>
      <c r="C143">
        <v>0.90300000000000002</v>
      </c>
      <c r="D143" t="s">
        <v>806</v>
      </c>
    </row>
    <row r="144" spans="2:4" x14ac:dyDescent="0.35">
      <c r="B144" t="s">
        <v>186</v>
      </c>
      <c r="C144">
        <v>0.86799999999999999</v>
      </c>
      <c r="D144">
        <v>0.86799999999999999</v>
      </c>
    </row>
    <row r="146" spans="2:4" x14ac:dyDescent="0.35">
      <c r="B146" t="s">
        <v>187</v>
      </c>
      <c r="D146" t="s">
        <v>177</v>
      </c>
    </row>
    <row r="148" spans="2:4" x14ac:dyDescent="0.35">
      <c r="B148" t="s">
        <v>188</v>
      </c>
      <c r="D148" t="s">
        <v>177</v>
      </c>
    </row>
    <row r="149" spans="2:4" x14ac:dyDescent="0.35">
      <c r="B149" t="s">
        <v>189</v>
      </c>
      <c r="D149" t="s">
        <v>177</v>
      </c>
    </row>
    <row r="150" spans="2:4" x14ac:dyDescent="0.35">
      <c r="B150" t="s">
        <v>190</v>
      </c>
      <c r="D150" t="s">
        <v>177</v>
      </c>
    </row>
    <row r="151" spans="2:4" x14ac:dyDescent="0.35">
      <c r="B151" t="s">
        <v>191</v>
      </c>
      <c r="D151">
        <v>0.49460468747648673</v>
      </c>
    </row>
    <row r="153" spans="2:4" x14ac:dyDescent="0.35">
      <c r="B153" t="s">
        <v>192</v>
      </c>
    </row>
    <row r="158" spans="2:4" x14ac:dyDescent="0.35">
      <c r="B158" t="s">
        <v>193</v>
      </c>
    </row>
    <row r="159" spans="2:4" x14ac:dyDescent="0.35">
      <c r="B159" t="s">
        <v>994</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34"/>
  <sheetViews>
    <sheetView workbookViewId="0">
      <selection activeCell="A2" sqref="A2"/>
    </sheetView>
  </sheetViews>
  <sheetFormatPr defaultRowHeight="14.5" x14ac:dyDescent="0.35"/>
  <sheetData>
    <row r="1" spans="1:9" x14ac:dyDescent="0.35">
      <c r="I1" t="s">
        <v>1</v>
      </c>
    </row>
    <row r="2" spans="1:9" x14ac:dyDescent="0.35">
      <c r="A2" t="s">
        <v>995</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3114256</v>
      </c>
      <c r="F7">
        <v>30868.505472000001</v>
      </c>
      <c r="G7">
        <v>0.18588172</v>
      </c>
    </row>
    <row r="8" spans="1:9" x14ac:dyDescent="0.35">
      <c r="A8">
        <v>2</v>
      </c>
      <c r="B8" t="s">
        <v>39</v>
      </c>
      <c r="C8" t="s">
        <v>40</v>
      </c>
      <c r="D8" t="s">
        <v>38</v>
      </c>
      <c r="E8">
        <v>1416021</v>
      </c>
      <c r="F8">
        <v>19015.746008999999</v>
      </c>
      <c r="G8">
        <v>0.11450763999999999</v>
      </c>
    </row>
    <row r="9" spans="1:9" x14ac:dyDescent="0.35">
      <c r="A9">
        <v>3</v>
      </c>
      <c r="B9" t="s">
        <v>352</v>
      </c>
      <c r="C9" t="s">
        <v>353</v>
      </c>
      <c r="D9" t="s">
        <v>38</v>
      </c>
      <c r="E9">
        <v>1272532</v>
      </c>
      <c r="F9">
        <v>16153.521208</v>
      </c>
      <c r="G9">
        <v>9.72721E-2</v>
      </c>
    </row>
    <row r="10" spans="1:9" x14ac:dyDescent="0.35">
      <c r="A10">
        <v>4</v>
      </c>
      <c r="B10" t="s">
        <v>36</v>
      </c>
      <c r="C10" t="s">
        <v>37</v>
      </c>
      <c r="D10" t="s">
        <v>38</v>
      </c>
      <c r="E10">
        <v>1003469</v>
      </c>
      <c r="F10">
        <v>9856.0725180000009</v>
      </c>
      <c r="G10">
        <v>5.935058E-2</v>
      </c>
    </row>
    <row r="11" spans="1:9" x14ac:dyDescent="0.35">
      <c r="A11">
        <v>5</v>
      </c>
      <c r="B11" t="s">
        <v>729</v>
      </c>
      <c r="C11" t="s">
        <v>730</v>
      </c>
      <c r="D11" t="s">
        <v>206</v>
      </c>
      <c r="E11">
        <v>397562</v>
      </c>
      <c r="F11">
        <v>8109.8672379999998</v>
      </c>
      <c r="G11">
        <v>4.8835410000000003E-2</v>
      </c>
    </row>
    <row r="12" spans="1:9" x14ac:dyDescent="0.35">
      <c r="A12">
        <v>6</v>
      </c>
      <c r="B12" t="s">
        <v>337</v>
      </c>
      <c r="C12" t="s">
        <v>338</v>
      </c>
      <c r="D12" t="s">
        <v>206</v>
      </c>
      <c r="E12">
        <v>768924</v>
      </c>
      <c r="F12">
        <v>7660.020888</v>
      </c>
      <c r="G12">
        <v>4.6126559999999997E-2</v>
      </c>
    </row>
    <row r="13" spans="1:9" x14ac:dyDescent="0.35">
      <c r="A13">
        <v>7</v>
      </c>
      <c r="B13" t="s">
        <v>405</v>
      </c>
      <c r="C13" t="s">
        <v>406</v>
      </c>
      <c r="D13" t="s">
        <v>38</v>
      </c>
      <c r="E13">
        <v>1606226</v>
      </c>
      <c r="F13">
        <v>7374.1835659999997</v>
      </c>
      <c r="G13">
        <v>4.4405319999999998E-2</v>
      </c>
    </row>
    <row r="14" spans="1:9" x14ac:dyDescent="0.35">
      <c r="A14">
        <v>8</v>
      </c>
      <c r="B14" t="s">
        <v>399</v>
      </c>
      <c r="C14" t="s">
        <v>400</v>
      </c>
      <c r="D14" t="s">
        <v>38</v>
      </c>
      <c r="E14">
        <v>4243632</v>
      </c>
      <c r="F14">
        <v>7303.2906720000001</v>
      </c>
      <c r="G14">
        <v>4.3978419999999997E-2</v>
      </c>
    </row>
    <row r="15" spans="1:9" x14ac:dyDescent="0.35">
      <c r="A15">
        <v>9</v>
      </c>
      <c r="B15" t="s">
        <v>360</v>
      </c>
      <c r="C15" t="s">
        <v>361</v>
      </c>
      <c r="D15" t="s">
        <v>38</v>
      </c>
      <c r="E15">
        <v>2208626</v>
      </c>
      <c r="F15">
        <v>6535.3243339999999</v>
      </c>
      <c r="G15">
        <v>3.9353939999999997E-2</v>
      </c>
    </row>
    <row r="16" spans="1:9" x14ac:dyDescent="0.35">
      <c r="A16">
        <v>10</v>
      </c>
      <c r="B16" t="s">
        <v>397</v>
      </c>
      <c r="C16" t="s">
        <v>398</v>
      </c>
      <c r="D16" t="s">
        <v>206</v>
      </c>
      <c r="E16">
        <v>665351</v>
      </c>
      <c r="F16">
        <v>6330.8147650000001</v>
      </c>
      <c r="G16">
        <v>3.812244E-2</v>
      </c>
    </row>
    <row r="17" spans="1:7" x14ac:dyDescent="0.35">
      <c r="A17">
        <v>11</v>
      </c>
      <c r="B17" t="s">
        <v>401</v>
      </c>
      <c r="C17" t="s">
        <v>402</v>
      </c>
      <c r="D17" t="s">
        <v>38</v>
      </c>
      <c r="E17">
        <v>10648600</v>
      </c>
      <c r="F17">
        <v>5642.6931400000003</v>
      </c>
      <c r="G17">
        <v>3.3978759999999997E-2</v>
      </c>
    </row>
    <row r="18" spans="1:7" x14ac:dyDescent="0.35">
      <c r="A18">
        <v>12</v>
      </c>
      <c r="B18" t="s">
        <v>409</v>
      </c>
      <c r="C18" t="s">
        <v>410</v>
      </c>
      <c r="D18" t="s">
        <v>38</v>
      </c>
      <c r="E18">
        <v>7238410</v>
      </c>
      <c r="F18">
        <v>4559.474459</v>
      </c>
      <c r="G18">
        <v>2.745591E-2</v>
      </c>
    </row>
    <row r="19" spans="1:7" x14ac:dyDescent="0.35">
      <c r="A19">
        <v>13</v>
      </c>
      <c r="B19" t="s">
        <v>403</v>
      </c>
      <c r="C19" t="s">
        <v>404</v>
      </c>
      <c r="D19" t="s">
        <v>206</v>
      </c>
      <c r="E19">
        <v>225054</v>
      </c>
      <c r="F19">
        <v>4080.0039660000002</v>
      </c>
      <c r="G19">
        <v>2.4568670000000001E-2</v>
      </c>
    </row>
    <row r="20" spans="1:7" x14ac:dyDescent="0.35">
      <c r="A20">
        <v>14</v>
      </c>
      <c r="B20" t="s">
        <v>715</v>
      </c>
      <c r="C20" t="s">
        <v>716</v>
      </c>
      <c r="D20" t="s">
        <v>206</v>
      </c>
      <c r="E20">
        <v>1131406</v>
      </c>
      <c r="F20">
        <v>4036.8566080000001</v>
      </c>
      <c r="G20">
        <v>2.430885E-2</v>
      </c>
    </row>
    <row r="21" spans="1:7" x14ac:dyDescent="0.35">
      <c r="A21">
        <v>15</v>
      </c>
      <c r="B21" t="s">
        <v>947</v>
      </c>
      <c r="C21" t="s">
        <v>948</v>
      </c>
      <c r="D21" t="s">
        <v>290</v>
      </c>
      <c r="E21">
        <v>485951</v>
      </c>
      <c r="F21">
        <v>3247.3675575000002</v>
      </c>
      <c r="G21">
        <v>1.9554760000000001E-2</v>
      </c>
    </row>
    <row r="22" spans="1:7" x14ac:dyDescent="0.35">
      <c r="A22">
        <v>16</v>
      </c>
      <c r="B22" t="s">
        <v>356</v>
      </c>
      <c r="C22" t="s">
        <v>357</v>
      </c>
      <c r="D22" t="s">
        <v>38</v>
      </c>
      <c r="E22">
        <v>145590</v>
      </c>
      <c r="F22">
        <v>3204.58149</v>
      </c>
      <c r="G22">
        <v>1.9297120000000001E-2</v>
      </c>
    </row>
    <row r="23" spans="1:7" x14ac:dyDescent="0.35">
      <c r="A23">
        <v>17</v>
      </c>
      <c r="B23" t="s">
        <v>494</v>
      </c>
      <c r="C23" t="s">
        <v>495</v>
      </c>
      <c r="D23" t="s">
        <v>206</v>
      </c>
      <c r="E23">
        <v>671725</v>
      </c>
      <c r="F23">
        <v>2387.3106499999999</v>
      </c>
      <c r="G23">
        <v>1.437573E-2</v>
      </c>
    </row>
    <row r="24" spans="1:7" x14ac:dyDescent="0.35">
      <c r="A24">
        <v>18</v>
      </c>
      <c r="B24" t="s">
        <v>953</v>
      </c>
      <c r="C24" t="s">
        <v>954</v>
      </c>
      <c r="D24" t="s">
        <v>38</v>
      </c>
      <c r="E24">
        <v>1575348</v>
      </c>
      <c r="F24">
        <v>2297.1724536000002</v>
      </c>
      <c r="G24">
        <v>1.383295E-2</v>
      </c>
    </row>
    <row r="25" spans="1:7" x14ac:dyDescent="0.35">
      <c r="A25">
        <v>19</v>
      </c>
      <c r="B25" t="s">
        <v>889</v>
      </c>
      <c r="C25" t="s">
        <v>890</v>
      </c>
      <c r="D25" t="s">
        <v>206</v>
      </c>
      <c r="E25">
        <v>139255</v>
      </c>
      <c r="F25">
        <v>2038.6931999999999</v>
      </c>
      <c r="G25">
        <v>1.227645E-2</v>
      </c>
    </row>
    <row r="26" spans="1:7" x14ac:dyDescent="0.35">
      <c r="A26">
        <v>20</v>
      </c>
      <c r="B26" t="s">
        <v>204</v>
      </c>
      <c r="C26" t="s">
        <v>205</v>
      </c>
      <c r="D26" t="s">
        <v>206</v>
      </c>
      <c r="E26">
        <v>475616</v>
      </c>
      <c r="F26">
        <v>1916.7324799999999</v>
      </c>
      <c r="G26">
        <v>1.154204E-2</v>
      </c>
    </row>
    <row r="27" spans="1:7" x14ac:dyDescent="0.35">
      <c r="A27">
        <v>21</v>
      </c>
      <c r="B27" t="s">
        <v>268</v>
      </c>
      <c r="C27" t="s">
        <v>269</v>
      </c>
      <c r="D27" t="s">
        <v>235</v>
      </c>
      <c r="E27">
        <v>200000</v>
      </c>
      <c r="F27">
        <v>1711.5</v>
      </c>
      <c r="G27">
        <v>1.030619E-2</v>
      </c>
    </row>
    <row r="28" spans="1:7" x14ac:dyDescent="0.35">
      <c r="A28">
        <v>22</v>
      </c>
      <c r="B28" t="s">
        <v>221</v>
      </c>
      <c r="C28" t="s">
        <v>222</v>
      </c>
      <c r="D28" t="s">
        <v>223</v>
      </c>
      <c r="E28">
        <v>71603</v>
      </c>
      <c r="F28">
        <v>1307.1843679999999</v>
      </c>
      <c r="G28">
        <v>7.87151E-3</v>
      </c>
    </row>
    <row r="29" spans="1:7" x14ac:dyDescent="0.35">
      <c r="A29">
        <v>23</v>
      </c>
      <c r="B29" t="s">
        <v>419</v>
      </c>
      <c r="C29" t="s">
        <v>420</v>
      </c>
      <c r="D29" t="s">
        <v>235</v>
      </c>
      <c r="E29">
        <v>54228</v>
      </c>
      <c r="F29">
        <v>1271.1043199999999</v>
      </c>
      <c r="G29">
        <v>7.6542399999999997E-3</v>
      </c>
    </row>
    <row r="30" spans="1:7" x14ac:dyDescent="0.35">
      <c r="A30">
        <v>24</v>
      </c>
      <c r="B30" t="s">
        <v>370</v>
      </c>
      <c r="C30" t="s">
        <v>371</v>
      </c>
      <c r="D30" t="s">
        <v>206</v>
      </c>
      <c r="E30">
        <v>71814</v>
      </c>
      <c r="F30">
        <v>1222.4179079999999</v>
      </c>
      <c r="G30">
        <v>7.3610699999999999E-3</v>
      </c>
    </row>
    <row r="31" spans="1:7" x14ac:dyDescent="0.35">
      <c r="A31">
        <v>25</v>
      </c>
      <c r="B31" t="s">
        <v>286</v>
      </c>
      <c r="C31" t="s">
        <v>287</v>
      </c>
      <c r="D31" t="s">
        <v>38</v>
      </c>
      <c r="E31">
        <v>135116</v>
      </c>
      <c r="F31">
        <v>1167.672472</v>
      </c>
      <c r="G31">
        <v>7.0314100000000001E-3</v>
      </c>
    </row>
    <row r="32" spans="1:7" x14ac:dyDescent="0.35">
      <c r="A32">
        <v>26</v>
      </c>
      <c r="B32" t="s">
        <v>996</v>
      </c>
      <c r="C32" t="s">
        <v>997</v>
      </c>
      <c r="D32" t="s">
        <v>206</v>
      </c>
      <c r="E32">
        <v>150011</v>
      </c>
      <c r="F32">
        <v>1148.4092105</v>
      </c>
      <c r="G32">
        <v>6.9154100000000003E-3</v>
      </c>
    </row>
    <row r="33" spans="1:7" x14ac:dyDescent="0.35">
      <c r="A33">
        <v>27</v>
      </c>
      <c r="B33" t="s">
        <v>233</v>
      </c>
      <c r="C33" t="s">
        <v>234</v>
      </c>
      <c r="D33" t="s">
        <v>235</v>
      </c>
      <c r="E33">
        <v>31843</v>
      </c>
      <c r="F33">
        <v>838.17144599999995</v>
      </c>
      <c r="G33">
        <v>5.0472399999999997E-3</v>
      </c>
    </row>
    <row r="34" spans="1:7" x14ac:dyDescent="0.35">
      <c r="A34">
        <v>28</v>
      </c>
      <c r="B34" t="s">
        <v>442</v>
      </c>
      <c r="C34" t="s">
        <v>443</v>
      </c>
      <c r="D34" t="s">
        <v>235</v>
      </c>
      <c r="E34">
        <v>20372</v>
      </c>
      <c r="F34">
        <v>519.16004799999996</v>
      </c>
      <c r="G34">
        <v>3.1262400000000002E-3</v>
      </c>
    </row>
    <row r="35" spans="1:7" x14ac:dyDescent="0.35">
      <c r="C35" t="s">
        <v>139</v>
      </c>
      <c r="F35">
        <v>161803.85244660001</v>
      </c>
      <c r="G35">
        <v>0.97433868000000001</v>
      </c>
    </row>
    <row r="37" spans="1:7" x14ac:dyDescent="0.35">
      <c r="C37" t="s">
        <v>140</v>
      </c>
    </row>
    <row r="38" spans="1:7" x14ac:dyDescent="0.35">
      <c r="C38" t="s">
        <v>139</v>
      </c>
      <c r="F38" t="s">
        <v>141</v>
      </c>
      <c r="G38">
        <v>0</v>
      </c>
    </row>
    <row r="40" spans="1:7" x14ac:dyDescent="0.35">
      <c r="C40" t="s">
        <v>142</v>
      </c>
    </row>
    <row r="41" spans="1:7" x14ac:dyDescent="0.35">
      <c r="C41" t="s">
        <v>139</v>
      </c>
      <c r="F41" t="s">
        <v>141</v>
      </c>
      <c r="G41">
        <v>0</v>
      </c>
    </row>
    <row r="43" spans="1:7" x14ac:dyDescent="0.35">
      <c r="C43" t="s">
        <v>147</v>
      </c>
    </row>
    <row r="44" spans="1:7" x14ac:dyDescent="0.35">
      <c r="C44" t="s">
        <v>139</v>
      </c>
      <c r="F44" t="s">
        <v>141</v>
      </c>
      <c r="G44">
        <v>0</v>
      </c>
    </row>
    <row r="46" spans="1:7" x14ac:dyDescent="0.35">
      <c r="C46" t="s">
        <v>148</v>
      </c>
    </row>
    <row r="47" spans="1:7" x14ac:dyDescent="0.35">
      <c r="C47" t="s">
        <v>139</v>
      </c>
      <c r="F47" t="s">
        <v>141</v>
      </c>
      <c r="G47">
        <v>0</v>
      </c>
    </row>
    <row r="49" spans="3:7" x14ac:dyDescent="0.35">
      <c r="C49" t="s">
        <v>149</v>
      </c>
    </row>
    <row r="50" spans="3:7" x14ac:dyDescent="0.35">
      <c r="C50" t="s">
        <v>139</v>
      </c>
      <c r="F50" t="s">
        <v>141</v>
      </c>
      <c r="G50">
        <v>0</v>
      </c>
    </row>
    <row r="52" spans="3:7" x14ac:dyDescent="0.35">
      <c r="C52" t="s">
        <v>150</v>
      </c>
      <c r="F52">
        <v>161803.85244660001</v>
      </c>
      <c r="G52">
        <v>0.97433868000000001</v>
      </c>
    </row>
    <row r="54" spans="3:7" x14ac:dyDescent="0.35">
      <c r="C54" t="s">
        <v>151</v>
      </c>
    </row>
    <row r="55" spans="3:7" x14ac:dyDescent="0.35">
      <c r="C55" t="s">
        <v>13</v>
      </c>
    </row>
    <row r="56" spans="3:7" x14ac:dyDescent="0.35">
      <c r="C56" t="s">
        <v>139</v>
      </c>
      <c r="F56" t="s">
        <v>141</v>
      </c>
      <c r="G56">
        <v>0</v>
      </c>
    </row>
    <row r="58" spans="3:7" x14ac:dyDescent="0.35">
      <c r="C58" t="s">
        <v>152</v>
      </c>
    </row>
    <row r="59" spans="3:7" x14ac:dyDescent="0.35">
      <c r="C59" t="s">
        <v>139</v>
      </c>
      <c r="F59" t="s">
        <v>141</v>
      </c>
      <c r="G59">
        <v>0</v>
      </c>
    </row>
    <row r="61" spans="3:7" x14ac:dyDescent="0.35">
      <c r="C61" t="s">
        <v>153</v>
      </c>
    </row>
    <row r="62" spans="3:7" x14ac:dyDescent="0.35">
      <c r="C62" t="s">
        <v>139</v>
      </c>
      <c r="F62" t="s">
        <v>141</v>
      </c>
      <c r="G62">
        <v>0</v>
      </c>
    </row>
    <row r="64" spans="3:7" x14ac:dyDescent="0.35">
      <c r="C64" t="s">
        <v>154</v>
      </c>
    </row>
    <row r="65" spans="1:8" x14ac:dyDescent="0.35">
      <c r="C65" t="s">
        <v>139</v>
      </c>
      <c r="F65" t="s">
        <v>141</v>
      </c>
      <c r="G65">
        <v>0</v>
      </c>
    </row>
    <row r="67" spans="1:8" x14ac:dyDescent="0.35">
      <c r="C67" t="s">
        <v>155</v>
      </c>
      <c r="F67">
        <v>0</v>
      </c>
      <c r="G67">
        <v>0</v>
      </c>
    </row>
    <row r="69" spans="1:8" x14ac:dyDescent="0.35">
      <c r="C69" t="s">
        <v>156</v>
      </c>
    </row>
    <row r="70" spans="1:8" x14ac:dyDescent="0.35">
      <c r="C70" t="s">
        <v>157</v>
      </c>
    </row>
    <row r="71" spans="1:8" x14ac:dyDescent="0.35">
      <c r="C71" t="s">
        <v>139</v>
      </c>
      <c r="F71" t="s">
        <v>141</v>
      </c>
      <c r="G71">
        <v>0</v>
      </c>
    </row>
    <row r="73" spans="1:8" x14ac:dyDescent="0.35">
      <c r="C73" t="s">
        <v>158</v>
      </c>
    </row>
    <row r="74" spans="1:8" x14ac:dyDescent="0.35">
      <c r="C74" t="s">
        <v>139</v>
      </c>
      <c r="F74" t="s">
        <v>141</v>
      </c>
      <c r="G74">
        <v>0</v>
      </c>
    </row>
    <row r="76" spans="1:8" x14ac:dyDescent="0.35">
      <c r="C76" t="s">
        <v>159</v>
      </c>
    </row>
    <row r="77" spans="1:8" x14ac:dyDescent="0.35">
      <c r="C77" t="s">
        <v>139</v>
      </c>
      <c r="F77" t="s">
        <v>141</v>
      </c>
      <c r="G77">
        <v>0</v>
      </c>
    </row>
    <row r="79" spans="1:8" x14ac:dyDescent="0.35">
      <c r="C79" t="s">
        <v>160</v>
      </c>
    </row>
    <row r="80" spans="1:8" x14ac:dyDescent="0.35">
      <c r="A80">
        <v>1</v>
      </c>
      <c r="C80" t="s">
        <v>161</v>
      </c>
      <c r="F80">
        <v>2654.3287380100001</v>
      </c>
      <c r="G80">
        <v>1.598364E-2</v>
      </c>
      <c r="H80">
        <v>5.42</v>
      </c>
    </row>
    <row r="81" spans="1:7" x14ac:dyDescent="0.35">
      <c r="C81" t="s">
        <v>139</v>
      </c>
      <c r="F81">
        <v>2654.3287380100001</v>
      </c>
      <c r="G81">
        <v>1.598364E-2</v>
      </c>
    </row>
    <row r="83" spans="1:7" x14ac:dyDescent="0.35">
      <c r="C83" t="s">
        <v>162</v>
      </c>
      <c r="F83">
        <v>2654.3287380100001</v>
      </c>
      <c r="G83">
        <v>1.598364E-2</v>
      </c>
    </row>
    <row r="85" spans="1:7" x14ac:dyDescent="0.35">
      <c r="C85" t="s">
        <v>163</v>
      </c>
    </row>
    <row r="86" spans="1:7" x14ac:dyDescent="0.35">
      <c r="C86" t="s">
        <v>164</v>
      </c>
    </row>
    <row r="87" spans="1:7" x14ac:dyDescent="0.35">
      <c r="A87">
        <v>1</v>
      </c>
      <c r="B87" t="s">
        <v>478</v>
      </c>
      <c r="C87" t="s">
        <v>479</v>
      </c>
      <c r="E87">
        <v>9815428.0309999995</v>
      </c>
      <c r="F87">
        <v>1530.7061860060001</v>
      </c>
      <c r="G87">
        <v>9.2175E-3</v>
      </c>
    </row>
    <row r="88" spans="1:7" x14ac:dyDescent="0.35">
      <c r="C88" t="s">
        <v>139</v>
      </c>
      <c r="F88">
        <v>1530.7061860060001</v>
      </c>
      <c r="G88">
        <v>9.2175E-3</v>
      </c>
    </row>
    <row r="90" spans="1:7" x14ac:dyDescent="0.35">
      <c r="C90" t="s">
        <v>165</v>
      </c>
    </row>
    <row r="91" spans="1:7" x14ac:dyDescent="0.35">
      <c r="C91" t="s">
        <v>166</v>
      </c>
    </row>
    <row r="92" spans="1:7" x14ac:dyDescent="0.35">
      <c r="C92" t="s">
        <v>139</v>
      </c>
      <c r="F92" t="s">
        <v>141</v>
      </c>
      <c r="G92">
        <v>0</v>
      </c>
    </row>
    <row r="94" spans="1:7" x14ac:dyDescent="0.35">
      <c r="C94" t="s">
        <v>167</v>
      </c>
    </row>
    <row r="95" spans="1:7" x14ac:dyDescent="0.35">
      <c r="C95" t="s">
        <v>139</v>
      </c>
      <c r="F95" t="s">
        <v>141</v>
      </c>
      <c r="G95">
        <v>0</v>
      </c>
    </row>
    <row r="97" spans="2:7" x14ac:dyDescent="0.35">
      <c r="C97" t="s">
        <v>480</v>
      </c>
      <c r="F97">
        <v>522.30007869999997</v>
      </c>
      <c r="G97">
        <v>3.1451500000000002E-3</v>
      </c>
    </row>
    <row r="98" spans="2:7" x14ac:dyDescent="0.35">
      <c r="C98" t="s">
        <v>168</v>
      </c>
      <c r="F98">
        <v>-445.87788547000002</v>
      </c>
      <c r="G98">
        <v>-2.6849600000000001E-3</v>
      </c>
    </row>
    <row r="99" spans="2:7" x14ac:dyDescent="0.35">
      <c r="C99" t="s">
        <v>169</v>
      </c>
      <c r="F99">
        <v>166065.30956384601</v>
      </c>
      <c r="G99">
        <v>1.0000000099999999</v>
      </c>
    </row>
    <row r="101" spans="2:7" x14ac:dyDescent="0.35">
      <c r="B101" t="s">
        <v>170</v>
      </c>
    </row>
    <row r="102" spans="2:7" x14ac:dyDescent="0.35">
      <c r="B102" t="s">
        <v>171</v>
      </c>
    </row>
    <row r="103" spans="2:7" x14ac:dyDescent="0.35">
      <c r="B103" t="s">
        <v>172</v>
      </c>
    </row>
    <row r="104" spans="2:7" x14ac:dyDescent="0.35">
      <c r="B104" t="s">
        <v>173</v>
      </c>
    </row>
    <row r="105" spans="2:7" x14ac:dyDescent="0.35">
      <c r="B105" t="s">
        <v>174</v>
      </c>
    </row>
    <row r="107" spans="2:7" x14ac:dyDescent="0.35">
      <c r="B107" t="s">
        <v>175</v>
      </c>
    </row>
    <row r="108" spans="2:7" x14ac:dyDescent="0.35">
      <c r="B108" t="s">
        <v>176</v>
      </c>
      <c r="D108" t="s">
        <v>177</v>
      </c>
    </row>
    <row r="109" spans="2:7" x14ac:dyDescent="0.35">
      <c r="B109" t="s">
        <v>178</v>
      </c>
      <c r="D109" t="s">
        <v>177</v>
      </c>
    </row>
    <row r="110" spans="2:7" x14ac:dyDescent="0.35">
      <c r="B110" t="s">
        <v>179</v>
      </c>
    </row>
    <row r="111" spans="2:7" x14ac:dyDescent="0.35">
      <c r="C111" t="s">
        <v>180</v>
      </c>
      <c r="D111" t="s">
        <v>181</v>
      </c>
    </row>
    <row r="112" spans="2:7" x14ac:dyDescent="0.35">
      <c r="B112" t="s">
        <v>182</v>
      </c>
      <c r="C112" s="1">
        <v>45991</v>
      </c>
      <c r="D112" s="1">
        <v>46022</v>
      </c>
    </row>
    <row r="113" spans="2:4" x14ac:dyDescent="0.35">
      <c r="B113" t="s">
        <v>183</v>
      </c>
      <c r="C113">
        <v>124.6086</v>
      </c>
      <c r="D113">
        <v>124.82380000000001</v>
      </c>
    </row>
    <row r="114" spans="2:4" x14ac:dyDescent="0.35">
      <c r="B114" t="s">
        <v>184</v>
      </c>
      <c r="C114">
        <v>39.270899999999997</v>
      </c>
      <c r="D114">
        <v>36.726599999999998</v>
      </c>
    </row>
    <row r="115" spans="2:4" x14ac:dyDescent="0.35">
      <c r="B115" t="s">
        <v>185</v>
      </c>
      <c r="C115">
        <v>109.8943</v>
      </c>
      <c r="D115">
        <v>109.9607</v>
      </c>
    </row>
    <row r="116" spans="2:4" x14ac:dyDescent="0.35">
      <c r="B116" t="s">
        <v>186</v>
      </c>
      <c r="C116">
        <v>34.0685</v>
      </c>
      <c r="D116">
        <v>31.801300000000001</v>
      </c>
    </row>
    <row r="118" spans="2:4" x14ac:dyDescent="0.35">
      <c r="B118" t="s">
        <v>187</v>
      </c>
    </row>
    <row r="119" spans="2:4" x14ac:dyDescent="0.35">
      <c r="B119" t="s">
        <v>182</v>
      </c>
      <c r="C119" t="s">
        <v>659</v>
      </c>
      <c r="D119" t="s">
        <v>660</v>
      </c>
    </row>
    <row r="120" spans="2:4" x14ac:dyDescent="0.35">
      <c r="B120" t="s">
        <v>184</v>
      </c>
      <c r="C120">
        <v>2.5609999999999999</v>
      </c>
      <c r="D120">
        <v>2.5609999999999999</v>
      </c>
    </row>
    <row r="121" spans="2:4" x14ac:dyDescent="0.35">
      <c r="B121" t="s">
        <v>186</v>
      </c>
      <c r="C121">
        <v>2.2440000000000002</v>
      </c>
      <c r="D121">
        <v>2.2440000000000002</v>
      </c>
    </row>
    <row r="123" spans="2:4" x14ac:dyDescent="0.35">
      <c r="B123" t="s">
        <v>188</v>
      </c>
      <c r="D123" t="s">
        <v>177</v>
      </c>
    </row>
    <row r="124" spans="2:4" x14ac:dyDescent="0.35">
      <c r="B124" t="s">
        <v>189</v>
      </c>
      <c r="D124" t="s">
        <v>177</v>
      </c>
    </row>
    <row r="125" spans="2:4" x14ac:dyDescent="0.35">
      <c r="B125" t="s">
        <v>190</v>
      </c>
      <c r="D125" t="s">
        <v>177</v>
      </c>
    </row>
    <row r="126" spans="2:4" x14ac:dyDescent="0.35">
      <c r="B126" t="s">
        <v>191</v>
      </c>
      <c r="D126">
        <v>0.45810161044064268</v>
      </c>
    </row>
    <row r="128" spans="2:4" x14ac:dyDescent="0.35">
      <c r="B128" t="s">
        <v>192</v>
      </c>
    </row>
    <row r="133" spans="2:2" x14ac:dyDescent="0.35">
      <c r="B133" t="s">
        <v>193</v>
      </c>
    </row>
    <row r="134" spans="2:2" x14ac:dyDescent="0.35">
      <c r="B134" t="s">
        <v>998</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89"/>
  <sheetViews>
    <sheetView workbookViewId="0"/>
  </sheetViews>
  <sheetFormatPr defaultRowHeight="14.5" x14ac:dyDescent="0.35"/>
  <sheetData>
    <row r="1" spans="1:9" x14ac:dyDescent="0.35">
      <c r="A1" t="s">
        <v>0</v>
      </c>
      <c r="I1" t="s">
        <v>1</v>
      </c>
    </row>
    <row r="2" spans="1:9" x14ac:dyDescent="0.35">
      <c r="A2" t="s">
        <v>999</v>
      </c>
    </row>
    <row r="3" spans="1:9" x14ac:dyDescent="0.35">
      <c r="A3" t="s">
        <v>3</v>
      </c>
    </row>
    <row r="4" spans="1:9" x14ac:dyDescent="0.35">
      <c r="A4" t="s">
        <v>4</v>
      </c>
      <c r="B4" t="s">
        <v>5</v>
      </c>
      <c r="C4" t="s">
        <v>6</v>
      </c>
      <c r="D4" t="s">
        <v>7</v>
      </c>
      <c r="E4" t="s">
        <v>8</v>
      </c>
      <c r="F4" t="s">
        <v>9</v>
      </c>
      <c r="G4" t="s">
        <v>10</v>
      </c>
      <c r="H4" t="s">
        <v>702</v>
      </c>
    </row>
    <row r="5" spans="1:9" x14ac:dyDescent="0.35">
      <c r="C5" t="s">
        <v>12</v>
      </c>
    </row>
    <row r="6" spans="1:9" x14ac:dyDescent="0.35">
      <c r="C6" t="s">
        <v>13</v>
      </c>
    </row>
    <row r="7" spans="1:9" x14ac:dyDescent="0.35">
      <c r="A7">
        <v>1</v>
      </c>
      <c r="B7" t="s">
        <v>350</v>
      </c>
      <c r="C7" t="s">
        <v>351</v>
      </c>
      <c r="D7" t="s">
        <v>38</v>
      </c>
      <c r="E7">
        <v>2107290</v>
      </c>
      <c r="F7">
        <v>20887.458480000001</v>
      </c>
      <c r="G7">
        <v>6.758699E-2</v>
      </c>
    </row>
    <row r="8" spans="1:9" x14ac:dyDescent="0.35">
      <c r="A8">
        <v>2</v>
      </c>
      <c r="B8" t="s">
        <v>39</v>
      </c>
      <c r="C8" t="s">
        <v>40</v>
      </c>
      <c r="D8" t="s">
        <v>38</v>
      </c>
      <c r="E8">
        <v>998915</v>
      </c>
      <c r="F8">
        <v>13414.429534999999</v>
      </c>
      <c r="G8">
        <v>4.3406E-2</v>
      </c>
    </row>
    <row r="9" spans="1:9" x14ac:dyDescent="0.35">
      <c r="A9">
        <v>3</v>
      </c>
      <c r="B9" t="s">
        <v>14</v>
      </c>
      <c r="C9" t="s">
        <v>15</v>
      </c>
      <c r="D9" t="s">
        <v>16</v>
      </c>
      <c r="E9">
        <v>601190</v>
      </c>
      <c r="F9">
        <v>12658.656639999999</v>
      </c>
      <c r="G9">
        <v>4.0960490000000002E-2</v>
      </c>
    </row>
    <row r="10" spans="1:9" x14ac:dyDescent="0.35">
      <c r="A10">
        <v>4</v>
      </c>
      <c r="B10" t="s">
        <v>20</v>
      </c>
      <c r="C10" t="s">
        <v>21</v>
      </c>
      <c r="D10" t="s">
        <v>22</v>
      </c>
      <c r="E10">
        <v>745325</v>
      </c>
      <c r="F10">
        <v>11704.5838</v>
      </c>
      <c r="G10">
        <v>3.7873329999999997E-2</v>
      </c>
    </row>
    <row r="11" spans="1:9" x14ac:dyDescent="0.35">
      <c r="A11">
        <v>5</v>
      </c>
      <c r="B11" t="s">
        <v>358</v>
      </c>
      <c r="C11" t="s">
        <v>359</v>
      </c>
      <c r="D11" t="s">
        <v>252</v>
      </c>
      <c r="E11">
        <v>311610</v>
      </c>
      <c r="F11">
        <v>11558.23812</v>
      </c>
      <c r="G11">
        <v>3.7399790000000002E-2</v>
      </c>
    </row>
    <row r="12" spans="1:9" x14ac:dyDescent="0.35">
      <c r="A12">
        <v>6</v>
      </c>
      <c r="B12" t="s">
        <v>17</v>
      </c>
      <c r="C12" t="s">
        <v>18</v>
      </c>
      <c r="D12" t="s">
        <v>19</v>
      </c>
      <c r="E12">
        <v>265983</v>
      </c>
      <c r="F12">
        <v>10861.415805000001</v>
      </c>
      <c r="G12">
        <v>3.5145030000000001E-2</v>
      </c>
    </row>
    <row r="13" spans="1:9" x14ac:dyDescent="0.35">
      <c r="A13">
        <v>7</v>
      </c>
      <c r="B13" t="s">
        <v>356</v>
      </c>
      <c r="C13" t="s">
        <v>357</v>
      </c>
      <c r="D13" t="s">
        <v>38</v>
      </c>
      <c r="E13">
        <v>349997</v>
      </c>
      <c r="F13">
        <v>7703.7839670000003</v>
      </c>
      <c r="G13">
        <v>2.4927669999999999E-2</v>
      </c>
    </row>
    <row r="14" spans="1:9" x14ac:dyDescent="0.35">
      <c r="A14">
        <v>8</v>
      </c>
      <c r="B14" t="s">
        <v>366</v>
      </c>
      <c r="C14" t="s">
        <v>367</v>
      </c>
      <c r="D14" t="s">
        <v>206</v>
      </c>
      <c r="E14">
        <v>624005</v>
      </c>
      <c r="F14">
        <v>6157.6813400000001</v>
      </c>
      <c r="G14">
        <v>1.9924830000000001E-2</v>
      </c>
    </row>
    <row r="15" spans="1:9" x14ac:dyDescent="0.35">
      <c r="A15">
        <v>9</v>
      </c>
      <c r="B15" t="s">
        <v>487</v>
      </c>
      <c r="C15" t="s">
        <v>488</v>
      </c>
      <c r="D15" t="s">
        <v>230</v>
      </c>
      <c r="E15">
        <v>341293</v>
      </c>
      <c r="F15">
        <v>5540.2092689999999</v>
      </c>
      <c r="G15">
        <v>1.7926839999999999E-2</v>
      </c>
    </row>
    <row r="16" spans="1:9" x14ac:dyDescent="0.35">
      <c r="A16">
        <v>10</v>
      </c>
      <c r="B16" t="s">
        <v>370</v>
      </c>
      <c r="C16" t="s">
        <v>371</v>
      </c>
      <c r="D16" t="s">
        <v>206</v>
      </c>
      <c r="E16">
        <v>279961</v>
      </c>
      <c r="F16">
        <v>4765.496142</v>
      </c>
      <c r="G16">
        <v>1.5420049999999999E-2</v>
      </c>
    </row>
    <row r="17" spans="1:7" x14ac:dyDescent="0.35">
      <c r="A17">
        <v>11</v>
      </c>
      <c r="B17" t="s">
        <v>36</v>
      </c>
      <c r="C17" t="s">
        <v>37</v>
      </c>
      <c r="D17" t="s">
        <v>38</v>
      </c>
      <c r="E17">
        <v>473500</v>
      </c>
      <c r="F17">
        <v>4650.7169999999996</v>
      </c>
      <c r="G17">
        <v>1.504865E-2</v>
      </c>
    </row>
    <row r="18" spans="1:7" x14ac:dyDescent="0.35">
      <c r="A18">
        <v>12</v>
      </c>
      <c r="B18" t="s">
        <v>491</v>
      </c>
      <c r="C18" t="s">
        <v>492</v>
      </c>
      <c r="D18" t="s">
        <v>493</v>
      </c>
      <c r="E18">
        <v>189956</v>
      </c>
      <c r="F18">
        <v>4399.1910040000002</v>
      </c>
      <c r="G18">
        <v>1.4234770000000001E-2</v>
      </c>
    </row>
    <row r="19" spans="1:7" x14ac:dyDescent="0.35">
      <c r="A19">
        <v>13</v>
      </c>
      <c r="B19" t="s">
        <v>207</v>
      </c>
      <c r="C19" t="s">
        <v>208</v>
      </c>
      <c r="D19" t="s">
        <v>209</v>
      </c>
      <c r="E19">
        <v>193401</v>
      </c>
      <c r="F19">
        <v>4383.240264</v>
      </c>
      <c r="G19">
        <v>1.418315E-2</v>
      </c>
    </row>
    <row r="20" spans="1:7" x14ac:dyDescent="0.35">
      <c r="A20">
        <v>14</v>
      </c>
      <c r="B20" t="s">
        <v>29</v>
      </c>
      <c r="C20" t="s">
        <v>30</v>
      </c>
      <c r="D20" t="s">
        <v>31</v>
      </c>
      <c r="E20">
        <v>1079075</v>
      </c>
      <c r="F20">
        <v>4311.9836999999998</v>
      </c>
      <c r="G20">
        <v>1.3952579999999999E-2</v>
      </c>
    </row>
    <row r="21" spans="1:7" x14ac:dyDescent="0.35">
      <c r="A21">
        <v>15</v>
      </c>
      <c r="B21" t="s">
        <v>57</v>
      </c>
      <c r="C21" t="s">
        <v>58</v>
      </c>
      <c r="D21" t="s">
        <v>53</v>
      </c>
      <c r="E21">
        <v>83749</v>
      </c>
      <c r="F21">
        <v>3713.765656</v>
      </c>
      <c r="G21">
        <v>1.2016890000000001E-2</v>
      </c>
    </row>
    <row r="22" spans="1:7" x14ac:dyDescent="0.35">
      <c r="A22">
        <v>16</v>
      </c>
      <c r="B22" t="s">
        <v>26</v>
      </c>
      <c r="C22" t="s">
        <v>27</v>
      </c>
      <c r="D22" t="s">
        <v>28</v>
      </c>
      <c r="E22">
        <v>31130</v>
      </c>
      <c r="F22">
        <v>3668.3591999999999</v>
      </c>
      <c r="G22">
        <v>1.1869960000000001E-2</v>
      </c>
    </row>
    <row r="23" spans="1:7" x14ac:dyDescent="0.35">
      <c r="A23">
        <v>17</v>
      </c>
      <c r="B23" t="s">
        <v>354</v>
      </c>
      <c r="C23" t="s">
        <v>355</v>
      </c>
      <c r="D23" t="s">
        <v>230</v>
      </c>
      <c r="E23">
        <v>212848</v>
      </c>
      <c r="F23">
        <v>3438.3465919999999</v>
      </c>
      <c r="G23">
        <v>1.1125700000000001E-2</v>
      </c>
    </row>
    <row r="24" spans="1:7" x14ac:dyDescent="0.35">
      <c r="A24">
        <v>18</v>
      </c>
      <c r="B24" t="s">
        <v>233</v>
      </c>
      <c r="C24" t="s">
        <v>234</v>
      </c>
      <c r="D24" t="s">
        <v>235</v>
      </c>
      <c r="E24">
        <v>122785</v>
      </c>
      <c r="F24">
        <v>3231.94677</v>
      </c>
      <c r="G24">
        <v>1.045783E-2</v>
      </c>
    </row>
    <row r="25" spans="1:7" x14ac:dyDescent="0.35">
      <c r="A25">
        <v>19</v>
      </c>
      <c r="B25" t="s">
        <v>221</v>
      </c>
      <c r="C25" t="s">
        <v>222</v>
      </c>
      <c r="D25" t="s">
        <v>223</v>
      </c>
      <c r="E25">
        <v>172225</v>
      </c>
      <c r="F25">
        <v>3144.1396</v>
      </c>
      <c r="G25">
        <v>1.0173710000000001E-2</v>
      </c>
    </row>
    <row r="26" spans="1:7" x14ac:dyDescent="0.35">
      <c r="A26">
        <v>20</v>
      </c>
      <c r="B26" t="s">
        <v>250</v>
      </c>
      <c r="C26" t="s">
        <v>251</v>
      </c>
      <c r="D26" t="s">
        <v>252</v>
      </c>
      <c r="E26">
        <v>84320</v>
      </c>
      <c r="F26">
        <v>3136.5353599999999</v>
      </c>
      <c r="G26">
        <v>1.0149099999999999E-2</v>
      </c>
    </row>
    <row r="27" spans="1:7" x14ac:dyDescent="0.35">
      <c r="A27">
        <v>21</v>
      </c>
      <c r="B27" t="s">
        <v>238</v>
      </c>
      <c r="C27" t="s">
        <v>239</v>
      </c>
      <c r="D27" t="s">
        <v>240</v>
      </c>
      <c r="E27">
        <v>558606</v>
      </c>
      <c r="F27">
        <v>3120.3731160000002</v>
      </c>
      <c r="G27">
        <v>1.0096809999999999E-2</v>
      </c>
    </row>
    <row r="28" spans="1:7" x14ac:dyDescent="0.35">
      <c r="A28">
        <v>22</v>
      </c>
      <c r="B28" t="s">
        <v>494</v>
      </c>
      <c r="C28" t="s">
        <v>495</v>
      </c>
      <c r="D28" t="s">
        <v>206</v>
      </c>
      <c r="E28">
        <v>867795</v>
      </c>
      <c r="F28">
        <v>3084.1434300000001</v>
      </c>
      <c r="G28">
        <v>9.97958E-3</v>
      </c>
    </row>
    <row r="29" spans="1:7" x14ac:dyDescent="0.35">
      <c r="A29">
        <v>23</v>
      </c>
      <c r="B29" t="s">
        <v>496</v>
      </c>
      <c r="C29" t="s">
        <v>497</v>
      </c>
      <c r="D29" t="s">
        <v>220</v>
      </c>
      <c r="E29">
        <v>253735</v>
      </c>
      <c r="F29">
        <v>3024.5212000000001</v>
      </c>
      <c r="G29">
        <v>9.7866499999999992E-3</v>
      </c>
    </row>
    <row r="30" spans="1:7" x14ac:dyDescent="0.35">
      <c r="A30">
        <v>24</v>
      </c>
      <c r="B30" t="s">
        <v>77</v>
      </c>
      <c r="C30" t="s">
        <v>78</v>
      </c>
      <c r="D30" t="s">
        <v>79</v>
      </c>
      <c r="E30">
        <v>59607</v>
      </c>
      <c r="F30">
        <v>3015.8161650000002</v>
      </c>
      <c r="G30">
        <v>9.7584799999999999E-3</v>
      </c>
    </row>
    <row r="31" spans="1:7" x14ac:dyDescent="0.35">
      <c r="A31">
        <v>25</v>
      </c>
      <c r="B31" t="s">
        <v>32</v>
      </c>
      <c r="C31" t="s">
        <v>33</v>
      </c>
      <c r="D31" t="s">
        <v>22</v>
      </c>
      <c r="E31">
        <v>734794</v>
      </c>
      <c r="F31">
        <v>2821.60896</v>
      </c>
      <c r="G31">
        <v>9.1300800000000005E-3</v>
      </c>
    </row>
    <row r="32" spans="1:7" x14ac:dyDescent="0.35">
      <c r="A32">
        <v>26</v>
      </c>
      <c r="B32" t="s">
        <v>63</v>
      </c>
      <c r="C32" t="s">
        <v>64</v>
      </c>
      <c r="D32" t="s">
        <v>65</v>
      </c>
      <c r="E32">
        <v>40838</v>
      </c>
      <c r="F32">
        <v>2608.3230600000002</v>
      </c>
      <c r="G32">
        <v>8.43993E-3</v>
      </c>
    </row>
    <row r="33" spans="1:7" x14ac:dyDescent="0.35">
      <c r="A33">
        <v>27</v>
      </c>
      <c r="B33" t="s">
        <v>500</v>
      </c>
      <c r="C33" t="s">
        <v>501</v>
      </c>
      <c r="D33" t="s">
        <v>43</v>
      </c>
      <c r="E33">
        <v>279997</v>
      </c>
      <c r="F33">
        <v>2546.7127135000001</v>
      </c>
      <c r="G33">
        <v>8.2405699999999991E-3</v>
      </c>
    </row>
    <row r="34" spans="1:7" x14ac:dyDescent="0.35">
      <c r="A34">
        <v>28</v>
      </c>
      <c r="B34" t="s">
        <v>498</v>
      </c>
      <c r="C34" t="s">
        <v>499</v>
      </c>
      <c r="D34" t="s">
        <v>252</v>
      </c>
      <c r="E34">
        <v>15190</v>
      </c>
      <c r="F34">
        <v>2536.2743</v>
      </c>
      <c r="G34">
        <v>8.2068000000000002E-3</v>
      </c>
    </row>
    <row r="35" spans="1:7" x14ac:dyDescent="0.35">
      <c r="A35">
        <v>29</v>
      </c>
      <c r="B35" t="s">
        <v>302</v>
      </c>
      <c r="C35" t="s">
        <v>303</v>
      </c>
      <c r="D35" t="s">
        <v>243</v>
      </c>
      <c r="E35">
        <v>103920</v>
      </c>
      <c r="F35">
        <v>2282.6028000000001</v>
      </c>
      <c r="G35">
        <v>7.3859800000000003E-3</v>
      </c>
    </row>
    <row r="36" spans="1:7" x14ac:dyDescent="0.35">
      <c r="A36">
        <v>30</v>
      </c>
      <c r="B36" t="s">
        <v>90</v>
      </c>
      <c r="C36" t="s">
        <v>91</v>
      </c>
      <c r="D36" t="s">
        <v>28</v>
      </c>
      <c r="E36">
        <v>37965</v>
      </c>
      <c r="F36">
        <v>2099.8441499999999</v>
      </c>
      <c r="G36">
        <v>6.7946100000000004E-3</v>
      </c>
    </row>
    <row r="37" spans="1:7" x14ac:dyDescent="0.35">
      <c r="A37">
        <v>31</v>
      </c>
      <c r="B37" t="s">
        <v>502</v>
      </c>
      <c r="C37" t="s">
        <v>503</v>
      </c>
      <c r="D37" t="s">
        <v>252</v>
      </c>
      <c r="E37">
        <v>22070</v>
      </c>
      <c r="F37">
        <v>2062.0001000000002</v>
      </c>
      <c r="G37">
        <v>6.6721599999999999E-3</v>
      </c>
    </row>
    <row r="38" spans="1:7" x14ac:dyDescent="0.35">
      <c r="A38">
        <v>32</v>
      </c>
      <c r="B38" t="s">
        <v>372</v>
      </c>
      <c r="C38" t="s">
        <v>373</v>
      </c>
      <c r="D38" t="s">
        <v>243</v>
      </c>
      <c r="E38">
        <v>119345</v>
      </c>
      <c r="F38">
        <v>2052.3759650000002</v>
      </c>
      <c r="G38">
        <v>6.6410200000000001E-3</v>
      </c>
    </row>
    <row r="39" spans="1:7" x14ac:dyDescent="0.35">
      <c r="A39">
        <v>33</v>
      </c>
      <c r="B39" t="s">
        <v>506</v>
      </c>
      <c r="C39" t="s">
        <v>507</v>
      </c>
      <c r="D39" t="s">
        <v>206</v>
      </c>
      <c r="E39">
        <v>184285</v>
      </c>
      <c r="F39">
        <v>2031.1892700000001</v>
      </c>
      <c r="G39">
        <v>6.5724599999999996E-3</v>
      </c>
    </row>
    <row r="40" spans="1:7" x14ac:dyDescent="0.35">
      <c r="A40">
        <v>34</v>
      </c>
      <c r="B40" t="s">
        <v>49</v>
      </c>
      <c r="C40" t="s">
        <v>50</v>
      </c>
      <c r="D40" t="s">
        <v>25</v>
      </c>
      <c r="E40">
        <v>519000</v>
      </c>
      <c r="F40">
        <v>1970.124</v>
      </c>
      <c r="G40">
        <v>6.3748700000000004E-3</v>
      </c>
    </row>
    <row r="41" spans="1:7" x14ac:dyDescent="0.35">
      <c r="A41">
        <v>35</v>
      </c>
      <c r="B41" t="s">
        <v>284</v>
      </c>
      <c r="C41" t="s">
        <v>285</v>
      </c>
      <c r="D41" t="s">
        <v>43</v>
      </c>
      <c r="E41">
        <v>153000</v>
      </c>
      <c r="F41">
        <v>1967.2739999999999</v>
      </c>
      <c r="G41">
        <v>6.3656399999999997E-3</v>
      </c>
    </row>
    <row r="42" spans="1:7" x14ac:dyDescent="0.35">
      <c r="A42">
        <v>36</v>
      </c>
      <c r="B42" t="s">
        <v>327</v>
      </c>
      <c r="C42" t="s">
        <v>328</v>
      </c>
      <c r="D42" t="s">
        <v>206</v>
      </c>
      <c r="E42">
        <v>42581</v>
      </c>
      <c r="F42">
        <v>1840.1804959999999</v>
      </c>
      <c r="G42">
        <v>5.9544000000000003E-3</v>
      </c>
    </row>
    <row r="43" spans="1:7" x14ac:dyDescent="0.35">
      <c r="A43">
        <v>37</v>
      </c>
      <c r="B43" t="s">
        <v>508</v>
      </c>
      <c r="C43" t="s">
        <v>509</v>
      </c>
      <c r="D43" t="s">
        <v>257</v>
      </c>
      <c r="E43">
        <v>118223</v>
      </c>
      <c r="F43">
        <v>1706.785451</v>
      </c>
      <c r="G43">
        <v>5.5227599999999998E-3</v>
      </c>
    </row>
    <row r="44" spans="1:7" x14ac:dyDescent="0.35">
      <c r="A44">
        <v>38</v>
      </c>
      <c r="B44" t="s">
        <v>442</v>
      </c>
      <c r="C44" t="s">
        <v>443</v>
      </c>
      <c r="D44" t="s">
        <v>235</v>
      </c>
      <c r="E44">
        <v>66847</v>
      </c>
      <c r="F44">
        <v>1703.5289479999999</v>
      </c>
      <c r="G44">
        <v>5.5122299999999999E-3</v>
      </c>
    </row>
    <row r="45" spans="1:7" x14ac:dyDescent="0.35">
      <c r="A45">
        <v>39</v>
      </c>
      <c r="B45" t="s">
        <v>282</v>
      </c>
      <c r="C45" t="s">
        <v>283</v>
      </c>
      <c r="D45" t="s">
        <v>97</v>
      </c>
      <c r="E45">
        <v>106458</v>
      </c>
      <c r="F45">
        <v>1697.7921839999999</v>
      </c>
      <c r="G45">
        <v>5.49366E-3</v>
      </c>
    </row>
    <row r="46" spans="1:7" x14ac:dyDescent="0.35">
      <c r="A46">
        <v>40</v>
      </c>
      <c r="B46" t="s">
        <v>510</v>
      </c>
      <c r="C46" t="s">
        <v>511</v>
      </c>
      <c r="D46" t="s">
        <v>299</v>
      </c>
      <c r="E46">
        <v>112270</v>
      </c>
      <c r="F46">
        <v>1664.2904799999999</v>
      </c>
      <c r="G46">
        <v>5.3852600000000002E-3</v>
      </c>
    </row>
    <row r="47" spans="1:7" x14ac:dyDescent="0.35">
      <c r="A47">
        <v>41</v>
      </c>
      <c r="B47" t="s">
        <v>512</v>
      </c>
      <c r="C47" t="s">
        <v>513</v>
      </c>
      <c r="D47" t="s">
        <v>257</v>
      </c>
      <c r="E47">
        <v>308375</v>
      </c>
      <c r="F47">
        <v>1510.5749375</v>
      </c>
      <c r="G47">
        <v>4.8878699999999999E-3</v>
      </c>
    </row>
    <row r="48" spans="1:7" x14ac:dyDescent="0.35">
      <c r="A48">
        <v>42</v>
      </c>
      <c r="B48" t="s">
        <v>352</v>
      </c>
      <c r="C48" t="s">
        <v>353</v>
      </c>
      <c r="D48" t="s">
        <v>38</v>
      </c>
      <c r="E48">
        <v>118750</v>
      </c>
      <c r="F48">
        <v>1507.4124999999999</v>
      </c>
      <c r="G48">
        <v>4.8776399999999999E-3</v>
      </c>
    </row>
    <row r="49" spans="1:7" x14ac:dyDescent="0.35">
      <c r="A49">
        <v>43</v>
      </c>
      <c r="B49" t="s">
        <v>310</v>
      </c>
      <c r="C49" t="s">
        <v>311</v>
      </c>
      <c r="D49" t="s">
        <v>235</v>
      </c>
      <c r="E49">
        <v>883365</v>
      </c>
      <c r="F49">
        <v>1379.5511205</v>
      </c>
      <c r="G49">
        <v>4.4639099999999998E-3</v>
      </c>
    </row>
    <row r="50" spans="1:7" x14ac:dyDescent="0.35">
      <c r="A50">
        <v>44</v>
      </c>
      <c r="B50" t="s">
        <v>325</v>
      </c>
      <c r="C50" t="s">
        <v>326</v>
      </c>
      <c r="D50" t="s">
        <v>114</v>
      </c>
      <c r="E50">
        <v>221219</v>
      </c>
      <c r="F50">
        <v>1151.3342855000001</v>
      </c>
      <c r="G50">
        <v>3.7254499999999999E-3</v>
      </c>
    </row>
    <row r="51" spans="1:7" x14ac:dyDescent="0.35">
      <c r="A51">
        <v>45</v>
      </c>
      <c r="B51" t="s">
        <v>228</v>
      </c>
      <c r="C51" t="s">
        <v>229</v>
      </c>
      <c r="D51" t="s">
        <v>230</v>
      </c>
      <c r="E51">
        <v>67000</v>
      </c>
      <c r="F51">
        <v>1114.21</v>
      </c>
      <c r="G51">
        <v>3.6053299999999999E-3</v>
      </c>
    </row>
    <row r="52" spans="1:7" x14ac:dyDescent="0.35">
      <c r="A52">
        <v>46</v>
      </c>
      <c r="B52" t="s">
        <v>514</v>
      </c>
      <c r="C52" t="s">
        <v>515</v>
      </c>
      <c r="D52" t="s">
        <v>324</v>
      </c>
      <c r="E52">
        <v>25880</v>
      </c>
      <c r="F52">
        <v>1107.4051999999999</v>
      </c>
      <c r="G52">
        <v>3.5833100000000001E-3</v>
      </c>
    </row>
    <row r="53" spans="1:7" x14ac:dyDescent="0.35">
      <c r="A53">
        <v>47</v>
      </c>
      <c r="B53" t="s">
        <v>516</v>
      </c>
      <c r="C53" t="s">
        <v>517</v>
      </c>
      <c r="D53" t="s">
        <v>230</v>
      </c>
      <c r="E53">
        <v>64540</v>
      </c>
      <c r="F53">
        <v>1026.76686</v>
      </c>
      <c r="G53">
        <v>3.3223800000000002E-3</v>
      </c>
    </row>
    <row r="54" spans="1:7" x14ac:dyDescent="0.35">
      <c r="A54">
        <v>48</v>
      </c>
      <c r="B54" t="s">
        <v>518</v>
      </c>
      <c r="C54" t="s">
        <v>519</v>
      </c>
      <c r="D54" t="s">
        <v>290</v>
      </c>
      <c r="E54">
        <v>49698</v>
      </c>
      <c r="F54">
        <v>1011.304602</v>
      </c>
      <c r="G54">
        <v>3.2723499999999998E-3</v>
      </c>
    </row>
    <row r="55" spans="1:7" x14ac:dyDescent="0.35">
      <c r="A55">
        <v>49</v>
      </c>
      <c r="B55" t="s">
        <v>520</v>
      </c>
      <c r="C55" t="s">
        <v>521</v>
      </c>
      <c r="D55" t="s">
        <v>94</v>
      </c>
      <c r="E55">
        <v>458275</v>
      </c>
      <c r="F55">
        <v>891.66566750000004</v>
      </c>
      <c r="G55">
        <v>2.88522E-3</v>
      </c>
    </row>
    <row r="56" spans="1:7" x14ac:dyDescent="0.35">
      <c r="A56">
        <v>50</v>
      </c>
      <c r="B56" t="s">
        <v>522</v>
      </c>
      <c r="C56" t="s">
        <v>523</v>
      </c>
      <c r="D56" t="s">
        <v>240</v>
      </c>
      <c r="E56">
        <v>109000</v>
      </c>
      <c r="F56">
        <v>805.34649999999999</v>
      </c>
      <c r="G56">
        <v>2.6059199999999999E-3</v>
      </c>
    </row>
    <row r="57" spans="1:7" x14ac:dyDescent="0.35">
      <c r="A57">
        <v>51</v>
      </c>
      <c r="B57" t="s">
        <v>92</v>
      </c>
      <c r="C57" t="s">
        <v>93</v>
      </c>
      <c r="D57" t="s">
        <v>94</v>
      </c>
      <c r="E57">
        <v>445954</v>
      </c>
      <c r="F57">
        <v>767.75440639999999</v>
      </c>
      <c r="G57">
        <v>2.4842800000000002E-3</v>
      </c>
    </row>
    <row r="58" spans="1:7" x14ac:dyDescent="0.35">
      <c r="A58">
        <v>52</v>
      </c>
      <c r="B58" t="s">
        <v>968</v>
      </c>
      <c r="C58" t="s">
        <v>969</v>
      </c>
      <c r="D58" t="s">
        <v>28</v>
      </c>
      <c r="E58">
        <v>8000</v>
      </c>
      <c r="F58">
        <v>226.32</v>
      </c>
      <c r="G58">
        <v>7.3231999999999995E-4</v>
      </c>
    </row>
    <row r="59" spans="1:7" x14ac:dyDescent="0.35">
      <c r="A59">
        <v>53</v>
      </c>
      <c r="B59" t="s">
        <v>524</v>
      </c>
      <c r="C59" t="s">
        <v>525</v>
      </c>
      <c r="D59" t="s">
        <v>526</v>
      </c>
      <c r="E59">
        <v>173701</v>
      </c>
      <c r="F59">
        <v>69.827802000000005</v>
      </c>
      <c r="G59">
        <v>2.2594999999999999E-4</v>
      </c>
    </row>
    <row r="60" spans="1:7" x14ac:dyDescent="0.35">
      <c r="A60">
        <v>54</v>
      </c>
      <c r="B60" t="s">
        <v>214</v>
      </c>
      <c r="C60" t="s">
        <v>215</v>
      </c>
      <c r="D60" t="s">
        <v>22</v>
      </c>
      <c r="E60">
        <v>4781</v>
      </c>
      <c r="F60">
        <v>23.8595805</v>
      </c>
      <c r="G60">
        <v>7.7200000000000006E-5</v>
      </c>
    </row>
    <row r="61" spans="1:7" x14ac:dyDescent="0.35">
      <c r="C61" t="s">
        <v>139</v>
      </c>
      <c r="F61">
        <v>201759.27249440001</v>
      </c>
      <c r="G61">
        <v>0.65284644000000003</v>
      </c>
    </row>
    <row r="63" spans="1:7" x14ac:dyDescent="0.35">
      <c r="C63" t="s">
        <v>140</v>
      </c>
    </row>
    <row r="64" spans="1:7" x14ac:dyDescent="0.35">
      <c r="C64" t="s">
        <v>139</v>
      </c>
      <c r="F64" t="s">
        <v>141</v>
      </c>
      <c r="G64">
        <v>0</v>
      </c>
    </row>
    <row r="66" spans="1:7" x14ac:dyDescent="0.35">
      <c r="C66" t="s">
        <v>142</v>
      </c>
    </row>
    <row r="67" spans="1:7" x14ac:dyDescent="0.35">
      <c r="C67" t="s">
        <v>139</v>
      </c>
      <c r="F67" t="s">
        <v>141</v>
      </c>
      <c r="G67">
        <v>0</v>
      </c>
    </row>
    <row r="69" spans="1:7" x14ac:dyDescent="0.35">
      <c r="C69" t="s">
        <v>147</v>
      </c>
    </row>
    <row r="70" spans="1:7" x14ac:dyDescent="0.35">
      <c r="C70" t="s">
        <v>139</v>
      </c>
      <c r="F70" t="s">
        <v>141</v>
      </c>
      <c r="G70">
        <v>0</v>
      </c>
    </row>
    <row r="72" spans="1:7" x14ac:dyDescent="0.35">
      <c r="C72" t="s">
        <v>148</v>
      </c>
    </row>
    <row r="73" spans="1:7" x14ac:dyDescent="0.35">
      <c r="C73" t="s">
        <v>139</v>
      </c>
      <c r="F73" t="s">
        <v>141</v>
      </c>
      <c r="G73">
        <v>0</v>
      </c>
    </row>
    <row r="75" spans="1:7" x14ac:dyDescent="0.35">
      <c r="C75" t="s">
        <v>149</v>
      </c>
    </row>
    <row r="76" spans="1:7" x14ac:dyDescent="0.35">
      <c r="A76">
        <v>1</v>
      </c>
      <c r="C76" t="s">
        <v>1000</v>
      </c>
      <c r="D76" t="s">
        <v>477</v>
      </c>
      <c r="E76">
        <v>-4750</v>
      </c>
      <c r="F76">
        <v>-563.20749999999998</v>
      </c>
      <c r="G76">
        <f>F76/$F$145</f>
        <v>-1.8224093748077878E-3</v>
      </c>
    </row>
    <row r="77" spans="1:7" x14ac:dyDescent="0.35">
      <c r="A77">
        <v>2</v>
      </c>
      <c r="C77" t="s">
        <v>771</v>
      </c>
      <c r="D77" t="s">
        <v>477</v>
      </c>
      <c r="E77">
        <v>-118750</v>
      </c>
      <c r="F77">
        <v>-1513.1125</v>
      </c>
      <c r="G77">
        <f>F77/$F$145</f>
        <v>-4.8960825364343487E-3</v>
      </c>
    </row>
    <row r="78" spans="1:7" x14ac:dyDescent="0.35">
      <c r="A78">
        <v>3</v>
      </c>
      <c r="C78" t="s">
        <v>766</v>
      </c>
      <c r="D78" t="s">
        <v>477</v>
      </c>
      <c r="E78">
        <v>-41475</v>
      </c>
      <c r="F78">
        <v>-1703.5856249999999</v>
      </c>
      <c r="G78">
        <f>F78/$F$145</f>
        <v>-5.5124095715838022E-3</v>
      </c>
    </row>
    <row r="79" spans="1:7" x14ac:dyDescent="0.35">
      <c r="A79">
        <v>4</v>
      </c>
      <c r="C79" t="s">
        <v>760</v>
      </c>
      <c r="D79" t="s">
        <v>477</v>
      </c>
      <c r="E79">
        <v>-85025</v>
      </c>
      <c r="F79">
        <v>-1801.5947249999999</v>
      </c>
      <c r="G79">
        <f>F79/$F$145</f>
        <v>-5.829544380080624E-3</v>
      </c>
    </row>
    <row r="80" spans="1:7" x14ac:dyDescent="0.35">
      <c r="A80">
        <v>5</v>
      </c>
      <c r="C80" t="s">
        <v>749</v>
      </c>
      <c r="D80" t="s">
        <v>477</v>
      </c>
      <c r="E80">
        <v>-98200</v>
      </c>
      <c r="F80">
        <v>-3666.1988000000001</v>
      </c>
      <c r="G80">
        <f>F80/$F$145</f>
        <v>-1.1862972462243599E-2</v>
      </c>
    </row>
    <row r="81" spans="1:8" x14ac:dyDescent="0.35">
      <c r="C81" t="s">
        <v>139</v>
      </c>
      <c r="F81">
        <v>-9247.6991500000004</v>
      </c>
      <c r="G81">
        <v>-2.9923410000000001E-2</v>
      </c>
    </row>
    <row r="83" spans="1:8" x14ac:dyDescent="0.35">
      <c r="C83" t="s">
        <v>150</v>
      </c>
      <c r="F83">
        <f>F61</f>
        <v>201759.27249440001</v>
      </c>
      <c r="G83">
        <f>G61</f>
        <v>0.65284644000000003</v>
      </c>
    </row>
    <row r="85" spans="1:8" x14ac:dyDescent="0.35">
      <c r="C85" t="s">
        <v>151</v>
      </c>
    </row>
    <row r="86" spans="1:8" x14ac:dyDescent="0.35">
      <c r="C86" t="s">
        <v>13</v>
      </c>
    </row>
    <row r="87" spans="1:8" x14ac:dyDescent="0.35">
      <c r="C87" t="s">
        <v>139</v>
      </c>
      <c r="F87" t="s">
        <v>141</v>
      </c>
      <c r="G87">
        <v>0</v>
      </c>
    </row>
    <row r="89" spans="1:8" x14ac:dyDescent="0.35">
      <c r="C89" t="s">
        <v>152</v>
      </c>
    </row>
    <row r="90" spans="1:8" x14ac:dyDescent="0.35">
      <c r="C90" t="s">
        <v>139</v>
      </c>
      <c r="F90" t="s">
        <v>141</v>
      </c>
      <c r="G90">
        <v>0</v>
      </c>
    </row>
    <row r="92" spans="1:8" x14ac:dyDescent="0.35">
      <c r="C92" t="s">
        <v>153</v>
      </c>
    </row>
    <row r="93" spans="1:8" x14ac:dyDescent="0.35">
      <c r="A93">
        <v>1</v>
      </c>
      <c r="B93" t="s">
        <v>776</v>
      </c>
      <c r="C93" t="s">
        <v>777</v>
      </c>
      <c r="D93" t="s">
        <v>620</v>
      </c>
      <c r="E93">
        <v>10500000</v>
      </c>
      <c r="F93">
        <v>10749.4485</v>
      </c>
      <c r="G93">
        <v>3.4782729999999998E-2</v>
      </c>
      <c r="H93">
        <v>5.7504999999999997</v>
      </c>
    </row>
    <row r="94" spans="1:8" x14ac:dyDescent="0.35">
      <c r="A94">
        <v>2</v>
      </c>
      <c r="B94" t="s">
        <v>871</v>
      </c>
      <c r="C94" t="s">
        <v>1001</v>
      </c>
      <c r="D94" t="s">
        <v>620</v>
      </c>
      <c r="E94">
        <v>5000000</v>
      </c>
      <c r="F94">
        <v>5152.68</v>
      </c>
      <c r="G94">
        <v>1.6672880000000001E-2</v>
      </c>
      <c r="H94">
        <v>6.1279000000000003</v>
      </c>
    </row>
    <row r="95" spans="1:8" x14ac:dyDescent="0.35">
      <c r="A95">
        <v>3</v>
      </c>
      <c r="B95" t="s">
        <v>618</v>
      </c>
      <c r="C95" t="s">
        <v>1002</v>
      </c>
      <c r="D95" t="s">
        <v>620</v>
      </c>
      <c r="E95">
        <v>4500000</v>
      </c>
      <c r="F95">
        <v>4628.7719999999999</v>
      </c>
      <c r="G95">
        <v>1.497764E-2</v>
      </c>
      <c r="H95">
        <v>6.7526999999999999</v>
      </c>
    </row>
    <row r="96" spans="1:8" x14ac:dyDescent="0.35">
      <c r="A96">
        <v>4</v>
      </c>
      <c r="B96" t="s">
        <v>1003</v>
      </c>
      <c r="C96" t="s">
        <v>1004</v>
      </c>
      <c r="D96" t="s">
        <v>620</v>
      </c>
      <c r="E96">
        <v>3500000</v>
      </c>
      <c r="F96">
        <v>3457.5345000000002</v>
      </c>
      <c r="G96">
        <v>1.118778E-2</v>
      </c>
      <c r="H96">
        <v>6.4192999999999998</v>
      </c>
    </row>
    <row r="97" spans="1:8" x14ac:dyDescent="0.35">
      <c r="A97">
        <v>5</v>
      </c>
      <c r="B97" t="s">
        <v>801</v>
      </c>
      <c r="C97" t="s">
        <v>802</v>
      </c>
      <c r="D97" t="s">
        <v>620</v>
      </c>
      <c r="E97">
        <v>3000000</v>
      </c>
      <c r="F97">
        <v>3115.4189999999999</v>
      </c>
      <c r="G97">
        <v>1.0080779999999999E-2</v>
      </c>
      <c r="H97">
        <v>6.4870000000000001</v>
      </c>
    </row>
    <row r="98" spans="1:8" x14ac:dyDescent="0.35">
      <c r="A98">
        <v>6</v>
      </c>
      <c r="B98" t="s">
        <v>1005</v>
      </c>
      <c r="C98" t="s">
        <v>1006</v>
      </c>
      <c r="D98" t="s">
        <v>620</v>
      </c>
      <c r="E98">
        <v>3000000</v>
      </c>
      <c r="F98">
        <v>3059.4</v>
      </c>
      <c r="G98">
        <v>9.8995100000000003E-3</v>
      </c>
      <c r="H98">
        <v>6.2758000000000003</v>
      </c>
    </row>
    <row r="99" spans="1:8" x14ac:dyDescent="0.35">
      <c r="A99">
        <v>7</v>
      </c>
      <c r="B99" t="s">
        <v>869</v>
      </c>
      <c r="C99" t="s">
        <v>1007</v>
      </c>
      <c r="D99" t="s">
        <v>620</v>
      </c>
      <c r="E99">
        <v>500000</v>
      </c>
      <c r="F99">
        <v>519.87350000000004</v>
      </c>
      <c r="G99">
        <v>1.6821900000000001E-3</v>
      </c>
      <c r="H99">
        <v>5.8967000000000001</v>
      </c>
    </row>
    <row r="100" spans="1:8" x14ac:dyDescent="0.35">
      <c r="C100" t="s">
        <v>139</v>
      </c>
      <c r="F100">
        <v>30683.127499999999</v>
      </c>
      <c r="G100">
        <v>9.9283510000000005E-2</v>
      </c>
    </row>
    <row r="102" spans="1:8" x14ac:dyDescent="0.35">
      <c r="C102" t="s">
        <v>154</v>
      </c>
    </row>
    <row r="103" spans="1:8" x14ac:dyDescent="0.35">
      <c r="C103" t="s">
        <v>139</v>
      </c>
      <c r="F103" t="s">
        <v>141</v>
      </c>
      <c r="G103">
        <v>0</v>
      </c>
    </row>
    <row r="105" spans="1:8" x14ac:dyDescent="0.35">
      <c r="C105" t="s">
        <v>341</v>
      </c>
    </row>
    <row r="106" spans="1:8" x14ac:dyDescent="0.35">
      <c r="A106">
        <v>1</v>
      </c>
      <c r="B106" t="s">
        <v>342</v>
      </c>
      <c r="C106" t="s">
        <v>343</v>
      </c>
      <c r="D106" t="s">
        <v>252</v>
      </c>
      <c r="E106">
        <v>92400</v>
      </c>
      <c r="F106">
        <v>9.4118639999999996</v>
      </c>
      <c r="G106" t="s">
        <v>146</v>
      </c>
      <c r="H106">
        <v>6.1050000000000004</v>
      </c>
    </row>
    <row r="107" spans="1:8" x14ac:dyDescent="0.35">
      <c r="C107" t="s">
        <v>139</v>
      </c>
      <c r="F107">
        <f>F106</f>
        <v>9.4118639999999996</v>
      </c>
      <c r="G107">
        <v>0</v>
      </c>
    </row>
    <row r="109" spans="1:8" x14ac:dyDescent="0.35">
      <c r="C109" t="s">
        <v>155</v>
      </c>
      <c r="F109">
        <f>F107+F100</f>
        <v>30692.539364</v>
      </c>
      <c r="G109">
        <f>G107+G100</f>
        <v>9.9283510000000005E-2</v>
      </c>
    </row>
    <row r="111" spans="1:8" x14ac:dyDescent="0.35">
      <c r="C111" t="s">
        <v>156</v>
      </c>
    </row>
    <row r="112" spans="1:8" x14ac:dyDescent="0.35">
      <c r="C112" t="s">
        <v>157</v>
      </c>
    </row>
    <row r="113" spans="1:8" x14ac:dyDescent="0.35">
      <c r="C113" t="s">
        <v>139</v>
      </c>
      <c r="F113" t="s">
        <v>141</v>
      </c>
      <c r="G113">
        <v>0</v>
      </c>
    </row>
    <row r="115" spans="1:8" x14ac:dyDescent="0.35">
      <c r="C115" t="s">
        <v>158</v>
      </c>
    </row>
    <row r="116" spans="1:8" x14ac:dyDescent="0.35">
      <c r="C116" t="s">
        <v>139</v>
      </c>
      <c r="F116" t="s">
        <v>141</v>
      </c>
      <c r="G116">
        <v>0</v>
      </c>
    </row>
    <row r="118" spans="1:8" x14ac:dyDescent="0.35">
      <c r="C118" t="s">
        <v>159</v>
      </c>
    </row>
    <row r="119" spans="1:8" x14ac:dyDescent="0.35">
      <c r="C119" t="s">
        <v>139</v>
      </c>
      <c r="F119" t="s">
        <v>141</v>
      </c>
      <c r="G119">
        <v>0</v>
      </c>
    </row>
    <row r="121" spans="1:8" x14ac:dyDescent="0.35">
      <c r="C121" t="s">
        <v>160</v>
      </c>
    </row>
    <row r="122" spans="1:8" x14ac:dyDescent="0.35">
      <c r="A122">
        <v>1</v>
      </c>
      <c r="C122" t="s">
        <v>161</v>
      </c>
      <c r="F122">
        <v>5483.4086420029998</v>
      </c>
      <c r="G122">
        <v>1.7743040000000002E-2</v>
      </c>
      <c r="H122">
        <v>5.42</v>
      </c>
    </row>
    <row r="123" spans="1:8" x14ac:dyDescent="0.35">
      <c r="C123" t="s">
        <v>139</v>
      </c>
      <c r="F123">
        <v>5483.4086420029998</v>
      </c>
      <c r="G123">
        <v>1.7743040000000002E-2</v>
      </c>
    </row>
    <row r="125" spans="1:8" x14ac:dyDescent="0.35">
      <c r="C125" t="s">
        <v>162</v>
      </c>
      <c r="F125">
        <v>5483.4086420029998</v>
      </c>
      <c r="G125">
        <v>1.7743040000000002E-2</v>
      </c>
    </row>
    <row r="127" spans="1:8" x14ac:dyDescent="0.35">
      <c r="C127" t="s">
        <v>163</v>
      </c>
    </row>
    <row r="128" spans="1:8" x14ac:dyDescent="0.35">
      <c r="C128" t="s">
        <v>164</v>
      </c>
    </row>
    <row r="129" spans="1:7" x14ac:dyDescent="0.35">
      <c r="A129">
        <v>1</v>
      </c>
      <c r="B129" t="s">
        <v>1008</v>
      </c>
      <c r="C129" t="s">
        <v>1009</v>
      </c>
      <c r="E129">
        <v>19705094</v>
      </c>
      <c r="F129">
        <v>22381.0457652</v>
      </c>
      <c r="G129">
        <v>7.2419890000000001E-2</v>
      </c>
    </row>
    <row r="130" spans="1:7" x14ac:dyDescent="0.35">
      <c r="A130">
        <v>2</v>
      </c>
      <c r="B130" t="s">
        <v>1010</v>
      </c>
      <c r="C130" t="s">
        <v>1011</v>
      </c>
      <c r="E130">
        <v>15998588</v>
      </c>
      <c r="F130">
        <v>17616.0452468</v>
      </c>
      <c r="G130">
        <v>5.7001450000000002E-2</v>
      </c>
    </row>
    <row r="131" spans="1:7" x14ac:dyDescent="0.35">
      <c r="A131">
        <v>3</v>
      </c>
      <c r="B131" t="s">
        <v>1012</v>
      </c>
      <c r="C131" t="s">
        <v>1013</v>
      </c>
      <c r="E131">
        <v>13123120</v>
      </c>
      <c r="F131">
        <v>14524.669216</v>
      </c>
      <c r="G131">
        <v>4.6998480000000002E-2</v>
      </c>
    </row>
    <row r="132" spans="1:7" x14ac:dyDescent="0.35">
      <c r="A132">
        <v>4</v>
      </c>
      <c r="B132" t="s">
        <v>1014</v>
      </c>
      <c r="C132" t="s">
        <v>1015</v>
      </c>
      <c r="E132">
        <v>10472712</v>
      </c>
      <c r="F132">
        <v>11908.5208152</v>
      </c>
      <c r="G132">
        <v>3.853322E-2</v>
      </c>
    </row>
    <row r="133" spans="1:7" x14ac:dyDescent="0.35">
      <c r="A133">
        <v>5</v>
      </c>
      <c r="B133" t="s">
        <v>1016</v>
      </c>
      <c r="C133" t="s">
        <v>1017</v>
      </c>
      <c r="E133">
        <v>4448000</v>
      </c>
      <c r="F133">
        <v>5805.9744000000001</v>
      </c>
      <c r="G133">
        <v>1.8786790000000001E-2</v>
      </c>
    </row>
    <row r="134" spans="1:7" x14ac:dyDescent="0.35">
      <c r="C134" t="s">
        <v>139</v>
      </c>
      <c r="F134">
        <v>72236.255443200003</v>
      </c>
      <c r="G134">
        <v>0.23373983000000001</v>
      </c>
    </row>
    <row r="136" spans="1:7" x14ac:dyDescent="0.35">
      <c r="C136" t="s">
        <v>165</v>
      </c>
    </row>
    <row r="137" spans="1:7" x14ac:dyDescent="0.35">
      <c r="C137" t="s">
        <v>166</v>
      </c>
    </row>
    <row r="138" spans="1:7" x14ac:dyDescent="0.35">
      <c r="C138" t="s">
        <v>139</v>
      </c>
      <c r="F138" t="s">
        <v>141</v>
      </c>
      <c r="G138">
        <v>0</v>
      </c>
    </row>
    <row r="140" spans="1:7" x14ac:dyDescent="0.35">
      <c r="C140" t="s">
        <v>167</v>
      </c>
    </row>
    <row r="141" spans="1:7" x14ac:dyDescent="0.35">
      <c r="C141" t="s">
        <v>139</v>
      </c>
      <c r="F141" t="s">
        <v>141</v>
      </c>
      <c r="G141">
        <v>0</v>
      </c>
    </row>
    <row r="143" spans="1:7" x14ac:dyDescent="0.35">
      <c r="C143" t="s">
        <v>480</v>
      </c>
      <c r="F143">
        <v>-27.281904399999998</v>
      </c>
      <c r="G143">
        <v>-8.8280000000000002E-5</v>
      </c>
    </row>
    <row r="144" spans="1:7" x14ac:dyDescent="0.35">
      <c r="C144" t="s">
        <v>655</v>
      </c>
      <c r="F144">
        <f>8149.050961+F81</f>
        <v>-1098.6481890000005</v>
      </c>
      <c r="G144">
        <f>F144/F145</f>
        <v>-3.5549717630699151E-3</v>
      </c>
    </row>
    <row r="145" spans="2:7" x14ac:dyDescent="0.35">
      <c r="C145" t="s">
        <v>169</v>
      </c>
      <c r="F145">
        <v>309045.54585020302</v>
      </c>
      <c r="G145">
        <v>1.00000004</v>
      </c>
    </row>
    <row r="147" spans="2:7" x14ac:dyDescent="0.35">
      <c r="B147" t="s">
        <v>170</v>
      </c>
    </row>
    <row r="148" spans="2:7" x14ac:dyDescent="0.35">
      <c r="B148" t="s">
        <v>171</v>
      </c>
    </row>
    <row r="149" spans="2:7" x14ac:dyDescent="0.35">
      <c r="B149" t="s">
        <v>172</v>
      </c>
    </row>
    <row r="150" spans="2:7" x14ac:dyDescent="0.35">
      <c r="B150" t="s">
        <v>173</v>
      </c>
    </row>
    <row r="151" spans="2:7" x14ac:dyDescent="0.35">
      <c r="B151" t="s">
        <v>174</v>
      </c>
    </row>
    <row r="153" spans="2:7" x14ac:dyDescent="0.35">
      <c r="B153" t="s">
        <v>175</v>
      </c>
    </row>
    <row r="154" spans="2:7" x14ac:dyDescent="0.35">
      <c r="B154" t="s">
        <v>176</v>
      </c>
      <c r="D154" t="s">
        <v>177</v>
      </c>
    </row>
    <row r="155" spans="2:7" x14ac:dyDescent="0.35">
      <c r="B155" t="s">
        <v>178</v>
      </c>
      <c r="D155" t="s">
        <v>177</v>
      </c>
    </row>
    <row r="156" spans="2:7" x14ac:dyDescent="0.35">
      <c r="B156" t="s">
        <v>179</v>
      </c>
    </row>
    <row r="157" spans="2:7" x14ac:dyDescent="0.35">
      <c r="C157" t="s">
        <v>180</v>
      </c>
      <c r="D157" t="s">
        <v>181</v>
      </c>
    </row>
    <row r="158" spans="2:7" x14ac:dyDescent="0.35">
      <c r="B158" t="s">
        <v>182</v>
      </c>
      <c r="C158" s="1">
        <v>45991</v>
      </c>
      <c r="D158" s="1">
        <v>46022</v>
      </c>
    </row>
    <row r="159" spans="2:7" x14ac:dyDescent="0.35">
      <c r="B159" t="s">
        <v>183</v>
      </c>
      <c r="C159">
        <v>13.645</v>
      </c>
      <c r="D159">
        <v>13.6884</v>
      </c>
    </row>
    <row r="160" spans="2:7" x14ac:dyDescent="0.35">
      <c r="B160" t="s">
        <v>184</v>
      </c>
      <c r="C160">
        <v>13.645</v>
      </c>
      <c r="D160">
        <v>13.6884</v>
      </c>
    </row>
    <row r="161" spans="2:4" x14ac:dyDescent="0.35">
      <c r="B161" t="s">
        <v>185</v>
      </c>
      <c r="C161">
        <v>13.258100000000001</v>
      </c>
      <c r="D161">
        <v>13.283799999999999</v>
      </c>
    </row>
    <row r="162" spans="2:4" x14ac:dyDescent="0.35">
      <c r="B162" t="s">
        <v>186</v>
      </c>
      <c r="C162">
        <v>13.258100000000001</v>
      </c>
      <c r="D162">
        <v>13.283799999999999</v>
      </c>
    </row>
    <row r="164" spans="2:4" x14ac:dyDescent="0.35">
      <c r="B164" t="s">
        <v>187</v>
      </c>
      <c r="D164" t="s">
        <v>177</v>
      </c>
    </row>
    <row r="166" spans="2:4" x14ac:dyDescent="0.35">
      <c r="B166" t="s">
        <v>188</v>
      </c>
      <c r="D166" t="s">
        <v>481</v>
      </c>
    </row>
    <row r="167" spans="2:4" x14ac:dyDescent="0.35">
      <c r="B167" t="s">
        <v>189</v>
      </c>
      <c r="D167" t="s">
        <v>177</v>
      </c>
    </row>
    <row r="168" spans="2:4" x14ac:dyDescent="0.35">
      <c r="B168" t="s">
        <v>190</v>
      </c>
      <c r="D168" t="s">
        <v>177</v>
      </c>
    </row>
    <row r="169" spans="2:4" x14ac:dyDescent="0.35">
      <c r="B169" t="s">
        <v>191</v>
      </c>
      <c r="D169">
        <v>1.4528672489073</v>
      </c>
    </row>
    <row r="171" spans="2:4" x14ac:dyDescent="0.35">
      <c r="B171" t="s">
        <v>691</v>
      </c>
    </row>
    <row r="172" spans="2:4" x14ac:dyDescent="0.35">
      <c r="B172" t="s">
        <v>692</v>
      </c>
      <c r="D172" t="s">
        <v>999</v>
      </c>
    </row>
    <row r="173" spans="2:4" x14ac:dyDescent="0.35">
      <c r="B173" t="s">
        <v>693</v>
      </c>
    </row>
    <row r="175" spans="2:4" x14ac:dyDescent="0.35">
      <c r="B175" t="s">
        <v>694</v>
      </c>
      <c r="D175">
        <v>6.0890148827478114</v>
      </c>
    </row>
    <row r="177" spans="2:4" x14ac:dyDescent="0.35">
      <c r="B177" t="s">
        <v>695</v>
      </c>
      <c r="D177">
        <v>2.8632086412704201</v>
      </c>
    </row>
    <row r="178" spans="2:4" x14ac:dyDescent="0.35">
      <c r="B178" t="s">
        <v>696</v>
      </c>
      <c r="D178">
        <v>3.3560555905248108</v>
      </c>
    </row>
    <row r="180" spans="2:4" x14ac:dyDescent="0.35">
      <c r="B180" t="s">
        <v>697</v>
      </c>
      <c r="D180" t="s">
        <v>698</v>
      </c>
    </row>
    <row r="181" spans="2:4" x14ac:dyDescent="0.35">
      <c r="B181" t="s">
        <v>699</v>
      </c>
    </row>
    <row r="183" spans="2:4" x14ac:dyDescent="0.35">
      <c r="B183" t="s">
        <v>192</v>
      </c>
    </row>
    <row r="188" spans="2:4" x14ac:dyDescent="0.35">
      <c r="B188" t="s">
        <v>193</v>
      </c>
    </row>
    <row r="189" spans="2:4" x14ac:dyDescent="0.35">
      <c r="B189" t="s">
        <v>1018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57"/>
  <sheetViews>
    <sheetView workbookViewId="0"/>
  </sheetViews>
  <sheetFormatPr defaultRowHeight="14.5" x14ac:dyDescent="0.35"/>
  <sheetData>
    <row r="1" spans="1:9" x14ac:dyDescent="0.35">
      <c r="A1" t="s">
        <v>0</v>
      </c>
      <c r="I1" t="s">
        <v>1</v>
      </c>
    </row>
    <row r="2" spans="1:9" x14ac:dyDescent="0.35">
      <c r="A2" t="s">
        <v>1019</v>
      </c>
    </row>
    <row r="3" spans="1:9" x14ac:dyDescent="0.35">
      <c r="A3" t="s">
        <v>3</v>
      </c>
    </row>
    <row r="4" spans="1:9" x14ac:dyDescent="0.35">
      <c r="A4" t="s">
        <v>4</v>
      </c>
      <c r="B4" t="s">
        <v>5</v>
      </c>
      <c r="C4" t="s">
        <v>6</v>
      </c>
      <c r="D4" t="s">
        <v>7</v>
      </c>
      <c r="E4" t="s">
        <v>8</v>
      </c>
      <c r="F4" t="s">
        <v>9</v>
      </c>
      <c r="G4" t="s">
        <v>10</v>
      </c>
      <c r="H4" t="s">
        <v>702</v>
      </c>
    </row>
    <row r="5" spans="1:9" x14ac:dyDescent="0.35">
      <c r="C5" t="s">
        <v>12</v>
      </c>
    </row>
    <row r="6" spans="1:9" x14ac:dyDescent="0.35">
      <c r="C6" t="s">
        <v>13</v>
      </c>
    </row>
    <row r="7" spans="1:9" x14ac:dyDescent="0.35">
      <c r="A7">
        <v>1</v>
      </c>
      <c r="B7" t="s">
        <v>350</v>
      </c>
      <c r="C7" t="s">
        <v>351</v>
      </c>
      <c r="D7" t="s">
        <v>38</v>
      </c>
      <c r="E7">
        <v>6650</v>
      </c>
      <c r="F7">
        <v>65.9148</v>
      </c>
      <c r="G7">
        <v>3.3090840000000003E-2</v>
      </c>
    </row>
    <row r="8" spans="1:9" x14ac:dyDescent="0.35">
      <c r="A8">
        <v>2</v>
      </c>
      <c r="B8" t="s">
        <v>20</v>
      </c>
      <c r="C8" t="s">
        <v>21</v>
      </c>
      <c r="D8" t="s">
        <v>22</v>
      </c>
      <c r="E8">
        <v>3300</v>
      </c>
      <c r="F8">
        <v>51.8232</v>
      </c>
      <c r="G8">
        <v>2.6016520000000001E-2</v>
      </c>
    </row>
    <row r="9" spans="1:9" x14ac:dyDescent="0.35">
      <c r="A9">
        <v>3</v>
      </c>
      <c r="B9" t="s">
        <v>14</v>
      </c>
      <c r="C9" t="s">
        <v>15</v>
      </c>
      <c r="D9" t="s">
        <v>16</v>
      </c>
      <c r="E9">
        <v>2400</v>
      </c>
      <c r="F9">
        <v>50.534399999999998</v>
      </c>
      <c r="G9">
        <v>2.5369510000000001E-2</v>
      </c>
    </row>
    <row r="10" spans="1:9" x14ac:dyDescent="0.35">
      <c r="A10">
        <v>4</v>
      </c>
      <c r="B10" t="s">
        <v>39</v>
      </c>
      <c r="C10" t="s">
        <v>40</v>
      </c>
      <c r="D10" t="s">
        <v>38</v>
      </c>
      <c r="E10">
        <v>2500</v>
      </c>
      <c r="F10">
        <v>33.572499999999998</v>
      </c>
      <c r="G10">
        <v>1.685422E-2</v>
      </c>
    </row>
    <row r="11" spans="1:9" x14ac:dyDescent="0.35">
      <c r="A11">
        <v>5</v>
      </c>
      <c r="B11" t="s">
        <v>354</v>
      </c>
      <c r="C11" t="s">
        <v>355</v>
      </c>
      <c r="D11" t="s">
        <v>230</v>
      </c>
      <c r="E11">
        <v>1707</v>
      </c>
      <c r="F11">
        <v>27.574878000000002</v>
      </c>
      <c r="G11">
        <v>1.384326E-2</v>
      </c>
    </row>
    <row r="12" spans="1:9" x14ac:dyDescent="0.35">
      <c r="A12">
        <v>6</v>
      </c>
      <c r="B12" t="s">
        <v>36</v>
      </c>
      <c r="C12" t="s">
        <v>37</v>
      </c>
      <c r="D12" t="s">
        <v>38</v>
      </c>
      <c r="E12">
        <v>2600</v>
      </c>
      <c r="F12">
        <v>25.537199999999999</v>
      </c>
      <c r="G12">
        <v>1.28203E-2</v>
      </c>
    </row>
    <row r="13" spans="1:9" x14ac:dyDescent="0.35">
      <c r="A13">
        <v>7</v>
      </c>
      <c r="B13" t="s">
        <v>487</v>
      </c>
      <c r="C13" t="s">
        <v>488</v>
      </c>
      <c r="D13" t="s">
        <v>230</v>
      </c>
      <c r="E13">
        <v>1400</v>
      </c>
      <c r="F13">
        <v>22.726199999999999</v>
      </c>
      <c r="G13">
        <v>1.140911E-2</v>
      </c>
    </row>
    <row r="14" spans="1:9" x14ac:dyDescent="0.35">
      <c r="A14">
        <v>8</v>
      </c>
      <c r="B14" t="s">
        <v>32</v>
      </c>
      <c r="C14" t="s">
        <v>33</v>
      </c>
      <c r="D14" t="s">
        <v>22</v>
      </c>
      <c r="E14">
        <v>4000</v>
      </c>
      <c r="F14">
        <v>15.36</v>
      </c>
      <c r="G14">
        <v>7.7111000000000002E-3</v>
      </c>
    </row>
    <row r="15" spans="1:9" x14ac:dyDescent="0.35">
      <c r="A15">
        <v>9</v>
      </c>
      <c r="B15" t="s">
        <v>352</v>
      </c>
      <c r="C15" t="s">
        <v>353</v>
      </c>
      <c r="D15" t="s">
        <v>38</v>
      </c>
      <c r="E15">
        <v>1200</v>
      </c>
      <c r="F15">
        <v>15.232799999999999</v>
      </c>
      <c r="G15">
        <v>7.6472399999999996E-3</v>
      </c>
    </row>
    <row r="16" spans="1:9" x14ac:dyDescent="0.35">
      <c r="A16">
        <v>10</v>
      </c>
      <c r="B16" t="s">
        <v>502</v>
      </c>
      <c r="C16" t="s">
        <v>503</v>
      </c>
      <c r="D16" t="s">
        <v>252</v>
      </c>
      <c r="E16">
        <v>160</v>
      </c>
      <c r="F16">
        <v>14.9488</v>
      </c>
      <c r="G16">
        <v>7.5046599999999998E-3</v>
      </c>
    </row>
    <row r="17" spans="1:7" x14ac:dyDescent="0.35">
      <c r="A17">
        <v>11</v>
      </c>
      <c r="B17" t="s">
        <v>356</v>
      </c>
      <c r="C17" t="s">
        <v>357</v>
      </c>
      <c r="D17" t="s">
        <v>38</v>
      </c>
      <c r="E17">
        <v>675</v>
      </c>
      <c r="F17">
        <v>14.857424999999999</v>
      </c>
      <c r="G17">
        <v>7.4587899999999999E-3</v>
      </c>
    </row>
    <row r="18" spans="1:7" x14ac:dyDescent="0.35">
      <c r="A18">
        <v>12</v>
      </c>
      <c r="B18" t="s">
        <v>26</v>
      </c>
      <c r="C18" t="s">
        <v>27</v>
      </c>
      <c r="D18" t="s">
        <v>28</v>
      </c>
      <c r="E18">
        <v>125</v>
      </c>
      <c r="F18">
        <v>14.73</v>
      </c>
      <c r="G18">
        <v>7.3948199999999999E-3</v>
      </c>
    </row>
    <row r="19" spans="1:7" x14ac:dyDescent="0.35">
      <c r="A19">
        <v>13</v>
      </c>
      <c r="B19" t="s">
        <v>266</v>
      </c>
      <c r="C19" t="s">
        <v>267</v>
      </c>
      <c r="D19" t="s">
        <v>243</v>
      </c>
      <c r="E19">
        <v>250</v>
      </c>
      <c r="F19">
        <v>13.766249999999999</v>
      </c>
      <c r="G19">
        <v>6.9109999999999996E-3</v>
      </c>
    </row>
    <row r="20" spans="1:7" x14ac:dyDescent="0.35">
      <c r="A20">
        <v>14</v>
      </c>
      <c r="B20" t="s">
        <v>358</v>
      </c>
      <c r="C20" t="s">
        <v>359</v>
      </c>
      <c r="D20" t="s">
        <v>252</v>
      </c>
      <c r="E20">
        <v>325</v>
      </c>
      <c r="F20">
        <v>12.0549</v>
      </c>
      <c r="G20">
        <v>6.0518600000000001E-3</v>
      </c>
    </row>
    <row r="21" spans="1:7" x14ac:dyDescent="0.35">
      <c r="A21">
        <v>15</v>
      </c>
      <c r="B21" t="s">
        <v>516</v>
      </c>
      <c r="C21" t="s">
        <v>517</v>
      </c>
      <c r="D21" t="s">
        <v>230</v>
      </c>
      <c r="E21">
        <v>750</v>
      </c>
      <c r="F21">
        <v>11.931749999999999</v>
      </c>
      <c r="G21">
        <v>5.9900300000000004E-3</v>
      </c>
    </row>
    <row r="22" spans="1:7" x14ac:dyDescent="0.35">
      <c r="A22">
        <v>16</v>
      </c>
      <c r="B22" t="s">
        <v>218</v>
      </c>
      <c r="C22" t="s">
        <v>219</v>
      </c>
      <c r="D22" t="s">
        <v>220</v>
      </c>
      <c r="E22">
        <v>1500</v>
      </c>
      <c r="F22">
        <v>11.259</v>
      </c>
      <c r="G22">
        <v>5.6522899999999999E-3</v>
      </c>
    </row>
    <row r="23" spans="1:7" x14ac:dyDescent="0.35">
      <c r="A23">
        <v>17</v>
      </c>
      <c r="B23" t="s">
        <v>238</v>
      </c>
      <c r="C23" t="s">
        <v>239</v>
      </c>
      <c r="D23" t="s">
        <v>240</v>
      </c>
      <c r="E23">
        <v>2000</v>
      </c>
      <c r="F23">
        <v>11.172000000000001</v>
      </c>
      <c r="G23">
        <v>5.6086199999999999E-3</v>
      </c>
    </row>
    <row r="24" spans="1:7" x14ac:dyDescent="0.35">
      <c r="A24">
        <v>18</v>
      </c>
      <c r="B24" t="s">
        <v>364</v>
      </c>
      <c r="C24" t="s">
        <v>365</v>
      </c>
      <c r="D24" t="s">
        <v>31</v>
      </c>
      <c r="E24">
        <v>250</v>
      </c>
      <c r="F24">
        <v>10.97175</v>
      </c>
      <c r="G24">
        <v>5.5080900000000002E-3</v>
      </c>
    </row>
    <row r="25" spans="1:7" x14ac:dyDescent="0.35">
      <c r="A25">
        <v>19</v>
      </c>
      <c r="B25" t="s">
        <v>316</v>
      </c>
      <c r="C25" t="s">
        <v>317</v>
      </c>
      <c r="D25" t="s">
        <v>209</v>
      </c>
      <c r="E25">
        <v>320</v>
      </c>
      <c r="F25">
        <v>10.36224</v>
      </c>
      <c r="G25">
        <v>5.2021000000000003E-3</v>
      </c>
    </row>
    <row r="26" spans="1:7" x14ac:dyDescent="0.35">
      <c r="A26">
        <v>20</v>
      </c>
      <c r="B26" t="s">
        <v>17</v>
      </c>
      <c r="C26" t="s">
        <v>18</v>
      </c>
      <c r="D26" t="s">
        <v>19</v>
      </c>
      <c r="E26">
        <v>250</v>
      </c>
      <c r="F26">
        <v>10.20875</v>
      </c>
      <c r="G26">
        <v>5.12504E-3</v>
      </c>
    </row>
    <row r="27" spans="1:7" x14ac:dyDescent="0.35">
      <c r="C27" t="s">
        <v>139</v>
      </c>
      <c r="F27">
        <v>444.53884299999999</v>
      </c>
      <c r="G27">
        <v>0.22316939999999999</v>
      </c>
    </row>
    <row r="29" spans="1:7" x14ac:dyDescent="0.35">
      <c r="C29" t="s">
        <v>140</v>
      </c>
    </row>
    <row r="30" spans="1:7" x14ac:dyDescent="0.35">
      <c r="C30" t="s">
        <v>139</v>
      </c>
      <c r="F30" t="s">
        <v>141</v>
      </c>
      <c r="G30">
        <v>0</v>
      </c>
    </row>
    <row r="32" spans="1:7" x14ac:dyDescent="0.35">
      <c r="C32" t="s">
        <v>142</v>
      </c>
    </row>
    <row r="33" spans="3:7" x14ac:dyDescent="0.35">
      <c r="C33" t="s">
        <v>139</v>
      </c>
      <c r="F33" t="s">
        <v>141</v>
      </c>
      <c r="G33">
        <v>0</v>
      </c>
    </row>
    <row r="35" spans="3:7" x14ac:dyDescent="0.35">
      <c r="C35" t="s">
        <v>147</v>
      </c>
    </row>
    <row r="36" spans="3:7" x14ac:dyDescent="0.35">
      <c r="C36" t="s">
        <v>139</v>
      </c>
      <c r="F36" t="s">
        <v>141</v>
      </c>
      <c r="G36">
        <v>0</v>
      </c>
    </row>
    <row r="38" spans="3:7" x14ac:dyDescent="0.35">
      <c r="C38" t="s">
        <v>148</v>
      </c>
    </row>
    <row r="39" spans="3:7" x14ac:dyDescent="0.35">
      <c r="C39" t="s">
        <v>139</v>
      </c>
      <c r="F39" t="s">
        <v>141</v>
      </c>
      <c r="G39">
        <v>0</v>
      </c>
    </row>
    <row r="41" spans="3:7" x14ac:dyDescent="0.35">
      <c r="C41" t="s">
        <v>149</v>
      </c>
    </row>
    <row r="42" spans="3:7" x14ac:dyDescent="0.35">
      <c r="C42" t="s">
        <v>139</v>
      </c>
      <c r="F42" t="s">
        <v>141</v>
      </c>
      <c r="G42">
        <v>0</v>
      </c>
    </row>
    <row r="44" spans="3:7" x14ac:dyDescent="0.35">
      <c r="C44" t="s">
        <v>150</v>
      </c>
      <c r="F44">
        <v>444.53884299999999</v>
      </c>
      <c r="G44">
        <v>0.22316939999999999</v>
      </c>
    </row>
    <row r="46" spans="3:7" x14ac:dyDescent="0.35">
      <c r="C46" t="s">
        <v>151</v>
      </c>
    </row>
    <row r="47" spans="3:7" x14ac:dyDescent="0.35">
      <c r="C47" t="s">
        <v>13</v>
      </c>
    </row>
    <row r="48" spans="3:7" x14ac:dyDescent="0.35">
      <c r="C48" t="s">
        <v>139</v>
      </c>
      <c r="F48" t="s">
        <v>141</v>
      </c>
      <c r="G48">
        <v>0</v>
      </c>
    </row>
    <row r="50" spans="1:8" x14ac:dyDescent="0.35">
      <c r="C50" t="s">
        <v>152</v>
      </c>
    </row>
    <row r="51" spans="1:8" x14ac:dyDescent="0.35">
      <c r="C51" t="s">
        <v>139</v>
      </c>
      <c r="F51" t="s">
        <v>141</v>
      </c>
      <c r="G51">
        <v>0</v>
      </c>
    </row>
    <row r="53" spans="1:8" x14ac:dyDescent="0.35">
      <c r="C53" t="s">
        <v>153</v>
      </c>
    </row>
    <row r="54" spans="1:8" x14ac:dyDescent="0.35">
      <c r="A54">
        <v>1</v>
      </c>
      <c r="B54" t="s">
        <v>621</v>
      </c>
      <c r="C54" t="s">
        <v>622</v>
      </c>
      <c r="D54" t="s">
        <v>620</v>
      </c>
      <c r="E54">
        <v>900000</v>
      </c>
      <c r="F54">
        <v>892.22310000000004</v>
      </c>
      <c r="G54">
        <v>0.44791784000000001</v>
      </c>
      <c r="H54">
        <v>6.7084999999999999</v>
      </c>
    </row>
    <row r="55" spans="1:8" x14ac:dyDescent="0.35">
      <c r="A55">
        <v>2</v>
      </c>
      <c r="B55" t="s">
        <v>1020</v>
      </c>
      <c r="C55" t="s">
        <v>1021</v>
      </c>
      <c r="D55" t="s">
        <v>620</v>
      </c>
      <c r="E55">
        <v>500000</v>
      </c>
      <c r="F55">
        <v>498.63600000000002</v>
      </c>
      <c r="G55">
        <v>0.25032747999999999</v>
      </c>
      <c r="H55">
        <v>7.3933</v>
      </c>
    </row>
    <row r="56" spans="1:8" x14ac:dyDescent="0.35">
      <c r="C56" t="s">
        <v>139</v>
      </c>
      <c r="F56">
        <v>1390.8590999999999</v>
      </c>
      <c r="G56">
        <v>0.69824531999999995</v>
      </c>
    </row>
    <row r="58" spans="1:8" x14ac:dyDescent="0.35">
      <c r="C58" t="s">
        <v>154</v>
      </c>
    </row>
    <row r="59" spans="1:8" x14ac:dyDescent="0.35">
      <c r="C59" t="s">
        <v>139</v>
      </c>
      <c r="F59" t="s">
        <v>141</v>
      </c>
      <c r="G59">
        <v>0</v>
      </c>
    </row>
    <row r="61" spans="1:8" x14ac:dyDescent="0.35">
      <c r="C61" t="s">
        <v>155</v>
      </c>
      <c r="F61">
        <v>1390.8590999999999</v>
      </c>
      <c r="G61">
        <v>0.69824531999999995</v>
      </c>
    </row>
    <row r="63" spans="1:8" x14ac:dyDescent="0.35">
      <c r="C63" t="s">
        <v>156</v>
      </c>
    </row>
    <row r="64" spans="1:8" x14ac:dyDescent="0.35">
      <c r="C64" t="s">
        <v>157</v>
      </c>
    </row>
    <row r="65" spans="1:8" x14ac:dyDescent="0.35">
      <c r="C65" t="s">
        <v>139</v>
      </c>
      <c r="F65" t="s">
        <v>141</v>
      </c>
      <c r="G65">
        <v>0</v>
      </c>
    </row>
    <row r="67" spans="1:8" x14ac:dyDescent="0.35">
      <c r="C67" t="s">
        <v>158</v>
      </c>
    </row>
    <row r="68" spans="1:8" x14ac:dyDescent="0.35">
      <c r="C68" t="s">
        <v>139</v>
      </c>
      <c r="F68" t="s">
        <v>141</v>
      </c>
      <c r="G68">
        <v>0</v>
      </c>
    </row>
    <row r="70" spans="1:8" x14ac:dyDescent="0.35">
      <c r="C70" t="s">
        <v>159</v>
      </c>
    </row>
    <row r="71" spans="1:8" x14ac:dyDescent="0.35">
      <c r="C71" t="s">
        <v>139</v>
      </c>
      <c r="F71" t="s">
        <v>141</v>
      </c>
      <c r="G71">
        <v>0</v>
      </c>
    </row>
    <row r="73" spans="1:8" x14ac:dyDescent="0.35">
      <c r="C73" t="s">
        <v>160</v>
      </c>
    </row>
    <row r="74" spans="1:8" x14ac:dyDescent="0.35">
      <c r="A74">
        <v>1</v>
      </c>
      <c r="C74" t="s">
        <v>161</v>
      </c>
      <c r="F74">
        <v>106.87883600000001</v>
      </c>
      <c r="G74">
        <v>5.3655790000000002E-2</v>
      </c>
      <c r="H74">
        <v>5.42</v>
      </c>
    </row>
    <row r="75" spans="1:8" x14ac:dyDescent="0.35">
      <c r="C75" t="s">
        <v>139</v>
      </c>
      <c r="F75">
        <v>106.87883600000001</v>
      </c>
      <c r="G75">
        <v>5.3655790000000002E-2</v>
      </c>
    </row>
    <row r="77" spans="1:8" x14ac:dyDescent="0.35">
      <c r="C77" t="s">
        <v>162</v>
      </c>
      <c r="F77">
        <v>106.87883600000001</v>
      </c>
      <c r="G77">
        <v>5.3655790000000002E-2</v>
      </c>
    </row>
    <row r="79" spans="1:8" x14ac:dyDescent="0.35">
      <c r="C79" t="s">
        <v>163</v>
      </c>
    </row>
    <row r="80" spans="1:8" x14ac:dyDescent="0.35">
      <c r="C80" t="s">
        <v>164</v>
      </c>
    </row>
    <row r="81" spans="1:7" x14ac:dyDescent="0.35">
      <c r="C81" t="s">
        <v>139</v>
      </c>
      <c r="F81" t="s">
        <v>141</v>
      </c>
      <c r="G81">
        <v>0</v>
      </c>
    </row>
    <row r="83" spans="1:7" x14ac:dyDescent="0.35">
      <c r="C83" t="s">
        <v>1022</v>
      </c>
    </row>
    <row r="84" spans="1:7" x14ac:dyDescent="0.35">
      <c r="A84">
        <v>1</v>
      </c>
      <c r="B84" t="s">
        <v>1023</v>
      </c>
      <c r="C84" t="s">
        <v>1024</v>
      </c>
      <c r="E84">
        <v>76.796000000000006</v>
      </c>
      <c r="F84">
        <v>8.8728503350000008</v>
      </c>
      <c r="G84">
        <v>4.4543899999999999E-3</v>
      </c>
    </row>
    <row r="85" spans="1:7" x14ac:dyDescent="0.35">
      <c r="C85" t="s">
        <v>139</v>
      </c>
      <c r="F85">
        <f>SUM(F84)</f>
        <v>8.8728503350000008</v>
      </c>
      <c r="G85">
        <f>SUM(G84)</f>
        <v>4.4543899999999999E-3</v>
      </c>
    </row>
    <row r="87" spans="1:7" x14ac:dyDescent="0.35">
      <c r="C87" t="s">
        <v>165</v>
      </c>
    </row>
    <row r="88" spans="1:7" x14ac:dyDescent="0.35">
      <c r="C88" t="s">
        <v>166</v>
      </c>
    </row>
    <row r="89" spans="1:7" x14ac:dyDescent="0.35">
      <c r="C89" t="s">
        <v>139</v>
      </c>
      <c r="F89" t="s">
        <v>141</v>
      </c>
      <c r="G89">
        <v>0</v>
      </c>
    </row>
    <row r="91" spans="1:7" x14ac:dyDescent="0.35">
      <c r="C91" t="s">
        <v>167</v>
      </c>
    </row>
    <row r="92" spans="1:7" x14ac:dyDescent="0.35">
      <c r="C92" t="s">
        <v>139</v>
      </c>
      <c r="F92" t="s">
        <v>141</v>
      </c>
      <c r="G92">
        <v>0</v>
      </c>
    </row>
    <row r="94" spans="1:7" x14ac:dyDescent="0.35">
      <c r="C94" t="s">
        <v>655</v>
      </c>
      <c r="F94">
        <v>40.785103079999999</v>
      </c>
      <c r="G94">
        <v>2.0475119999999999E-2</v>
      </c>
    </row>
    <row r="95" spans="1:7" x14ac:dyDescent="0.35">
      <c r="C95" t="s">
        <v>169</v>
      </c>
      <c r="F95">
        <v>1991.9347324150001</v>
      </c>
      <c r="G95">
        <v>1.0000000200000001</v>
      </c>
    </row>
    <row r="97" spans="2:4" x14ac:dyDescent="0.35">
      <c r="B97" t="s">
        <v>1025</v>
      </c>
    </row>
    <row r="98" spans="2:4" x14ac:dyDescent="0.35">
      <c r="B98" t="s">
        <v>172</v>
      </c>
    </row>
    <row r="99" spans="2:4" x14ac:dyDescent="0.35">
      <c r="B99" t="s">
        <v>170</v>
      </c>
    </row>
    <row r="101" spans="2:4" x14ac:dyDescent="0.35">
      <c r="B101" t="s">
        <v>175</v>
      </c>
    </row>
    <row r="102" spans="2:4" x14ac:dyDescent="0.35">
      <c r="B102" t="s">
        <v>176</v>
      </c>
      <c r="D102" t="s">
        <v>1026</v>
      </c>
    </row>
    <row r="103" spans="2:4" x14ac:dyDescent="0.35">
      <c r="B103" t="s">
        <v>1027</v>
      </c>
      <c r="D103" t="s">
        <v>177</v>
      </c>
    </row>
    <row r="104" spans="2:4" x14ac:dyDescent="0.35">
      <c r="B104" t="s">
        <v>179</v>
      </c>
    </row>
    <row r="105" spans="2:4" x14ac:dyDescent="0.35">
      <c r="C105" t="s">
        <v>180</v>
      </c>
      <c r="D105" t="s">
        <v>181</v>
      </c>
    </row>
    <row r="106" spans="2:4" x14ac:dyDescent="0.35">
      <c r="B106" t="s">
        <v>182</v>
      </c>
      <c r="C106" s="1">
        <v>45991</v>
      </c>
      <c r="D106" s="1">
        <v>46022</v>
      </c>
    </row>
    <row r="107" spans="2:4" x14ac:dyDescent="0.35">
      <c r="B107" t="s">
        <v>183</v>
      </c>
      <c r="C107">
        <v>33.0398</v>
      </c>
      <c r="D107">
        <v>33.195999999999998</v>
      </c>
    </row>
    <row r="108" spans="2:4" x14ac:dyDescent="0.35">
      <c r="B108" t="s">
        <v>1028</v>
      </c>
      <c r="C108">
        <v>20.758600000000001</v>
      </c>
      <c r="D108">
        <v>20.8567</v>
      </c>
    </row>
    <row r="109" spans="2:4" x14ac:dyDescent="0.35">
      <c r="B109" t="s">
        <v>185</v>
      </c>
      <c r="C109">
        <v>29.853000000000002</v>
      </c>
      <c r="D109">
        <v>29.9739</v>
      </c>
    </row>
    <row r="110" spans="2:4" x14ac:dyDescent="0.35">
      <c r="B110" t="s">
        <v>1029</v>
      </c>
      <c r="C110">
        <v>18.642499999999998</v>
      </c>
      <c r="D110">
        <v>18.7181</v>
      </c>
    </row>
    <row r="112" spans="2:4" x14ac:dyDescent="0.35">
      <c r="B112" t="s">
        <v>187</v>
      </c>
      <c r="D112" t="s">
        <v>177</v>
      </c>
    </row>
    <row r="114" spans="2:4" x14ac:dyDescent="0.35">
      <c r="B114" t="s">
        <v>188</v>
      </c>
      <c r="D114" t="s">
        <v>177</v>
      </c>
    </row>
    <row r="115" spans="2:4" x14ac:dyDescent="0.35">
      <c r="B115" t="s">
        <v>189</v>
      </c>
      <c r="D115" t="s">
        <v>177</v>
      </c>
    </row>
    <row r="116" spans="2:4" x14ac:dyDescent="0.35">
      <c r="B116" t="s">
        <v>190</v>
      </c>
      <c r="D116" t="s">
        <v>177</v>
      </c>
    </row>
    <row r="118" spans="2:4" x14ac:dyDescent="0.35">
      <c r="B118" t="s">
        <v>691</v>
      </c>
    </row>
    <row r="119" spans="2:4" x14ac:dyDescent="0.35">
      <c r="B119" t="s">
        <v>692</v>
      </c>
      <c r="D119" t="s">
        <v>1019</v>
      </c>
    </row>
    <row r="120" spans="2:4" x14ac:dyDescent="0.35">
      <c r="B120" t="s">
        <v>693</v>
      </c>
    </row>
    <row r="122" spans="2:4" x14ac:dyDescent="0.35">
      <c r="B122" t="s">
        <v>1030</v>
      </c>
      <c r="D122">
        <v>6.8387902054327459</v>
      </c>
    </row>
    <row r="124" spans="2:4" x14ac:dyDescent="0.35">
      <c r="B124" t="s">
        <v>1031</v>
      </c>
      <c r="D124">
        <v>8.3472931398353758</v>
      </c>
    </row>
    <row r="125" spans="2:4" x14ac:dyDescent="0.35">
      <c r="B125" t="s">
        <v>1032</v>
      </c>
      <c r="D125">
        <v>15.620595325594561</v>
      </c>
    </row>
    <row r="127" spans="2:4" x14ac:dyDescent="0.35">
      <c r="B127" t="s">
        <v>697</v>
      </c>
      <c r="D127" t="s">
        <v>698</v>
      </c>
    </row>
    <row r="128" spans="2:4" x14ac:dyDescent="0.35">
      <c r="B128" t="s">
        <v>1033</v>
      </c>
    </row>
    <row r="130" spans="2:10" x14ac:dyDescent="0.35">
      <c r="B130" t="s">
        <v>1034</v>
      </c>
    </row>
    <row r="131" spans="2:10" x14ac:dyDescent="0.35">
      <c r="B131" t="s">
        <v>662</v>
      </c>
      <c r="C131" t="s">
        <v>663</v>
      </c>
      <c r="D131" t="s">
        <v>1035</v>
      </c>
      <c r="G131" t="s">
        <v>681</v>
      </c>
    </row>
    <row r="132" spans="2:10" x14ac:dyDescent="0.35">
      <c r="B132" t="s">
        <v>1036</v>
      </c>
      <c r="C132" t="s">
        <v>1037</v>
      </c>
      <c r="D132">
        <v>0</v>
      </c>
      <c r="G132">
        <v>0</v>
      </c>
    </row>
    <row r="134" spans="2:10" x14ac:dyDescent="0.35">
      <c r="B134" t="s">
        <v>1038</v>
      </c>
    </row>
    <row r="135" spans="2:10" x14ac:dyDescent="0.35">
      <c r="B135" t="s">
        <v>662</v>
      </c>
      <c r="C135" t="s">
        <v>663</v>
      </c>
      <c r="D135" t="s">
        <v>685</v>
      </c>
      <c r="H135" t="s">
        <v>1039</v>
      </c>
      <c r="I135" t="s">
        <v>1040</v>
      </c>
      <c r="J135" t="s">
        <v>1041</v>
      </c>
    </row>
    <row r="136" spans="2:10" x14ac:dyDescent="0.35">
      <c r="D136" t="s">
        <v>686</v>
      </c>
      <c r="E136" t="s">
        <v>1042</v>
      </c>
      <c r="F136" t="s">
        <v>1043</v>
      </c>
      <c r="G136" t="s">
        <v>688</v>
      </c>
    </row>
    <row r="137" spans="2:10" x14ac:dyDescent="0.35">
      <c r="B137" t="s">
        <v>1036</v>
      </c>
      <c r="C137" t="s">
        <v>1044</v>
      </c>
      <c r="D137">
        <v>500</v>
      </c>
      <c r="E137">
        <v>9.9405737999999992</v>
      </c>
      <c r="F137">
        <v>16.00737140547945</v>
      </c>
      <c r="G137">
        <v>525.94794520547941</v>
      </c>
      <c r="H137">
        <v>233.40679</v>
      </c>
      <c r="I137">
        <v>4.01</v>
      </c>
      <c r="J137">
        <f>H137+I137</f>
        <v>237.41678999999999</v>
      </c>
    </row>
    <row r="140" spans="2:10" x14ac:dyDescent="0.35">
      <c r="B140" t="s">
        <v>676</v>
      </c>
    </row>
    <row r="142" spans="2:10" x14ac:dyDescent="0.35">
      <c r="B142" t="s">
        <v>1045</v>
      </c>
    </row>
    <row r="144" spans="2:10" x14ac:dyDescent="0.35">
      <c r="B144" t="s">
        <v>1046</v>
      </c>
    </row>
    <row r="146" spans="2:2" x14ac:dyDescent="0.35">
      <c r="B146" t="s">
        <v>1047</v>
      </c>
    </row>
    <row r="148" spans="2:2" x14ac:dyDescent="0.35">
      <c r="B148" t="s">
        <v>678</v>
      </c>
    </row>
    <row r="150" spans="2:2" x14ac:dyDescent="0.35">
      <c r="B150" t="s">
        <v>679</v>
      </c>
    </row>
    <row r="151" spans="2:2" x14ac:dyDescent="0.35">
      <c r="B151" t="s">
        <v>192</v>
      </c>
    </row>
    <row r="156" spans="2:2" x14ac:dyDescent="0.35">
      <c r="B156" t="s">
        <v>193</v>
      </c>
    </row>
    <row r="157" spans="2:2" x14ac:dyDescent="0.35">
      <c r="B157" t="s">
        <v>1048</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74"/>
  <sheetViews>
    <sheetView tabSelected="1" workbookViewId="0"/>
  </sheetViews>
  <sheetFormatPr defaultRowHeight="14.5" x14ac:dyDescent="0.35"/>
  <sheetData>
    <row r="1" spans="1:9" x14ac:dyDescent="0.35">
      <c r="A1" t="s">
        <v>0</v>
      </c>
      <c r="I1" t="s">
        <v>1</v>
      </c>
    </row>
    <row r="2" spans="1:9" x14ac:dyDescent="0.35">
      <c r="A2" t="s">
        <v>1049</v>
      </c>
    </row>
    <row r="3" spans="1:9" x14ac:dyDescent="0.35">
      <c r="A3" t="s">
        <v>3</v>
      </c>
    </row>
    <row r="4" spans="1:9" x14ac:dyDescent="0.35">
      <c r="A4" t="s">
        <v>4</v>
      </c>
      <c r="B4" t="s">
        <v>5</v>
      </c>
      <c r="C4" t="s">
        <v>6</v>
      </c>
      <c r="D4" t="s">
        <v>7</v>
      </c>
      <c r="E4" t="s">
        <v>8</v>
      </c>
      <c r="F4" t="s">
        <v>9</v>
      </c>
      <c r="G4" t="s">
        <v>10</v>
      </c>
      <c r="H4" t="s">
        <v>11</v>
      </c>
    </row>
    <row r="5" spans="1:9" x14ac:dyDescent="0.35">
      <c r="C5" t="s">
        <v>12</v>
      </c>
    </row>
    <row r="6" spans="1:9" x14ac:dyDescent="0.35">
      <c r="C6" t="s">
        <v>13</v>
      </c>
    </row>
    <row r="7" spans="1:9" x14ac:dyDescent="0.35">
      <c r="A7">
        <v>1</v>
      </c>
      <c r="B7" t="s">
        <v>350</v>
      </c>
      <c r="C7" t="s">
        <v>351</v>
      </c>
      <c r="D7" t="s">
        <v>38</v>
      </c>
      <c r="E7">
        <v>659680</v>
      </c>
      <c r="F7">
        <v>6538.7481600000001</v>
      </c>
      <c r="G7">
        <v>6.4387630000000001E-2</v>
      </c>
    </row>
    <row r="8" spans="1:9" x14ac:dyDescent="0.35">
      <c r="A8">
        <v>2</v>
      </c>
      <c r="B8" t="s">
        <v>20</v>
      </c>
      <c r="C8" t="s">
        <v>21</v>
      </c>
      <c r="D8" t="s">
        <v>22</v>
      </c>
      <c r="E8">
        <v>288021</v>
      </c>
      <c r="F8">
        <v>4523.081784</v>
      </c>
      <c r="G8">
        <v>4.4539189999999999E-2</v>
      </c>
    </row>
    <row r="9" spans="1:9" x14ac:dyDescent="0.35">
      <c r="A9">
        <v>3</v>
      </c>
      <c r="B9" t="s">
        <v>39</v>
      </c>
      <c r="C9" t="s">
        <v>40</v>
      </c>
      <c r="D9" t="s">
        <v>38</v>
      </c>
      <c r="E9">
        <v>304486</v>
      </c>
      <c r="F9">
        <v>4088.9424939999999</v>
      </c>
      <c r="G9">
        <v>4.0264179999999997E-2</v>
      </c>
    </row>
    <row r="10" spans="1:9" x14ac:dyDescent="0.35">
      <c r="A10">
        <v>4</v>
      </c>
      <c r="B10" t="s">
        <v>354</v>
      </c>
      <c r="C10" t="s">
        <v>355</v>
      </c>
      <c r="D10" t="s">
        <v>230</v>
      </c>
      <c r="E10">
        <v>206712</v>
      </c>
      <c r="F10">
        <v>3339.2256480000001</v>
      </c>
      <c r="G10">
        <v>3.2881649999999998E-2</v>
      </c>
    </row>
    <row r="11" spans="1:9" x14ac:dyDescent="0.35">
      <c r="A11">
        <v>5</v>
      </c>
      <c r="B11" t="s">
        <v>250</v>
      </c>
      <c r="C11" t="s">
        <v>251</v>
      </c>
      <c r="D11" t="s">
        <v>252</v>
      </c>
      <c r="E11">
        <v>68608</v>
      </c>
      <c r="F11">
        <v>2552.0803839999999</v>
      </c>
      <c r="G11">
        <v>2.513056E-2</v>
      </c>
    </row>
    <row r="12" spans="1:9" x14ac:dyDescent="0.35">
      <c r="A12">
        <v>6</v>
      </c>
      <c r="B12" t="s">
        <v>14</v>
      </c>
      <c r="C12" t="s">
        <v>15</v>
      </c>
      <c r="D12" t="s">
        <v>16</v>
      </c>
      <c r="E12">
        <v>113693</v>
      </c>
      <c r="F12">
        <v>2393.9198080000001</v>
      </c>
      <c r="G12">
        <v>2.3573139999999999E-2</v>
      </c>
    </row>
    <row r="13" spans="1:9" x14ac:dyDescent="0.35">
      <c r="A13">
        <v>7</v>
      </c>
      <c r="B13" t="s">
        <v>248</v>
      </c>
      <c r="C13" t="s">
        <v>249</v>
      </c>
      <c r="D13" t="s">
        <v>53</v>
      </c>
      <c r="E13">
        <v>30589</v>
      </c>
      <c r="F13">
        <v>2330.57591</v>
      </c>
      <c r="G13">
        <v>2.294939E-2</v>
      </c>
    </row>
    <row r="14" spans="1:9" x14ac:dyDescent="0.35">
      <c r="A14">
        <v>8</v>
      </c>
      <c r="B14" t="s">
        <v>1050</v>
      </c>
      <c r="C14" t="s">
        <v>1051</v>
      </c>
      <c r="D14" t="s">
        <v>206</v>
      </c>
      <c r="E14">
        <v>60027</v>
      </c>
      <c r="F14">
        <v>2288.0491590000001</v>
      </c>
      <c r="G14">
        <v>2.2530620000000001E-2</v>
      </c>
    </row>
    <row r="15" spans="1:9" x14ac:dyDescent="0.35">
      <c r="A15">
        <v>9</v>
      </c>
      <c r="B15" t="s">
        <v>226</v>
      </c>
      <c r="C15" t="s">
        <v>227</v>
      </c>
      <c r="D15" t="s">
        <v>114</v>
      </c>
      <c r="E15">
        <v>247615</v>
      </c>
      <c r="F15">
        <v>2188.9166</v>
      </c>
      <c r="G15">
        <v>2.1554460000000001E-2</v>
      </c>
    </row>
    <row r="16" spans="1:9" x14ac:dyDescent="0.35">
      <c r="A16">
        <v>10</v>
      </c>
      <c r="B16" t="s">
        <v>1052</v>
      </c>
      <c r="C16" t="s">
        <v>1053</v>
      </c>
      <c r="D16" t="s">
        <v>710</v>
      </c>
      <c r="E16">
        <v>318497</v>
      </c>
      <c r="F16">
        <v>1950.6348765</v>
      </c>
      <c r="G16">
        <v>1.9208070000000001E-2</v>
      </c>
    </row>
    <row r="17" spans="1:7" x14ac:dyDescent="0.35">
      <c r="A17">
        <v>11</v>
      </c>
      <c r="B17" t="s">
        <v>1054</v>
      </c>
      <c r="C17" t="s">
        <v>1055</v>
      </c>
      <c r="D17" t="s">
        <v>230</v>
      </c>
      <c r="E17">
        <v>633749</v>
      </c>
      <c r="F17">
        <v>1668.5343671999999</v>
      </c>
      <c r="G17">
        <v>1.6430210000000001E-2</v>
      </c>
    </row>
    <row r="18" spans="1:7" x14ac:dyDescent="0.35">
      <c r="A18">
        <v>12</v>
      </c>
      <c r="B18" t="s">
        <v>362</v>
      </c>
      <c r="C18" t="s">
        <v>363</v>
      </c>
      <c r="D18" t="s">
        <v>235</v>
      </c>
      <c r="E18">
        <v>14917</v>
      </c>
      <c r="F18">
        <v>1661.1571200000001</v>
      </c>
      <c r="G18">
        <v>1.635756E-2</v>
      </c>
    </row>
    <row r="19" spans="1:7" x14ac:dyDescent="0.35">
      <c r="A19">
        <v>13</v>
      </c>
      <c r="B19" t="s">
        <v>1056</v>
      </c>
      <c r="C19" t="s">
        <v>1057</v>
      </c>
      <c r="D19" t="s">
        <v>25</v>
      </c>
      <c r="E19">
        <v>643145</v>
      </c>
      <c r="F19">
        <v>1609.277419</v>
      </c>
      <c r="G19">
        <v>1.5846699999999998E-2</v>
      </c>
    </row>
    <row r="20" spans="1:7" x14ac:dyDescent="0.35">
      <c r="A20">
        <v>14</v>
      </c>
      <c r="B20" t="s">
        <v>1058</v>
      </c>
      <c r="C20" t="s">
        <v>1059</v>
      </c>
      <c r="D20" t="s">
        <v>94</v>
      </c>
      <c r="E20">
        <v>563468</v>
      </c>
      <c r="F20">
        <v>1600.812588</v>
      </c>
      <c r="G20">
        <v>1.5763340000000001E-2</v>
      </c>
    </row>
    <row r="21" spans="1:7" x14ac:dyDescent="0.35">
      <c r="A21">
        <v>15</v>
      </c>
      <c r="B21" t="s">
        <v>809</v>
      </c>
      <c r="C21" t="s">
        <v>810</v>
      </c>
      <c r="D21" t="s">
        <v>811</v>
      </c>
      <c r="E21">
        <v>399352</v>
      </c>
      <c r="F21">
        <v>1593.4144799999999</v>
      </c>
      <c r="G21">
        <v>1.5690490000000001E-2</v>
      </c>
    </row>
    <row r="22" spans="1:7" x14ac:dyDescent="0.35">
      <c r="A22">
        <v>16</v>
      </c>
      <c r="B22" t="s">
        <v>1060</v>
      </c>
      <c r="C22" t="s">
        <v>1061</v>
      </c>
      <c r="D22" t="s">
        <v>243</v>
      </c>
      <c r="E22">
        <v>143504</v>
      </c>
      <c r="F22">
        <v>1590.02432</v>
      </c>
      <c r="G22">
        <v>1.5657109999999998E-2</v>
      </c>
    </row>
    <row r="23" spans="1:7" x14ac:dyDescent="0.35">
      <c r="A23">
        <v>17</v>
      </c>
      <c r="B23" t="s">
        <v>1062</v>
      </c>
      <c r="C23" t="s">
        <v>1063</v>
      </c>
      <c r="D23" t="s">
        <v>243</v>
      </c>
      <c r="E23">
        <v>78105</v>
      </c>
      <c r="F23">
        <v>1589.5929599999999</v>
      </c>
      <c r="G23">
        <v>1.5652860000000001E-2</v>
      </c>
    </row>
    <row r="24" spans="1:7" x14ac:dyDescent="0.35">
      <c r="A24">
        <v>18</v>
      </c>
      <c r="B24" t="s">
        <v>68</v>
      </c>
      <c r="C24" t="s">
        <v>69</v>
      </c>
      <c r="D24" t="s">
        <v>16</v>
      </c>
      <c r="E24">
        <v>376673</v>
      </c>
      <c r="F24">
        <v>1577.3181875</v>
      </c>
      <c r="G24">
        <v>1.5531990000000001E-2</v>
      </c>
    </row>
    <row r="25" spans="1:7" x14ac:dyDescent="0.35">
      <c r="A25">
        <v>19</v>
      </c>
      <c r="B25" t="s">
        <v>1064</v>
      </c>
      <c r="C25" t="s">
        <v>1065</v>
      </c>
      <c r="D25" t="s">
        <v>252</v>
      </c>
      <c r="E25">
        <v>21408</v>
      </c>
      <c r="F25">
        <v>1565.46</v>
      </c>
      <c r="G25">
        <v>1.541522E-2</v>
      </c>
    </row>
    <row r="26" spans="1:7" x14ac:dyDescent="0.35">
      <c r="A26">
        <v>20</v>
      </c>
      <c r="B26" t="s">
        <v>61</v>
      </c>
      <c r="C26" t="s">
        <v>62</v>
      </c>
      <c r="D26" t="s">
        <v>53</v>
      </c>
      <c r="E26">
        <v>34823</v>
      </c>
      <c r="F26">
        <v>1553.175446</v>
      </c>
      <c r="G26">
        <v>1.529426E-2</v>
      </c>
    </row>
    <row r="27" spans="1:7" x14ac:dyDescent="0.35">
      <c r="A27">
        <v>21</v>
      </c>
      <c r="B27" t="s">
        <v>1066</v>
      </c>
      <c r="C27" t="s">
        <v>1067</v>
      </c>
      <c r="D27" t="s">
        <v>206</v>
      </c>
      <c r="E27">
        <v>431783</v>
      </c>
      <c r="F27">
        <v>1544.487791</v>
      </c>
      <c r="G27">
        <v>1.520871E-2</v>
      </c>
    </row>
    <row r="28" spans="1:7" x14ac:dyDescent="0.35">
      <c r="A28">
        <v>22</v>
      </c>
      <c r="B28" t="s">
        <v>1068</v>
      </c>
      <c r="C28" t="s">
        <v>1069</v>
      </c>
      <c r="D28" t="s">
        <v>206</v>
      </c>
      <c r="E28">
        <v>487940</v>
      </c>
      <c r="F28">
        <v>1541.64643</v>
      </c>
      <c r="G28">
        <v>1.518073E-2</v>
      </c>
    </row>
    <row r="29" spans="1:7" x14ac:dyDescent="0.35">
      <c r="A29">
        <v>23</v>
      </c>
      <c r="B29" t="s">
        <v>715</v>
      </c>
      <c r="C29" t="s">
        <v>716</v>
      </c>
      <c r="D29" t="s">
        <v>206</v>
      </c>
      <c r="E29">
        <v>428111</v>
      </c>
      <c r="F29">
        <v>1527.5000480000001</v>
      </c>
      <c r="G29">
        <v>1.504143E-2</v>
      </c>
    </row>
    <row r="30" spans="1:7" x14ac:dyDescent="0.35">
      <c r="A30">
        <v>24</v>
      </c>
      <c r="B30" t="s">
        <v>70</v>
      </c>
      <c r="C30" t="s">
        <v>71</v>
      </c>
      <c r="D30" t="s">
        <v>72</v>
      </c>
      <c r="E30">
        <v>624473</v>
      </c>
      <c r="F30">
        <v>1501.1081974000001</v>
      </c>
      <c r="G30">
        <v>1.4781549999999999E-2</v>
      </c>
    </row>
    <row r="31" spans="1:7" x14ac:dyDescent="0.35">
      <c r="A31">
        <v>25</v>
      </c>
      <c r="B31" t="s">
        <v>333</v>
      </c>
      <c r="C31" t="s">
        <v>334</v>
      </c>
      <c r="D31" t="s">
        <v>243</v>
      </c>
      <c r="E31">
        <v>164099</v>
      </c>
      <c r="F31">
        <v>1500.4392065</v>
      </c>
      <c r="G31">
        <v>1.477496E-2</v>
      </c>
    </row>
    <row r="32" spans="1:7" x14ac:dyDescent="0.35">
      <c r="A32">
        <v>26</v>
      </c>
      <c r="B32" t="s">
        <v>717</v>
      </c>
      <c r="C32" t="s">
        <v>718</v>
      </c>
      <c r="D32" t="s">
        <v>72</v>
      </c>
      <c r="E32">
        <v>353382</v>
      </c>
      <c r="F32">
        <v>1499.576517</v>
      </c>
      <c r="G32">
        <v>1.476646E-2</v>
      </c>
    </row>
    <row r="33" spans="1:7" x14ac:dyDescent="0.35">
      <c r="A33">
        <v>27</v>
      </c>
      <c r="B33" t="s">
        <v>57</v>
      </c>
      <c r="C33" t="s">
        <v>58</v>
      </c>
      <c r="D33" t="s">
        <v>53</v>
      </c>
      <c r="E33">
        <v>33445</v>
      </c>
      <c r="F33">
        <v>1483.0850800000001</v>
      </c>
      <c r="G33">
        <v>1.460407E-2</v>
      </c>
    </row>
    <row r="34" spans="1:7" x14ac:dyDescent="0.35">
      <c r="A34">
        <v>28</v>
      </c>
      <c r="B34" t="s">
        <v>322</v>
      </c>
      <c r="C34" t="s">
        <v>323</v>
      </c>
      <c r="D34" t="s">
        <v>324</v>
      </c>
      <c r="E34">
        <v>556233</v>
      </c>
      <c r="F34">
        <v>1474.8517995</v>
      </c>
      <c r="G34">
        <v>1.4522999999999999E-2</v>
      </c>
    </row>
    <row r="35" spans="1:7" x14ac:dyDescent="0.35">
      <c r="A35">
        <v>29</v>
      </c>
      <c r="B35" t="s">
        <v>713</v>
      </c>
      <c r="C35" t="s">
        <v>714</v>
      </c>
      <c r="D35" t="s">
        <v>252</v>
      </c>
      <c r="E35">
        <v>25386</v>
      </c>
      <c r="F35">
        <v>1465.0260599999999</v>
      </c>
      <c r="G35">
        <v>1.442624E-2</v>
      </c>
    </row>
    <row r="36" spans="1:7" x14ac:dyDescent="0.35">
      <c r="A36">
        <v>30</v>
      </c>
      <c r="B36" t="s">
        <v>92</v>
      </c>
      <c r="C36" t="s">
        <v>93</v>
      </c>
      <c r="D36" t="s">
        <v>94</v>
      </c>
      <c r="E36">
        <v>841133</v>
      </c>
      <c r="F36">
        <v>1448.0945727999999</v>
      </c>
      <c r="G36">
        <v>1.4259519999999999E-2</v>
      </c>
    </row>
    <row r="37" spans="1:7" x14ac:dyDescent="0.35">
      <c r="A37">
        <v>31</v>
      </c>
      <c r="B37" t="s">
        <v>46</v>
      </c>
      <c r="C37" t="s">
        <v>47</v>
      </c>
      <c r="D37" t="s">
        <v>48</v>
      </c>
      <c r="E37">
        <v>46189</v>
      </c>
      <c r="F37">
        <v>1446.8704250000001</v>
      </c>
      <c r="G37">
        <v>1.424746E-2</v>
      </c>
    </row>
    <row r="38" spans="1:7" x14ac:dyDescent="0.35">
      <c r="A38">
        <v>32</v>
      </c>
      <c r="B38" t="s">
        <v>1070</v>
      </c>
      <c r="C38" t="s">
        <v>1071</v>
      </c>
      <c r="D38" t="s">
        <v>223</v>
      </c>
      <c r="E38">
        <v>109800</v>
      </c>
      <c r="F38">
        <v>1426.1922</v>
      </c>
      <c r="G38">
        <v>1.404384E-2</v>
      </c>
    </row>
    <row r="39" spans="1:7" x14ac:dyDescent="0.35">
      <c r="A39">
        <v>33</v>
      </c>
      <c r="B39" t="s">
        <v>928</v>
      </c>
      <c r="C39" t="s">
        <v>929</v>
      </c>
      <c r="D39" t="s">
        <v>324</v>
      </c>
      <c r="E39">
        <v>367980</v>
      </c>
      <c r="F39">
        <v>1421.32275</v>
      </c>
      <c r="G39">
        <v>1.399589E-2</v>
      </c>
    </row>
    <row r="40" spans="1:7" x14ac:dyDescent="0.35">
      <c r="A40">
        <v>34</v>
      </c>
      <c r="B40" t="s">
        <v>1072</v>
      </c>
      <c r="C40" t="s">
        <v>1073</v>
      </c>
      <c r="D40" t="s">
        <v>252</v>
      </c>
      <c r="E40">
        <v>60891</v>
      </c>
      <c r="F40">
        <v>1399.2751800000001</v>
      </c>
      <c r="G40">
        <v>1.3778790000000001E-2</v>
      </c>
    </row>
    <row r="41" spans="1:7" x14ac:dyDescent="0.35">
      <c r="A41">
        <v>35</v>
      </c>
      <c r="B41" t="s">
        <v>1074</v>
      </c>
      <c r="C41" t="s">
        <v>1075</v>
      </c>
      <c r="D41" t="s">
        <v>43</v>
      </c>
      <c r="E41">
        <v>53185</v>
      </c>
      <c r="F41">
        <v>1377.4383150000001</v>
      </c>
      <c r="G41">
        <v>1.3563759999999999E-2</v>
      </c>
    </row>
    <row r="42" spans="1:7" x14ac:dyDescent="0.35">
      <c r="A42">
        <v>36</v>
      </c>
      <c r="B42" t="s">
        <v>231</v>
      </c>
      <c r="C42" t="s">
        <v>232</v>
      </c>
      <c r="D42" t="s">
        <v>38</v>
      </c>
      <c r="E42">
        <v>163560</v>
      </c>
      <c r="F42">
        <v>1369.4060999999999</v>
      </c>
      <c r="G42">
        <v>1.3484660000000001E-2</v>
      </c>
    </row>
    <row r="43" spans="1:7" x14ac:dyDescent="0.35">
      <c r="A43">
        <v>37</v>
      </c>
      <c r="B43" t="s">
        <v>374</v>
      </c>
      <c r="C43" t="s">
        <v>375</v>
      </c>
      <c r="D43" t="s">
        <v>324</v>
      </c>
      <c r="E43">
        <v>478222</v>
      </c>
      <c r="F43">
        <v>1329.696271</v>
      </c>
      <c r="G43">
        <v>1.309364E-2</v>
      </c>
    </row>
    <row r="44" spans="1:7" x14ac:dyDescent="0.35">
      <c r="A44">
        <v>38</v>
      </c>
      <c r="B44" t="s">
        <v>268</v>
      </c>
      <c r="C44" t="s">
        <v>269</v>
      </c>
      <c r="D44" t="s">
        <v>235</v>
      </c>
      <c r="E44">
        <v>145123</v>
      </c>
      <c r="F44">
        <v>1241.8900725000001</v>
      </c>
      <c r="G44">
        <v>1.2229E-2</v>
      </c>
    </row>
    <row r="45" spans="1:7" x14ac:dyDescent="0.35">
      <c r="A45">
        <v>39</v>
      </c>
      <c r="B45" t="s">
        <v>516</v>
      </c>
      <c r="C45" t="s">
        <v>517</v>
      </c>
      <c r="D45" t="s">
        <v>230</v>
      </c>
      <c r="E45">
        <v>61691</v>
      </c>
      <c r="F45">
        <v>981.44211900000005</v>
      </c>
      <c r="G45">
        <v>9.6643500000000004E-3</v>
      </c>
    </row>
    <row r="46" spans="1:7" x14ac:dyDescent="0.35">
      <c r="A46">
        <v>40</v>
      </c>
      <c r="B46" t="s">
        <v>1076</v>
      </c>
      <c r="C46" t="s">
        <v>1077</v>
      </c>
      <c r="D46" t="s">
        <v>299</v>
      </c>
      <c r="E46">
        <v>31350</v>
      </c>
      <c r="F46">
        <v>964.01250000000005</v>
      </c>
      <c r="G46">
        <v>9.4927199999999996E-3</v>
      </c>
    </row>
    <row r="47" spans="1:7" x14ac:dyDescent="0.35">
      <c r="A47">
        <v>41</v>
      </c>
      <c r="B47" t="s">
        <v>314</v>
      </c>
      <c r="C47" t="s">
        <v>315</v>
      </c>
      <c r="D47" t="s">
        <v>28</v>
      </c>
      <c r="E47">
        <v>43689</v>
      </c>
      <c r="F47">
        <v>930.96890099999996</v>
      </c>
      <c r="G47">
        <v>9.1673299999999996E-3</v>
      </c>
    </row>
    <row r="48" spans="1:7" x14ac:dyDescent="0.35">
      <c r="A48">
        <v>42</v>
      </c>
      <c r="B48" t="s">
        <v>236</v>
      </c>
      <c r="C48" t="s">
        <v>237</v>
      </c>
      <c r="D48" t="s">
        <v>230</v>
      </c>
      <c r="E48">
        <v>14577</v>
      </c>
      <c r="F48">
        <v>914.26944000000003</v>
      </c>
      <c r="G48">
        <v>9.0028899999999995E-3</v>
      </c>
    </row>
    <row r="49" spans="1:7" x14ac:dyDescent="0.35">
      <c r="A49">
        <v>43</v>
      </c>
      <c r="B49" t="s">
        <v>1078</v>
      </c>
      <c r="C49" t="s">
        <v>1079</v>
      </c>
      <c r="D49" t="s">
        <v>257</v>
      </c>
      <c r="E49">
        <v>27178</v>
      </c>
      <c r="F49">
        <v>896.43915200000004</v>
      </c>
      <c r="G49">
        <v>8.8273199999999996E-3</v>
      </c>
    </row>
    <row r="50" spans="1:7" x14ac:dyDescent="0.35">
      <c r="A50">
        <v>44</v>
      </c>
      <c r="B50" t="s">
        <v>1080</v>
      </c>
      <c r="C50" t="s">
        <v>1081</v>
      </c>
      <c r="D50" t="s">
        <v>243</v>
      </c>
      <c r="E50">
        <v>35391</v>
      </c>
      <c r="F50">
        <v>875.43177600000001</v>
      </c>
      <c r="G50">
        <v>8.62045E-3</v>
      </c>
    </row>
    <row r="51" spans="1:7" x14ac:dyDescent="0.35">
      <c r="A51">
        <v>45</v>
      </c>
      <c r="B51" t="s">
        <v>1082</v>
      </c>
      <c r="C51" t="s">
        <v>1083</v>
      </c>
      <c r="D51" t="s">
        <v>243</v>
      </c>
      <c r="E51">
        <v>13638</v>
      </c>
      <c r="F51">
        <v>871.80915000000005</v>
      </c>
      <c r="G51">
        <v>8.5847800000000002E-3</v>
      </c>
    </row>
    <row r="52" spans="1:7" x14ac:dyDescent="0.35">
      <c r="A52">
        <v>46</v>
      </c>
      <c r="B52" t="s">
        <v>112</v>
      </c>
      <c r="C52" t="s">
        <v>113</v>
      </c>
      <c r="D52" t="s">
        <v>114</v>
      </c>
      <c r="E52">
        <v>11905</v>
      </c>
      <c r="F52">
        <v>838.40962500000001</v>
      </c>
      <c r="G52">
        <v>8.2558900000000001E-3</v>
      </c>
    </row>
    <row r="53" spans="1:7" x14ac:dyDescent="0.35">
      <c r="A53">
        <v>47</v>
      </c>
      <c r="B53" t="s">
        <v>1084</v>
      </c>
      <c r="C53" t="s">
        <v>1085</v>
      </c>
      <c r="D53" t="s">
        <v>1086</v>
      </c>
      <c r="E53">
        <v>30288</v>
      </c>
      <c r="F53">
        <v>836.64542400000005</v>
      </c>
      <c r="G53">
        <v>8.2385199999999992E-3</v>
      </c>
    </row>
    <row r="54" spans="1:7" x14ac:dyDescent="0.35">
      <c r="A54">
        <v>48</v>
      </c>
      <c r="B54" t="s">
        <v>930</v>
      </c>
      <c r="C54" t="s">
        <v>931</v>
      </c>
      <c r="D54" t="s">
        <v>209</v>
      </c>
      <c r="E54">
        <v>103636</v>
      </c>
      <c r="F54">
        <v>824.06165399999998</v>
      </c>
      <c r="G54">
        <v>8.1146099999999995E-3</v>
      </c>
    </row>
    <row r="55" spans="1:7" x14ac:dyDescent="0.35">
      <c r="A55">
        <v>49</v>
      </c>
      <c r="B55" t="s">
        <v>228</v>
      </c>
      <c r="C55" t="s">
        <v>229</v>
      </c>
      <c r="D55" t="s">
        <v>230</v>
      </c>
      <c r="E55">
        <v>49300</v>
      </c>
      <c r="F55">
        <v>819.85900000000004</v>
      </c>
      <c r="G55">
        <v>8.0732200000000007E-3</v>
      </c>
    </row>
    <row r="56" spans="1:7" x14ac:dyDescent="0.35">
      <c r="A56">
        <v>50</v>
      </c>
      <c r="B56" t="s">
        <v>788</v>
      </c>
      <c r="C56" t="s">
        <v>789</v>
      </c>
      <c r="D56" t="s">
        <v>230</v>
      </c>
      <c r="E56">
        <v>25554</v>
      </c>
      <c r="F56">
        <v>819.31234800000004</v>
      </c>
      <c r="G56">
        <v>8.0678399999999997E-3</v>
      </c>
    </row>
    <row r="57" spans="1:7" x14ac:dyDescent="0.35">
      <c r="A57">
        <v>51</v>
      </c>
      <c r="B57" t="s">
        <v>1087</v>
      </c>
      <c r="C57" t="s">
        <v>1088</v>
      </c>
      <c r="D57" t="s">
        <v>1089</v>
      </c>
      <c r="E57">
        <v>980348</v>
      </c>
      <c r="F57">
        <v>815.35543159999997</v>
      </c>
      <c r="G57">
        <v>8.0288800000000004E-3</v>
      </c>
    </row>
    <row r="58" spans="1:7" x14ac:dyDescent="0.35">
      <c r="A58">
        <v>52</v>
      </c>
      <c r="B58" t="s">
        <v>487</v>
      </c>
      <c r="C58" t="s">
        <v>488</v>
      </c>
      <c r="D58" t="s">
        <v>230</v>
      </c>
      <c r="E58">
        <v>49638</v>
      </c>
      <c r="F58">
        <v>805.77365399999996</v>
      </c>
      <c r="G58">
        <v>7.9345200000000005E-3</v>
      </c>
    </row>
    <row r="59" spans="1:7" x14ac:dyDescent="0.35">
      <c r="A59">
        <v>53</v>
      </c>
      <c r="B59" t="s">
        <v>1090</v>
      </c>
      <c r="C59" t="s">
        <v>1091</v>
      </c>
      <c r="D59" t="s">
        <v>94</v>
      </c>
      <c r="E59">
        <v>194466</v>
      </c>
      <c r="F59">
        <v>801.58885199999997</v>
      </c>
      <c r="G59">
        <v>7.8933200000000005E-3</v>
      </c>
    </row>
    <row r="60" spans="1:7" x14ac:dyDescent="0.35">
      <c r="A60">
        <v>54</v>
      </c>
      <c r="B60" t="s">
        <v>790</v>
      </c>
      <c r="C60" t="s">
        <v>791</v>
      </c>
      <c r="D60" t="s">
        <v>38</v>
      </c>
      <c r="E60">
        <v>509525</v>
      </c>
      <c r="F60">
        <v>789.30517750000001</v>
      </c>
      <c r="G60">
        <v>7.7723599999999999E-3</v>
      </c>
    </row>
    <row r="61" spans="1:7" x14ac:dyDescent="0.35">
      <c r="A61">
        <v>55</v>
      </c>
      <c r="B61" t="s">
        <v>1092</v>
      </c>
      <c r="C61" t="s">
        <v>1093</v>
      </c>
      <c r="D61" t="s">
        <v>206</v>
      </c>
      <c r="E61">
        <v>343725</v>
      </c>
      <c r="F61">
        <v>784.13984249999999</v>
      </c>
      <c r="G61">
        <v>7.7214900000000001E-3</v>
      </c>
    </row>
    <row r="62" spans="1:7" x14ac:dyDescent="0.35">
      <c r="A62">
        <v>56</v>
      </c>
      <c r="B62" t="s">
        <v>729</v>
      </c>
      <c r="C62" t="s">
        <v>730</v>
      </c>
      <c r="D62" t="s">
        <v>206</v>
      </c>
      <c r="E62">
        <v>38212</v>
      </c>
      <c r="F62">
        <v>779.48658799999998</v>
      </c>
      <c r="G62">
        <v>7.6756699999999999E-3</v>
      </c>
    </row>
    <row r="63" spans="1:7" x14ac:dyDescent="0.35">
      <c r="A63">
        <v>57</v>
      </c>
      <c r="B63" t="s">
        <v>1094</v>
      </c>
      <c r="C63" t="s">
        <v>1095</v>
      </c>
      <c r="D63" t="s">
        <v>97</v>
      </c>
      <c r="E63">
        <v>73256</v>
      </c>
      <c r="F63">
        <v>777.46592799999996</v>
      </c>
      <c r="G63">
        <v>7.6557800000000001E-3</v>
      </c>
    </row>
    <row r="64" spans="1:7" x14ac:dyDescent="0.35">
      <c r="A64">
        <v>58</v>
      </c>
      <c r="B64" t="s">
        <v>883</v>
      </c>
      <c r="C64" t="s">
        <v>884</v>
      </c>
      <c r="D64" t="s">
        <v>243</v>
      </c>
      <c r="E64">
        <v>60574</v>
      </c>
      <c r="F64">
        <v>770.13783599999999</v>
      </c>
      <c r="G64">
        <v>7.5836200000000001E-3</v>
      </c>
    </row>
    <row r="65" spans="1:7" x14ac:dyDescent="0.35">
      <c r="A65">
        <v>59</v>
      </c>
      <c r="B65" t="s">
        <v>23</v>
      </c>
      <c r="C65" t="s">
        <v>24</v>
      </c>
      <c r="D65" t="s">
        <v>25</v>
      </c>
      <c r="E65">
        <v>229541</v>
      </c>
      <c r="F65">
        <v>756.45236550000004</v>
      </c>
      <c r="G65">
        <v>7.4488499999999999E-3</v>
      </c>
    </row>
    <row r="66" spans="1:7" x14ac:dyDescent="0.35">
      <c r="A66">
        <v>60</v>
      </c>
      <c r="B66" t="s">
        <v>926</v>
      </c>
      <c r="C66" t="s">
        <v>927</v>
      </c>
      <c r="D66" t="s">
        <v>38</v>
      </c>
      <c r="E66">
        <v>488906</v>
      </c>
      <c r="F66">
        <v>751.74186559999998</v>
      </c>
      <c r="G66">
        <v>7.4024700000000004E-3</v>
      </c>
    </row>
    <row r="67" spans="1:7" x14ac:dyDescent="0.35">
      <c r="A67">
        <v>61</v>
      </c>
      <c r="B67" t="s">
        <v>34</v>
      </c>
      <c r="C67" t="s">
        <v>35</v>
      </c>
      <c r="D67" t="s">
        <v>25</v>
      </c>
      <c r="E67">
        <v>279194</v>
      </c>
      <c r="F67">
        <v>738.74732400000005</v>
      </c>
      <c r="G67">
        <v>7.2745099999999997E-3</v>
      </c>
    </row>
    <row r="68" spans="1:7" x14ac:dyDescent="0.35">
      <c r="A68">
        <v>62</v>
      </c>
      <c r="B68" t="s">
        <v>403</v>
      </c>
      <c r="C68" t="s">
        <v>404</v>
      </c>
      <c r="D68" t="s">
        <v>206</v>
      </c>
      <c r="E68">
        <v>40371</v>
      </c>
      <c r="F68">
        <v>731.88585899999998</v>
      </c>
      <c r="G68">
        <v>7.2069500000000002E-3</v>
      </c>
    </row>
    <row r="69" spans="1:7" x14ac:dyDescent="0.35">
      <c r="A69">
        <v>63</v>
      </c>
      <c r="B69" t="s">
        <v>1096</v>
      </c>
      <c r="C69" t="s">
        <v>1097</v>
      </c>
      <c r="D69" t="s">
        <v>38</v>
      </c>
      <c r="E69">
        <v>507916</v>
      </c>
      <c r="F69">
        <v>730.63716599999998</v>
      </c>
      <c r="G69">
        <v>7.1946500000000004E-3</v>
      </c>
    </row>
    <row r="70" spans="1:7" x14ac:dyDescent="0.35">
      <c r="A70">
        <v>64</v>
      </c>
      <c r="B70" t="s">
        <v>364</v>
      </c>
      <c r="C70" t="s">
        <v>365</v>
      </c>
      <c r="D70" t="s">
        <v>31</v>
      </c>
      <c r="E70">
        <v>16634</v>
      </c>
      <c r="F70">
        <v>730.01635799999997</v>
      </c>
      <c r="G70">
        <v>7.1885400000000002E-3</v>
      </c>
    </row>
    <row r="71" spans="1:7" x14ac:dyDescent="0.35">
      <c r="A71">
        <v>65</v>
      </c>
      <c r="B71" t="s">
        <v>857</v>
      </c>
      <c r="C71" t="s">
        <v>858</v>
      </c>
      <c r="D71" t="s">
        <v>243</v>
      </c>
      <c r="E71">
        <v>61671</v>
      </c>
      <c r="F71">
        <v>729.56793000000005</v>
      </c>
      <c r="G71">
        <v>7.1841199999999996E-3</v>
      </c>
    </row>
    <row r="72" spans="1:7" x14ac:dyDescent="0.35">
      <c r="A72">
        <v>66</v>
      </c>
      <c r="B72" t="s">
        <v>275</v>
      </c>
      <c r="C72" t="s">
        <v>276</v>
      </c>
      <c r="D72" t="s">
        <v>206</v>
      </c>
      <c r="E72">
        <v>132865</v>
      </c>
      <c r="F72">
        <v>716.87310749999995</v>
      </c>
      <c r="G72">
        <v>7.0591100000000004E-3</v>
      </c>
    </row>
    <row r="73" spans="1:7" x14ac:dyDescent="0.35">
      <c r="A73">
        <v>67</v>
      </c>
      <c r="B73" t="s">
        <v>494</v>
      </c>
      <c r="C73" t="s">
        <v>495</v>
      </c>
      <c r="D73" t="s">
        <v>206</v>
      </c>
      <c r="E73">
        <v>200301</v>
      </c>
      <c r="F73">
        <v>711.86975399999994</v>
      </c>
      <c r="G73">
        <v>7.0098399999999998E-3</v>
      </c>
    </row>
    <row r="74" spans="1:7" x14ac:dyDescent="0.35">
      <c r="A74">
        <v>68</v>
      </c>
      <c r="B74" t="s">
        <v>1098</v>
      </c>
      <c r="C74" t="s">
        <v>1099</v>
      </c>
      <c r="D74" t="s">
        <v>28</v>
      </c>
      <c r="E74">
        <v>40823</v>
      </c>
      <c r="F74">
        <v>709.38127099999997</v>
      </c>
      <c r="G74">
        <v>6.9853399999999996E-3</v>
      </c>
    </row>
    <row r="75" spans="1:7" x14ac:dyDescent="0.35">
      <c r="A75">
        <v>69</v>
      </c>
      <c r="B75" t="s">
        <v>1100</v>
      </c>
      <c r="C75" t="s">
        <v>1101</v>
      </c>
      <c r="D75" t="s">
        <v>138</v>
      </c>
      <c r="E75">
        <v>14170</v>
      </c>
      <c r="F75">
        <v>568.64210000000003</v>
      </c>
      <c r="G75">
        <v>5.5994699999999996E-3</v>
      </c>
    </row>
    <row r="76" spans="1:7" x14ac:dyDescent="0.35">
      <c r="A76">
        <v>70</v>
      </c>
      <c r="B76" t="s">
        <v>1102</v>
      </c>
      <c r="C76" t="s">
        <v>1103</v>
      </c>
      <c r="D76" t="s">
        <v>378</v>
      </c>
      <c r="E76">
        <v>168020</v>
      </c>
      <c r="F76">
        <v>301.07503800000001</v>
      </c>
      <c r="G76">
        <v>2.9647100000000002E-3</v>
      </c>
    </row>
    <row r="77" spans="1:7" x14ac:dyDescent="0.35">
      <c r="C77" t="s">
        <v>139</v>
      </c>
      <c r="F77">
        <v>99273.653264099994</v>
      </c>
      <c r="G77">
        <v>0.97755645999999996</v>
      </c>
    </row>
    <row r="79" spans="1:7" x14ac:dyDescent="0.35">
      <c r="C79" t="s">
        <v>140</v>
      </c>
    </row>
    <row r="80" spans="1:7" x14ac:dyDescent="0.35">
      <c r="C80" t="s">
        <v>139</v>
      </c>
      <c r="F80" t="s">
        <v>141</v>
      </c>
      <c r="G80">
        <v>0</v>
      </c>
    </row>
    <row r="82" spans="1:7" x14ac:dyDescent="0.35">
      <c r="C82" t="s">
        <v>142</v>
      </c>
    </row>
    <row r="83" spans="1:7" x14ac:dyDescent="0.35">
      <c r="C83" t="s">
        <v>139</v>
      </c>
      <c r="F83" t="s">
        <v>141</v>
      </c>
      <c r="G83">
        <v>0</v>
      </c>
    </row>
    <row r="85" spans="1:7" x14ac:dyDescent="0.35">
      <c r="C85" t="s">
        <v>147</v>
      </c>
    </row>
    <row r="86" spans="1:7" x14ac:dyDescent="0.35">
      <c r="C86" t="s">
        <v>139</v>
      </c>
      <c r="F86" t="s">
        <v>141</v>
      </c>
      <c r="G86">
        <v>0</v>
      </c>
    </row>
    <row r="88" spans="1:7" x14ac:dyDescent="0.35">
      <c r="C88" t="s">
        <v>148</v>
      </c>
    </row>
    <row r="89" spans="1:7" x14ac:dyDescent="0.35">
      <c r="C89" t="s">
        <v>139</v>
      </c>
      <c r="F89" t="s">
        <v>141</v>
      </c>
      <c r="G89">
        <v>0</v>
      </c>
    </row>
    <row r="91" spans="1:7" x14ac:dyDescent="0.35">
      <c r="C91" t="s">
        <v>149</v>
      </c>
    </row>
    <row r="92" spans="1:7" x14ac:dyDescent="0.35">
      <c r="A92">
        <v>1</v>
      </c>
      <c r="C92" t="s">
        <v>1104</v>
      </c>
      <c r="D92" t="s">
        <v>477</v>
      </c>
      <c r="E92">
        <v>365000</v>
      </c>
      <c r="F92">
        <v>646.19600000000003</v>
      </c>
      <c r="G92">
        <v>6.3631499999999997E-3</v>
      </c>
    </row>
    <row r="93" spans="1:7" x14ac:dyDescent="0.35">
      <c r="C93" t="s">
        <v>139</v>
      </c>
      <c r="F93">
        <v>646.19600000000003</v>
      </c>
      <c r="G93">
        <v>6.3631499999999997E-3</v>
      </c>
    </row>
    <row r="95" spans="1:7" x14ac:dyDescent="0.35">
      <c r="C95" t="s">
        <v>150</v>
      </c>
      <c r="F95">
        <v>99919.849264100005</v>
      </c>
      <c r="G95">
        <v>0.98391960999999994</v>
      </c>
    </row>
    <row r="97" spans="3:7" x14ac:dyDescent="0.35">
      <c r="C97" t="s">
        <v>151</v>
      </c>
    </row>
    <row r="98" spans="3:7" x14ac:dyDescent="0.35">
      <c r="C98" t="s">
        <v>13</v>
      </c>
    </row>
    <row r="99" spans="3:7" x14ac:dyDescent="0.35">
      <c r="C99" t="s">
        <v>139</v>
      </c>
      <c r="F99" t="s">
        <v>141</v>
      </c>
      <c r="G99">
        <v>0</v>
      </c>
    </row>
    <row r="101" spans="3:7" x14ac:dyDescent="0.35">
      <c r="C101" t="s">
        <v>152</v>
      </c>
    </row>
    <row r="102" spans="3:7" x14ac:dyDescent="0.35">
      <c r="C102" t="s">
        <v>139</v>
      </c>
      <c r="F102" t="s">
        <v>141</v>
      </c>
      <c r="G102">
        <v>0</v>
      </c>
    </row>
    <row r="104" spans="3:7" x14ac:dyDescent="0.35">
      <c r="C104" t="s">
        <v>153</v>
      </c>
    </row>
    <row r="105" spans="3:7" x14ac:dyDescent="0.35">
      <c r="C105" t="s">
        <v>139</v>
      </c>
      <c r="F105" t="s">
        <v>141</v>
      </c>
      <c r="G105">
        <v>0</v>
      </c>
    </row>
    <row r="107" spans="3:7" x14ac:dyDescent="0.35">
      <c r="C107" t="s">
        <v>154</v>
      </c>
    </row>
    <row r="108" spans="3:7" x14ac:dyDescent="0.35">
      <c r="C108" t="s">
        <v>139</v>
      </c>
      <c r="F108" t="s">
        <v>141</v>
      </c>
      <c r="G108">
        <v>0</v>
      </c>
    </row>
    <row r="110" spans="3:7" x14ac:dyDescent="0.35">
      <c r="C110" t="s">
        <v>155</v>
      </c>
      <c r="F110">
        <v>0</v>
      </c>
      <c r="G110">
        <v>0</v>
      </c>
    </row>
    <row r="112" spans="3:7" x14ac:dyDescent="0.35">
      <c r="C112" t="s">
        <v>156</v>
      </c>
    </row>
    <row r="113" spans="1:8" x14ac:dyDescent="0.35">
      <c r="C113" t="s">
        <v>157</v>
      </c>
    </row>
    <row r="114" spans="1:8" x14ac:dyDescent="0.35">
      <c r="C114" t="s">
        <v>139</v>
      </c>
      <c r="F114" t="s">
        <v>141</v>
      </c>
      <c r="G114">
        <v>0</v>
      </c>
    </row>
    <row r="116" spans="1:8" x14ac:dyDescent="0.35">
      <c r="C116" t="s">
        <v>158</v>
      </c>
    </row>
    <row r="117" spans="1:8" x14ac:dyDescent="0.35">
      <c r="C117" t="s">
        <v>139</v>
      </c>
      <c r="F117" t="s">
        <v>141</v>
      </c>
      <c r="G117">
        <v>0</v>
      </c>
    </row>
    <row r="119" spans="1:8" x14ac:dyDescent="0.35">
      <c r="C119" t="s">
        <v>159</v>
      </c>
    </row>
    <row r="120" spans="1:8" x14ac:dyDescent="0.35">
      <c r="C120" t="s">
        <v>139</v>
      </c>
      <c r="F120" t="s">
        <v>141</v>
      </c>
      <c r="G120">
        <v>0</v>
      </c>
    </row>
    <row r="122" spans="1:8" x14ac:dyDescent="0.35">
      <c r="C122" t="s">
        <v>160</v>
      </c>
    </row>
    <row r="123" spans="1:8" x14ac:dyDescent="0.35">
      <c r="A123">
        <v>1</v>
      </c>
      <c r="C123" t="s">
        <v>161</v>
      </c>
      <c r="F123">
        <v>1885.5890089940001</v>
      </c>
      <c r="G123">
        <v>1.856756E-2</v>
      </c>
      <c r="H123">
        <v>5.42</v>
      </c>
    </row>
    <row r="124" spans="1:8" x14ac:dyDescent="0.35">
      <c r="C124" t="s">
        <v>139</v>
      </c>
      <c r="F124">
        <v>1885.5890089940001</v>
      </c>
      <c r="G124">
        <v>1.856756E-2</v>
      </c>
    </row>
    <row r="126" spans="1:8" x14ac:dyDescent="0.35">
      <c r="C126" t="s">
        <v>162</v>
      </c>
      <c r="F126">
        <v>1885.5890089940001</v>
      </c>
      <c r="G126">
        <v>1.856756E-2</v>
      </c>
    </row>
    <row r="128" spans="1:8" x14ac:dyDescent="0.35">
      <c r="C128" t="s">
        <v>163</v>
      </c>
    </row>
    <row r="129" spans="2:7" x14ac:dyDescent="0.35">
      <c r="C129" t="s">
        <v>164</v>
      </c>
    </row>
    <row r="130" spans="2:7" x14ac:dyDescent="0.35">
      <c r="C130" t="s">
        <v>139</v>
      </c>
      <c r="F130" t="s">
        <v>141</v>
      </c>
      <c r="G130">
        <v>0</v>
      </c>
    </row>
    <row r="132" spans="2:7" x14ac:dyDescent="0.35">
      <c r="C132" t="s">
        <v>165</v>
      </c>
    </row>
    <row r="133" spans="2:7" x14ac:dyDescent="0.35">
      <c r="C133" t="s">
        <v>166</v>
      </c>
    </row>
    <row r="134" spans="2:7" x14ac:dyDescent="0.35">
      <c r="C134" t="s">
        <v>139</v>
      </c>
      <c r="F134" t="s">
        <v>141</v>
      </c>
      <c r="G134">
        <v>0</v>
      </c>
    </row>
    <row r="136" spans="2:7" x14ac:dyDescent="0.35">
      <c r="C136" t="s">
        <v>167</v>
      </c>
    </row>
    <row r="137" spans="2:7" x14ac:dyDescent="0.35">
      <c r="C137" t="s">
        <v>139</v>
      </c>
      <c r="F137" t="s">
        <v>141</v>
      </c>
      <c r="G137">
        <v>0</v>
      </c>
    </row>
    <row r="139" spans="2:7" x14ac:dyDescent="0.35">
      <c r="C139" t="s">
        <v>480</v>
      </c>
      <c r="F139">
        <v>498.82961010000002</v>
      </c>
      <c r="G139">
        <v>4.9120199999999996E-3</v>
      </c>
    </row>
    <row r="140" spans="2:7" x14ac:dyDescent="0.35">
      <c r="C140" t="s">
        <v>168</v>
      </c>
      <c r="F140">
        <v>-751.40679563000003</v>
      </c>
      <c r="G140">
        <v>-7.3991700000000001E-3</v>
      </c>
    </row>
    <row r="141" spans="2:7" x14ac:dyDescent="0.35">
      <c r="C141" t="s">
        <v>169</v>
      </c>
      <c r="F141">
        <v>101552.861087564</v>
      </c>
      <c r="G141">
        <v>1.0000000200000001</v>
      </c>
    </row>
    <row r="143" spans="2:7" x14ac:dyDescent="0.35">
      <c r="B143" t="s">
        <v>170</v>
      </c>
    </row>
    <row r="144" spans="2:7" x14ac:dyDescent="0.35">
      <c r="B144" t="s">
        <v>171</v>
      </c>
    </row>
    <row r="145" spans="2:4" x14ac:dyDescent="0.35">
      <c r="B145" t="s">
        <v>172</v>
      </c>
    </row>
    <row r="146" spans="2:4" x14ac:dyDescent="0.35">
      <c r="B146" t="s">
        <v>173</v>
      </c>
    </row>
    <row r="147" spans="2:4" x14ac:dyDescent="0.35">
      <c r="B147" t="s">
        <v>174</v>
      </c>
    </row>
    <row r="149" spans="2:4" x14ac:dyDescent="0.35">
      <c r="B149" t="s">
        <v>175</v>
      </c>
    </row>
    <row r="150" spans="2:4" x14ac:dyDescent="0.35">
      <c r="B150" t="s">
        <v>176</v>
      </c>
      <c r="D150" t="s">
        <v>177</v>
      </c>
    </row>
    <row r="151" spans="2:4" x14ac:dyDescent="0.35">
      <c r="B151" t="s">
        <v>178</v>
      </c>
      <c r="D151" t="s">
        <v>177</v>
      </c>
    </row>
    <row r="152" spans="2:4" x14ac:dyDescent="0.35">
      <c r="B152" t="s">
        <v>179</v>
      </c>
    </row>
    <row r="153" spans="2:4" x14ac:dyDescent="0.35">
      <c r="C153" t="s">
        <v>180</v>
      </c>
      <c r="D153" t="s">
        <v>181</v>
      </c>
    </row>
    <row r="154" spans="2:4" x14ac:dyDescent="0.35">
      <c r="B154" t="s">
        <v>182</v>
      </c>
      <c r="C154" s="1">
        <v>45991</v>
      </c>
      <c r="D154" s="1">
        <v>46022</v>
      </c>
    </row>
    <row r="155" spans="2:4" x14ac:dyDescent="0.35">
      <c r="B155" t="s">
        <v>183</v>
      </c>
      <c r="C155">
        <v>10.545</v>
      </c>
      <c r="D155">
        <v>10.608499999999999</v>
      </c>
    </row>
    <row r="156" spans="2:4" x14ac:dyDescent="0.35">
      <c r="B156" t="s">
        <v>184</v>
      </c>
      <c r="C156">
        <v>10.545</v>
      </c>
      <c r="D156">
        <v>10.608499999999999</v>
      </c>
    </row>
    <row r="157" spans="2:4" x14ac:dyDescent="0.35">
      <c r="B157" t="s">
        <v>185</v>
      </c>
      <c r="C157">
        <v>10.480700000000001</v>
      </c>
      <c r="D157">
        <v>10.5289</v>
      </c>
    </row>
    <row r="158" spans="2:4" x14ac:dyDescent="0.35">
      <c r="B158" t="s">
        <v>186</v>
      </c>
      <c r="C158">
        <v>10.480700000000001</v>
      </c>
      <c r="D158">
        <v>10.5289</v>
      </c>
    </row>
    <row r="160" spans="2:4" x14ac:dyDescent="0.35">
      <c r="B160" t="s">
        <v>187</v>
      </c>
      <c r="D160" t="s">
        <v>177</v>
      </c>
    </row>
    <row r="162" spans="2:4" x14ac:dyDescent="0.35">
      <c r="B162" t="s">
        <v>188</v>
      </c>
      <c r="D162" t="s">
        <v>481</v>
      </c>
    </row>
    <row r="163" spans="2:4" x14ac:dyDescent="0.35">
      <c r="B163" t="s">
        <v>189</v>
      </c>
      <c r="D163" t="s">
        <v>177</v>
      </c>
    </row>
    <row r="164" spans="2:4" x14ac:dyDescent="0.35">
      <c r="B164" t="s">
        <v>190</v>
      </c>
      <c r="D164" t="s">
        <v>177</v>
      </c>
    </row>
    <row r="165" spans="2:4" x14ac:dyDescent="0.35">
      <c r="B165" t="s">
        <v>191</v>
      </c>
      <c r="D165">
        <v>0.56705799351949815</v>
      </c>
    </row>
    <row r="168" spans="2:4" x14ac:dyDescent="0.35">
      <c r="B168" t="s">
        <v>192</v>
      </c>
    </row>
    <row r="173" spans="2:4" x14ac:dyDescent="0.35">
      <c r="B173" t="s">
        <v>193</v>
      </c>
    </row>
    <row r="174" spans="2:4" x14ac:dyDescent="0.35">
      <c r="B174" t="s">
        <v>1105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Capex Opportunities</vt:lpstr>
      <vt:lpstr>Global Brand</vt:lpstr>
      <vt:lpstr>Mid Cap</vt:lpstr>
      <vt:lpstr>Large and Mid Cap</vt:lpstr>
      <vt:lpstr>Small cap</vt:lpstr>
      <vt:lpstr>Aggressive Hybrid</vt:lpstr>
      <vt:lpstr>Arbitrage Fund</vt:lpstr>
      <vt:lpstr>Balanced Advantage</vt:lpstr>
      <vt:lpstr>Dividend Yield</vt:lpstr>
      <vt:lpstr>Equity Savings</vt:lpstr>
      <vt:lpstr>Focused Fund</vt:lpstr>
      <vt:lpstr>Multi Cap Fund</vt:lpstr>
      <vt:lpstr>Tax Saver Fund</vt:lpstr>
      <vt:lpstr>Consumption</vt:lpstr>
      <vt:lpstr>Services</vt:lpstr>
      <vt:lpstr>Value Cap</vt:lpstr>
      <vt:lpstr>Large Cap</vt:lpstr>
      <vt:lpstr>Business Cycle</vt:lpstr>
      <vt:lpstr>FLexi Cap</vt:lpstr>
      <vt:lpstr>Financial Services Fund</vt:lpstr>
      <vt:lpstr>Multi Asset Allocation Fund</vt:lpstr>
      <vt:lpstr>Conservative Hybrid</vt:lpstr>
      <vt:lpstr>Multi factor Fund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Avneet Singh</cp:lastModifiedBy>
  <dcterms:created xsi:type="dcterms:W3CDTF">2026-01-31T11:30:18Z</dcterms:created>
  <dcterms:modified xsi:type="dcterms:W3CDTF">2026-02-07T13:28:16Z</dcterms:modified>
</cp:coreProperties>
</file>