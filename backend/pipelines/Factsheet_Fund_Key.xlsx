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144853dab76e7c7/Documents/"/>
    </mc:Choice>
  </mc:AlternateContent>
  <xr:revisionPtr revIDLastSave="6" documentId="8_{52E0E657-A99F-4D8E-B4A5-199B540D3EBB}" xr6:coauthVersionLast="47" xr6:coauthVersionMax="47" xr10:uidLastSave="{E5AC8E3B-4CC0-46F1-A365-96739F0B1150}"/>
  <bookViews>
    <workbookView xWindow="-110" yWindow="-110" windowWidth="19420" windowHeight="10300" xr2:uid="{00000000-000D-0000-FFFF-FFFF00000000}"/>
  </bookViews>
  <sheets>
    <sheet name="Factsheet_Fund_Key" sheetId="1" r:id="rId1"/>
    <sheet name="mfscreener.portfolio_holdings_v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4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2" i="1"/>
  <c r="D2" i="1"/>
  <c r="D10" i="1"/>
  <c r="D11" i="1"/>
  <c r="D13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60" i="1"/>
  <c r="D63" i="1"/>
  <c r="D64" i="1"/>
  <c r="D65" i="1"/>
  <c r="D66" i="1"/>
  <c r="D67" i="1"/>
  <c r="D68" i="1"/>
  <c r="D69" i="1"/>
  <c r="D70" i="1"/>
  <c r="D71" i="1"/>
  <c r="D72" i="1"/>
  <c r="D73" i="1"/>
  <c r="D74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71" i="1"/>
  <c r="D172" i="1"/>
  <c r="D173" i="1"/>
  <c r="D174" i="1"/>
  <c r="D175" i="1"/>
  <c r="D176" i="1"/>
  <c r="D177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2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7" i="1"/>
  <c r="D238" i="1"/>
  <c r="D239" i="1"/>
  <c r="D240" i="1"/>
  <c r="D241" i="1"/>
  <c r="D242" i="1"/>
  <c r="D243" i="1"/>
  <c r="D245" i="1"/>
  <c r="D246" i="1"/>
  <c r="D247" i="1"/>
  <c r="D248" i="1"/>
  <c r="D249" i="1"/>
  <c r="D251" i="1"/>
  <c r="D252" i="1"/>
  <c r="D253" i="1"/>
  <c r="D254" i="1"/>
  <c r="D255" i="1"/>
  <c r="D256" i="1"/>
  <c r="D257" i="1"/>
  <c r="D258" i="1"/>
  <c r="D259" i="1"/>
  <c r="D260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9" i="1"/>
  <c r="D360" i="1"/>
  <c r="D361" i="1"/>
  <c r="D362" i="1"/>
  <c r="D363" i="1"/>
  <c r="D364" i="1"/>
  <c r="D365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98" i="1"/>
  <c r="D399" i="1"/>
  <c r="D400" i="1"/>
  <c r="D401" i="1"/>
  <c r="D402" i="1"/>
  <c r="D403" i="1"/>
  <c r="D404" i="1"/>
  <c r="D405" i="1"/>
  <c r="D406" i="1"/>
  <c r="D407" i="1"/>
  <c r="D413" i="1"/>
  <c r="D414" i="1"/>
  <c r="D415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2" i="1"/>
  <c r="D453" i="1"/>
  <c r="D460" i="1"/>
  <c r="D465" i="1"/>
  <c r="D466" i="1"/>
  <c r="D467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30" i="1"/>
  <c r="D531" i="1"/>
  <c r="D532" i="1"/>
  <c r="D533" i="1"/>
  <c r="D534" i="1"/>
  <c r="D535" i="1"/>
  <c r="D536" i="1"/>
  <c r="D537" i="1"/>
  <c r="D538" i="1"/>
  <c r="D540" i="1"/>
  <c r="D541" i="1"/>
  <c r="D542" i="1"/>
  <c r="D543" i="1"/>
  <c r="D544" i="1"/>
  <c r="D545" i="1"/>
  <c r="D546" i="1"/>
  <c r="D547" i="1"/>
  <c r="D548" i="1"/>
  <c r="D549" i="1"/>
  <c r="D550" i="1"/>
  <c r="D552" i="1"/>
  <c r="D553" i="1"/>
  <c r="D554" i="1"/>
  <c r="D558" i="1"/>
  <c r="D559" i="1"/>
  <c r="D560" i="1"/>
  <c r="D561" i="1"/>
  <c r="D562" i="1"/>
  <c r="D563" i="1"/>
  <c r="D564" i="1"/>
  <c r="D565" i="1"/>
  <c r="D566" i="1"/>
  <c r="D567" i="1"/>
  <c r="D569" i="1"/>
  <c r="D570" i="1"/>
  <c r="D571" i="1"/>
  <c r="D572" i="1"/>
  <c r="D573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8" i="1"/>
  <c r="D654" i="1"/>
  <c r="D655" i="1"/>
  <c r="D656" i="1"/>
  <c r="D657" i="1"/>
  <c r="D658" i="1"/>
  <c r="D659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8" i="1"/>
  <c r="D679" i="1"/>
  <c r="D680" i="1"/>
  <c r="D681" i="1"/>
  <c r="D68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<sst xmlns="http://schemas.openxmlformats.org/spreadsheetml/2006/main" count="5671" uniqueCount="1636">
  <si>
    <t>as_of</t>
  </si>
  <si>
    <t>amc</t>
  </si>
  <si>
    <t>fund_key</t>
  </si>
  <si>
    <t>monthly_avg_aum_cr</t>
  </si>
  <si>
    <t>ter_direct_pct</t>
  </si>
  <si>
    <t>portfolio_turnover</t>
  </si>
  <si>
    <t>Aditya Birla Sun Life Mutual Fund</t>
  </si>
  <si>
    <t>ABSL_ELSS</t>
  </si>
  <si>
    <t>Dhaval Shah</t>
  </si>
  <si>
    <t>ABSL_FLEXI_CAP</t>
  </si>
  <si>
    <t>Harish Krishnan,Dhaval Joshi</t>
  </si>
  <si>
    <t>21,18</t>
  </si>
  <si>
    <t>ABSL_FOCUSED</t>
  </si>
  <si>
    <t>Kunal Sangoi</t>
  </si>
  <si>
    <t>ABSL_LARGE_CAP</t>
  </si>
  <si>
    <t>Mahesh Patil</t>
  </si>
  <si>
    <t>ABSL_LARGE_MID_CAP</t>
  </si>
  <si>
    <t>Vishal Gajwani</t>
  </si>
  <si>
    <t>ABSL_MID_CAP</t>
  </si>
  <si>
    <t>Mr. Chanchal Khandelwal</t>
  </si>
  <si>
    <t>ABSL_MULTI_CAP</t>
  </si>
  <si>
    <t>Abhinav Khandelwal,Harshil Suvarnkar</t>
  </si>
  <si>
    <t>15,15</t>
  </si>
  <si>
    <t>ABSL_SMALL_CAP</t>
  </si>
  <si>
    <t>Abhinav Khandelwal,Dhaval Joshi</t>
  </si>
  <si>
    <t>15,18</t>
  </si>
  <si>
    <t>ABSL_VALUE</t>
  </si>
  <si>
    <t>ABSL_BANKING_FINANCIAL</t>
  </si>
  <si>
    <t>Dhaval Gala</t>
  </si>
  <si>
    <t>ABSL_MANUFACTURING</t>
  </si>
  <si>
    <t>Harish Krishnan</t>
  </si>
  <si>
    <t>ABSL_PSU_EQUITY</t>
  </si>
  <si>
    <t>ABSL_PHARMA_HEALTHCARE</t>
  </si>
  <si>
    <t>Mr. Dhaval Shah</t>
  </si>
  <si>
    <t>ABSL_DIGITAL_INDIA</t>
  </si>
  <si>
    <t>ABSL_CONGLOMERATE</t>
  </si>
  <si>
    <t>15,20</t>
  </si>
  <si>
    <t>ABSL_BUSINESS_CYCLE</t>
  </si>
  <si>
    <t>Harish Krishnan, dhaval gala</t>
  </si>
  <si>
    <t>15 , 19</t>
  </si>
  <si>
    <t>ABSL_INFRASTRUCTURE</t>
  </si>
  <si>
    <t>ABSL_TRANSPORT_LOGISTICS</t>
  </si>
  <si>
    <t>ABSL_MNC</t>
  </si>
  <si>
    <t>Chanchal Khandelwal</t>
  </si>
  <si>
    <t>ABSL_QUANT</t>
  </si>
  <si>
    <t>ABSL_BALANCED_ADVANTAGE</t>
  </si>
  <si>
    <t>,10 , 21</t>
  </si>
  <si>
    <t>ABSL_MULTI_ASSET</t>
  </si>
  <si>
    <t>19, 17, 23</t>
  </si>
  <si>
    <t>ABSL_EQUITY_HYBRID_95</t>
  </si>
  <si>
    <t>ABSL_EQUITY_SAVINGS</t>
  </si>
  <si>
    <t xml:space="preserve"> Atul Penkar, Mr. Harshil Suvarnkar &amp; Mr. Lovelish Solanki</t>
  </si>
  <si>
    <t>25, 15 , 10</t>
  </si>
  <si>
    <t>ABSL_REGULAR_SAVINGS</t>
  </si>
  <si>
    <t>360 ONE Mutual Fund</t>
  </si>
  <si>
    <t>ONE360_BALANCED_HYBRID</t>
  </si>
  <si>
    <t>Mr. Mayur Patel, Mr. Milan Mody</t>
  </si>
  <si>
    <t>20,20</t>
  </si>
  <si>
    <t>ONE360_FLEXI_CAP</t>
  </si>
  <si>
    <t>Mr. Mayur Patel</t>
  </si>
  <si>
    <t>ONE360_FOCUSED</t>
  </si>
  <si>
    <t>ONE360_QUANT</t>
  </si>
  <si>
    <t>Mr. Ashish Ongari</t>
  </si>
  <si>
    <t>Axis Mutual Fund</t>
  </si>
  <si>
    <t>AXIS_ELSS</t>
  </si>
  <si>
    <t>Mr. Shreyash Devalkar, Mr. Ashish Naik</t>
  </si>
  <si>
    <t>21,17</t>
  </si>
  <si>
    <t>AXIS_FLEXI_CAP</t>
  </si>
  <si>
    <t>Mr. Sachin Relekar, Ms. Krishnaa N</t>
  </si>
  <si>
    <t>24,5</t>
  </si>
  <si>
    <t>AXIS_FOCUSED</t>
  </si>
  <si>
    <t>AXIS_LARGE_CAP</t>
  </si>
  <si>
    <t>Mr. Shreyash Devalkar, Mr. Jayesh Sundar ,Ms. Krishnaa N</t>
  </si>
  <si>
    <t>21,22,5</t>
  </si>
  <si>
    <t>AXIS_LARGE_MID_CAP</t>
  </si>
  <si>
    <t>Mr. Shreyash Devalkar ,Mr. Hitesh Das, Ms. Krishnaa N</t>
  </si>
  <si>
    <t>21,14,5</t>
  </si>
  <si>
    <t>AXIS_MID_CAP</t>
  </si>
  <si>
    <t>AXIS_MULTI_CAP</t>
  </si>
  <si>
    <t>Mr. Nitin Arora ,Mr. Shreyash Devalkar, Mr. Hitesh Das</t>
  </si>
  <si>
    <t>14,21,14</t>
  </si>
  <si>
    <t>AXIS_SMALL_CAP</t>
  </si>
  <si>
    <t>Mr. Tejas Sheth, Mr. Mayank Hyanki , Ms. Krishnaa N</t>
  </si>
  <si>
    <t>21,15 ,5</t>
  </si>
  <si>
    <t>AXIS_VALUE</t>
  </si>
  <si>
    <t>AXIS_INNOVATION</t>
  </si>
  <si>
    <t>Mr. Ashish Naik , Ms. Krishnaa N</t>
  </si>
  <si>
    <t>17 , 5</t>
  </si>
  <si>
    <t>AXIS_ESG</t>
  </si>
  <si>
    <t>Vishal Agarwa , Krishna S</t>
  </si>
  <si>
    <t>15 , 5</t>
  </si>
  <si>
    <t>AXIS_QUANT</t>
  </si>
  <si>
    <t>16,5</t>
  </si>
  <si>
    <t>AXIS_BUSINESS_CYCLE</t>
  </si>
  <si>
    <t>Mr. Ashish Naik</t>
  </si>
  <si>
    <t>AXIS_MANUFACTURING</t>
  </si>
  <si>
    <t>Mr. Nitin Arora</t>
  </si>
  <si>
    <t>AXIS_CONSUMPTION</t>
  </si>
  <si>
    <t>Mr. Hitesh Das</t>
  </si>
  <si>
    <t>AXIS_MOMENTUM</t>
  </si>
  <si>
    <t>AXIS_SERVICES_OPPORTUNITIES</t>
  </si>
  <si>
    <t>AXIS_CONSERVATIVE_HYBRID</t>
  </si>
  <si>
    <t>20,12,22</t>
  </si>
  <si>
    <t>AXIS_EQUITY_SAVINGS</t>
  </si>
  <si>
    <t>15,20,16,5</t>
  </si>
  <si>
    <t>AXIS_MULTI_ASSET</t>
  </si>
  <si>
    <t>17,20,16,17,14,5</t>
  </si>
  <si>
    <t>AXIS_AGGRESSIVE_HYBRID</t>
  </si>
  <si>
    <t>22,20,17,5</t>
  </si>
  <si>
    <t>AXIS_CHILDRENS</t>
  </si>
  <si>
    <t>22,20,16,6</t>
  </si>
  <si>
    <t>AXIS_BALANCED_ADVANTAGE</t>
  </si>
  <si>
    <t>22,20,16</t>
  </si>
  <si>
    <t>AXIS_ARBITRAGE</t>
  </si>
  <si>
    <t>16,20,12</t>
  </si>
  <si>
    <t>Bajaj Finserv Mutual Fund</t>
  </si>
  <si>
    <t>BAJAJ_FLEXI_CAP</t>
  </si>
  <si>
    <t>Mr. Nimesh Chandan, Mr. Sorbh Gupta ,Mr. Siddharth Chaudhary</t>
  </si>
  <si>
    <t>25,16,18</t>
  </si>
  <si>
    <t>BAJAJ_LARGE_CAP</t>
  </si>
  <si>
    <t>BAJAJ_LARGE_MID_CAP</t>
  </si>
  <si>
    <t>BAJAJ_SMALL_CAP</t>
  </si>
  <si>
    <t>BAJAJ_CONSUMPTION</t>
  </si>
  <si>
    <t>16, 11,18</t>
  </si>
  <si>
    <t>BAJAJ_ELSS</t>
  </si>
  <si>
    <t>BAJAJ_BANKING_FINANCIAL_SERVICES</t>
  </si>
  <si>
    <t>BAJAJ_HEALTHCARE</t>
  </si>
  <si>
    <t>BAJAJ_MULTI_ASSET</t>
  </si>
  <si>
    <t>16, 16, 18, 10</t>
  </si>
  <si>
    <t>BAJAJ_BALANCED_ADVANTAGE</t>
  </si>
  <si>
    <t>BAJAJ_EQUITY_SAVINGS</t>
  </si>
  <si>
    <t>Mr. Sorbh Gupta, Mr. Ilesh Savla ,Mr. Siddharth Chaudhary</t>
  </si>
  <si>
    <t>16,25,18</t>
  </si>
  <si>
    <t>BAJAJ_ARBITRAGE</t>
  </si>
  <si>
    <t>Mr. Ilesh Savla, Mr. Siddharth Chaudhary</t>
  </si>
  <si>
    <t>23,18</t>
  </si>
  <si>
    <t>BAJAJ_MULTI_CAP</t>
  </si>
  <si>
    <t>Bank of India Mutual Fund</t>
  </si>
  <si>
    <t>BOI_FLEXI_CAP</t>
  </si>
  <si>
    <t>Mr. Alok Singh</t>
  </si>
  <si>
    <t>BOI_SMALL_CAP</t>
  </si>
  <si>
    <t>Mr. Alok Singh,Mr Nav Bhardwaj</t>
  </si>
  <si>
    <t>20,17</t>
  </si>
  <si>
    <t>BOI_MULTI_CAP</t>
  </si>
  <si>
    <t>Mr. Nitin Gosar</t>
  </si>
  <si>
    <t>BOI_MID_CAP</t>
  </si>
  <si>
    <t>BOI_LARGE_CAP</t>
  </si>
  <si>
    <t>Mr. Alok Singh, Mr Nilesh Jethani</t>
  </si>
  <si>
    <t>20,9</t>
  </si>
  <si>
    <t>BOI_LARGE_MID_CAP</t>
  </si>
  <si>
    <t>BOI_ELSS</t>
  </si>
  <si>
    <t>BOI_MANUFACTURING_INFRA</t>
  </si>
  <si>
    <t>BOI_BUSINESS_CYCLE</t>
  </si>
  <si>
    <t>BOI_CONSUMPTION</t>
  </si>
  <si>
    <t>BOI_BALANCED_ADVANTAGE</t>
  </si>
  <si>
    <t>BOI_MULTI_ASSET</t>
  </si>
  <si>
    <t>Mr. Mithraem Bharucha,Mr. Nilesh Jethani</t>
  </si>
  <si>
    <t>15,9</t>
  </si>
  <si>
    <t>BOI_CONSERVATIVE_HYBRID</t>
  </si>
  <si>
    <t>BOI_ARBITRAGE</t>
  </si>
  <si>
    <t>Nilesh Jethani</t>
  </si>
  <si>
    <t>BOI_MID_SMALL_CAP</t>
  </si>
  <si>
    <t>Baroda BNP Paribas Mutual Fund</t>
  </si>
  <si>
    <t>BARODA_LARGE_CAP</t>
  </si>
  <si>
    <t>Mr. Jitendra Sriram ,Mr. Kushant Arora</t>
  </si>
  <si>
    <t>27,11</t>
  </si>
  <si>
    <t>BARODA_MID_CAP</t>
  </si>
  <si>
    <t>Mr. Pratish Krishnan, Mr. Himanshu Singh</t>
  </si>
  <si>
    <t>23,10</t>
  </si>
  <si>
    <t>BARODA_SMALL_CAP</t>
  </si>
  <si>
    <t>Mr. Sanjay Chawla,Mr. Himanshu Singh</t>
  </si>
  <si>
    <t>33,10</t>
  </si>
  <si>
    <t>BARODA_LARGE_MID_CAP</t>
  </si>
  <si>
    <t>Mr. Sanjay Chawla ,Mr. Kirtan Mehta</t>
  </si>
  <si>
    <t>33,26</t>
  </si>
  <si>
    <t>BARODA_FLEXI_CAP</t>
  </si>
  <si>
    <t>Mr. Sanjay Chawla,Mr. Kirtan Mehta</t>
  </si>
  <si>
    <t>BARODA_MULTI_CAP</t>
  </si>
  <si>
    <t>BARODA_VALUE</t>
  </si>
  <si>
    <t>Mr. Jitendra Sriram,Mr. Himanshu Singh</t>
  </si>
  <si>
    <t>27,10</t>
  </si>
  <si>
    <t>BARODA_FOCUSED</t>
  </si>
  <si>
    <t>BARODA_DIVIDEND_YIELD</t>
  </si>
  <si>
    <t>BARODA_ELSS</t>
  </si>
  <si>
    <t>Mr. Sanjay Chawla, Mr. Pratish Krishnan</t>
  </si>
  <si>
    <t>33,23</t>
  </si>
  <si>
    <t>BARODA_BANKING_FINANCIAL</t>
  </si>
  <si>
    <t>Mr. Sanjay Chawla,Mr. Yash Mehta</t>
  </si>
  <si>
    <t>33,1.5</t>
  </si>
  <si>
    <t>BARODA_MANUFACTURING</t>
  </si>
  <si>
    <t>Mr. Jitendra Sriram,Mr. Kushant Arora</t>
  </si>
  <si>
    <t>BARODA_INNOVATION</t>
  </si>
  <si>
    <t>Mr. Pratish Krishnan,Mr. Ankeet Pandya</t>
  </si>
  <si>
    <t>23,11</t>
  </si>
  <si>
    <t>BARODA_INDIA_CONSUMPTION</t>
  </si>
  <si>
    <t>Mr. Pratish Krishnan,Mr. Himanshu Singh</t>
  </si>
  <si>
    <t>BARODA_ENERGY_OPPORTUNITIES</t>
  </si>
  <si>
    <t>BARODA_HEALTH_WELLNESS</t>
  </si>
  <si>
    <t>Mr. Sanjay Chawla</t>
  </si>
  <si>
    <t>BARODA_BUSINESS_CONGLOMERATES</t>
  </si>
  <si>
    <t>BARODA_BUSINESS_CYCLE</t>
  </si>
  <si>
    <t>BARODA_CONSERVATIVE_HYBRID</t>
  </si>
  <si>
    <t>Mr. Pratish Krishnan,Mr. Ankeet Pandya,Mr. Prashant Pimple, Mr. Gurvinder Singh Wasan</t>
  </si>
  <si>
    <t>23,11,24,21</t>
  </si>
  <si>
    <t>BARODA_AGGRESSIVE_HYBRID</t>
  </si>
  <si>
    <t xml:space="preserve">Mr. Jitendra Sriram,Mr. Pratish Krishnan,Mr. Gurvinder Singh Wasan
</t>
  </si>
  <si>
    <t>27,23,21</t>
  </si>
  <si>
    <t>BARODA_ARBITRAGE</t>
  </si>
  <si>
    <t xml:space="preserve">Mr. Neeraj Saxena,Mr. Vikram Pamnani </t>
  </si>
  <si>
    <t>20,14</t>
  </si>
  <si>
    <t>BARODA_BALANCED_ADVANTAGE</t>
  </si>
  <si>
    <t>Mr. Sanjay Chawla,Mr. Pratish Krishnan,Mr. Neeraj Saxena, Mr. Gurvinder Singh Wasan</t>
  </si>
  <si>
    <t>33,23,20,21</t>
  </si>
  <si>
    <t>BARODA_EQUITY_SAVINGS</t>
  </si>
  <si>
    <t>Mr. Pratish Krishnan,Mr. Neeraj Saxena,Mr. Ankeet Pandya,Mr. Gurvinder Singh Wasan</t>
  </si>
  <si>
    <t>23,20,11,21</t>
  </si>
  <si>
    <t>BARODA_RETIREMENT</t>
  </si>
  <si>
    <t>Canara Robeco Mutual Fund</t>
  </si>
  <si>
    <t>CANARA_ELSS</t>
  </si>
  <si>
    <t>Mr. Shridatta Bhandwaldar , Mr. Vishal Mishra</t>
  </si>
  <si>
    <t>19,21</t>
  </si>
  <si>
    <t>CANARA_FLEXI_CAP</t>
  </si>
  <si>
    <t>Mr. Amit Nadekar , Mr. Shridatta Bhandwalda</t>
  </si>
  <si>
    <t>21, 19</t>
  </si>
  <si>
    <t>CANARA_FOCUSED</t>
  </si>
  <si>
    <t>Mr. Pranav Gokhale,Mr. Shridatta Bhandwalda</t>
  </si>
  <si>
    <t>23,19</t>
  </si>
  <si>
    <t>CANARA_LARGE_CAP</t>
  </si>
  <si>
    <t>CANARA_LARGE_MID_CAP</t>
  </si>
  <si>
    <t>CANARA_MID_CAP</t>
  </si>
  <si>
    <t>CANARA_MULTI_CAP</t>
  </si>
  <si>
    <t>Mr. Shridatta Bhandwalda , Mr. Vishal Mishra</t>
  </si>
  <si>
    <t>CANARA_SMALL_CAP</t>
  </si>
  <si>
    <t>Mr. Shridatta Bhandwaldar, Mr. Amit Kadam</t>
  </si>
  <si>
    <t>19,14</t>
  </si>
  <si>
    <t>CANARA_VALUE</t>
  </si>
  <si>
    <t>Mr. Vishal Mishra, Ms. Silky Jain</t>
  </si>
  <si>
    <t>21,14</t>
  </si>
  <si>
    <t>CANARA_INFRASTRUCTURE</t>
  </si>
  <si>
    <t>CANARA_MANUFACTURING</t>
  </si>
  <si>
    <t>CANARA_CONSUMER_TRENDS</t>
  </si>
  <si>
    <t>Mr. Shridatta Bhandwaldar , Ms. Ennette Fernandes</t>
  </si>
  <si>
    <t>15,19</t>
  </si>
  <si>
    <t>CANARA_BALANCED_ADVANTAGE</t>
  </si>
  <si>
    <t>Ms. Ennette Fernandes, pranav gokhale, suman prasad , amit kandan, avnish jain</t>
  </si>
  <si>
    <t>15,23,27,14,30</t>
  </si>
  <si>
    <t>CANARA_CONSERVATIVE_HYBRID</t>
  </si>
  <si>
    <t>suman prasad ,Amit Kadam, avnish jain</t>
  </si>
  <si>
    <t>27,14,30</t>
  </si>
  <si>
    <t>CANARA_EQUITY_SAVINGS</t>
  </si>
  <si>
    <t>Ms. Ennette Fernandes,Mr. Shridatta Bhandwaldar, suman prasad , avnish jain</t>
  </si>
  <si>
    <t>15,19,30,27</t>
  </si>
  <si>
    <t>DSP Mutual Fund</t>
  </si>
  <si>
    <t>DSP_ELSS</t>
  </si>
  <si>
    <t>Rohit Singhania</t>
  </si>
  <si>
    <t>DSP_FLEXI_CAP</t>
  </si>
  <si>
    <t>Bhavin Gandhi</t>
  </si>
  <si>
    <t>DSP_FOCUSED</t>
  </si>
  <si>
    <t>DSP_LARGE_CAP</t>
  </si>
  <si>
    <t>Abhishek Singh</t>
  </si>
  <si>
    <t>DSP_LARGE_MID_CAP</t>
  </si>
  <si>
    <t>Rohit Singhania,Nilesh Aiya</t>
  </si>
  <si>
    <t>24,16</t>
  </si>
  <si>
    <t>DSP_MID_CAP</t>
  </si>
  <si>
    <t>Vinit Sambre,Abhishek Ghosh</t>
  </si>
  <si>
    <t>27,17</t>
  </si>
  <si>
    <t>DSP_MULTI_CAP</t>
  </si>
  <si>
    <t>Chirag Dagli</t>
  </si>
  <si>
    <t>DSP_SMALL_CAP</t>
  </si>
  <si>
    <t>Vinit Sambre</t>
  </si>
  <si>
    <t>DSP_VALUE</t>
  </si>
  <si>
    <t>Aparna Karnik,Kaivalya Nadkarni</t>
  </si>
  <si>
    <t>21,7</t>
  </si>
  <si>
    <t>DSP_HEALTHCARE</t>
  </si>
  <si>
    <t>DSP_BANKING_FINANCIAL</t>
  </si>
  <si>
    <t>vinit sambre</t>
  </si>
  <si>
    <t>DSP_BUSINESS_CYCLE</t>
  </si>
  <si>
    <t>DSP_TIGER</t>
  </si>
  <si>
    <t>DSP_NATURAL_RESOURCES_NEW_ENERGY</t>
  </si>
  <si>
    <t>DSP_AGGRESSIVE_HYBRID</t>
  </si>
  <si>
    <t>Abhishek Singh, Shantunu Godambe</t>
  </si>
  <si>
    <t>18,18</t>
  </si>
  <si>
    <t>DSP_DYNAMIC_ASSET_ALLOCATION</t>
  </si>
  <si>
    <t>Rohit Singhania, Preethi R S, Shantunu Godambe, reethi R S</t>
  </si>
  <si>
    <t>24,18,13,6</t>
  </si>
  <si>
    <t>DSP_MULTI_ASSET</t>
  </si>
  <si>
    <t>Aparna Karnik, Shantunu Godambe, v</t>
  </si>
  <si>
    <t>21, 18, 10</t>
  </si>
  <si>
    <t>DSP_EQUITY_SAVINGS</t>
  </si>
  <si>
    <t>Abhishek Singh, Shantunu Godambe , Kaivalya Nadkarni</t>
  </si>
  <si>
    <t>18,18,6</t>
  </si>
  <si>
    <t>DSP_ARBITRAGE</t>
  </si>
  <si>
    <t>Karan Mundhra , Kaivalya Nadkarni</t>
  </si>
  <si>
    <t>17,6</t>
  </si>
  <si>
    <t>DSP_QUANT</t>
  </si>
  <si>
    <t>Aparna Karnik</t>
  </si>
  <si>
    <t>Edelweiss Mutual Fund</t>
  </si>
  <si>
    <t>EDEL_ELSS</t>
  </si>
  <si>
    <t>Sumanta Khan,Trideep Bhattacharya,Raj Koradia</t>
  </si>
  <si>
    <t>18,25,7</t>
  </si>
  <si>
    <t>EDEL_FLEXI_CAP</t>
  </si>
  <si>
    <t>EDEL_FOCUSED</t>
  </si>
  <si>
    <t>Trideep Bhattacharya,Sumanta Khan,Raj Koradia,Amit Vora</t>
  </si>
  <si>
    <t>25,18,7,16</t>
  </si>
  <si>
    <t>EDEL_LARGE_CAP</t>
  </si>
  <si>
    <t>Bharat Lahoti,Bhavesh Jain</t>
  </si>
  <si>
    <t>18,17</t>
  </si>
  <si>
    <t>EDEL_LARGE_MID_CAP</t>
  </si>
  <si>
    <t>Trideep Bhattacharya,Ashwani Agarwalla,Raj Koradia</t>
  </si>
  <si>
    <t>25,18,7</t>
  </si>
  <si>
    <t>EDEL_MID_CAP</t>
  </si>
  <si>
    <t>Trideep Bhattacharya,Dhruv Bhatia,Raj Koradia</t>
  </si>
  <si>
    <t>25,13,7</t>
  </si>
  <si>
    <t>EDEL_MULTI_CAP</t>
  </si>
  <si>
    <t>Trideep Bhattacharya,Sumanta Khan, Raj Koradia,Amit Vora</t>
  </si>
  <si>
    <t>EDEL_SMALL_CAP</t>
  </si>
  <si>
    <t>EDEL_BUSINESS_CYCLE</t>
  </si>
  <si>
    <t>Bharat Lahoti,Bhavesh Jain, Mr. Amit Vora</t>
  </si>
  <si>
    <t>18,17, 16</t>
  </si>
  <si>
    <t>EDEL_CONSUMPTION</t>
  </si>
  <si>
    <t>Trideep Bhattacharya,Dhruv Bhatia,Amit Vora</t>
  </si>
  <si>
    <t>25,13,16</t>
  </si>
  <si>
    <t>EDEL_TECHNOLOGY</t>
  </si>
  <si>
    <t>EDEL_IPO</t>
  </si>
  <si>
    <t>EDEL_AGGRESSIVE_HYBRID</t>
  </si>
  <si>
    <t>Bharat Lahoti,Bhavesh Jain, Mr. Dhawal Dalal , Mr. Rahul Dedhia,Ms. Pranavi 
 Kulkarni</t>
  </si>
  <si>
    <t>1,81,72,61,517</t>
  </si>
  <si>
    <t>EDEL_BALANCED_ADVANTAGE</t>
  </si>
  <si>
    <t>EDEL_ARBITRAGE</t>
  </si>
  <si>
    <t>Mr. Bhavesh Jain, Amit Vora, Ms. Pranavi Kulkarni , Mr. Hetul Raval</t>
  </si>
  <si>
    <t>17,19,17,8</t>
  </si>
  <si>
    <t>EDEL_EQUITY_SAVINGS</t>
  </si>
  <si>
    <t>EDEL_MULTI_ASSET</t>
  </si>
  <si>
    <t>Franklin Templeton Mutual Fund</t>
  </si>
  <si>
    <t>FT_VALUE</t>
  </si>
  <si>
    <t>Ajay Argal , Rajasa Kakulavarapu</t>
  </si>
  <si>
    <t>30,22</t>
  </si>
  <si>
    <t>FT_FLEXI</t>
  </si>
  <si>
    <t>R. Janakiraman, Rajasa Kakulavarapu</t>
  </si>
  <si>
    <t>29,23</t>
  </si>
  <si>
    <t>FT_LARGE</t>
  </si>
  <si>
    <t>Venkatesh Sanjeevi, Ajay Argal</t>
  </si>
  <si>
    <t>23,30</t>
  </si>
  <si>
    <t>FT_LARGE_MID</t>
  </si>
  <si>
    <t>23,29,16</t>
  </si>
  <si>
    <t>FT_MID</t>
  </si>
  <si>
    <t>Akhil Kalluri , R Janakiraman</t>
  </si>
  <si>
    <t>14,29</t>
  </si>
  <si>
    <t>FT_SMALL</t>
  </si>
  <si>
    <t>FT_MULTI</t>
  </si>
  <si>
    <t>Kiran Sebastian, Akhil Kalluri, R. Janakiraman</t>
  </si>
  <si>
    <t>22,14,29</t>
  </si>
  <si>
    <t>FT_FOCUSED</t>
  </si>
  <si>
    <t>Ajay Argal, Venkatesh Sanjeevi</t>
  </si>
  <si>
    <t>30,23</t>
  </si>
  <si>
    <t>FT_ELSS</t>
  </si>
  <si>
    <t>R. Janakiraman , Rajasa Kakulavarapu</t>
  </si>
  <si>
    <t>FT_MULTI_FACTOR</t>
  </si>
  <si>
    <t>Arihant Jain</t>
  </si>
  <si>
    <t>FT_OPPORTUNITIES</t>
  </si>
  <si>
    <t>Kiran Sebastian,R Janakiraman,Sandeep Manam</t>
  </si>
  <si>
    <t>22 , 29 , 16</t>
  </si>
  <si>
    <t>FT_TECHNOLOGY</t>
  </si>
  <si>
    <t>R. Janakiraman,Venkatesh Sanjeevi,Sandeep Manam</t>
  </si>
  <si>
    <t>29 , 23 , 16</t>
  </si>
  <si>
    <t>FT_AGGRESSIVE_HYBRID</t>
  </si>
  <si>
    <t>Rajasa Kakulavarapu,AjayArgal,Chandni Gupta,Anuj Tagra</t>
  </si>
  <si>
    <t>23 , 30, 10, 19</t>
  </si>
  <si>
    <t>FT_BALANCED_ADVANTAGE</t>
  </si>
  <si>
    <t>Rajasa Kakulavarapu,AjayArgal,Chandni Gupta,Anuj Tagra,Rahul Goswami,Sandeep Manam</t>
  </si>
  <si>
    <t>23, 30, 10 , 19, 24, 16</t>
  </si>
  <si>
    <t>FT_EQUITY_SAVINGS</t>
  </si>
  <si>
    <t>Rajasa Kakulavarapu,Venkatesh Sanjeevi,Rohan Maru,Sandeep Manam,Anuj Tagra</t>
  </si>
  <si>
    <t>FT_MULTI_ASSET</t>
  </si>
  <si>
    <t>R. Janakiraman, Rajasa Kakulavarapu, Rohan Maru, Pallab Roy,Sandeep Manam</t>
  </si>
  <si>
    <t>29, 30 , 16.5 , 19 , 16</t>
  </si>
  <si>
    <t>FT_CONSERVATIVE_HYBRID</t>
  </si>
  <si>
    <t>Rohan Maru,Pallab Roy,Rahul Goswami,Rajasa Kakulavarapu,VenkateshSanjeevi,Sandeep Manam</t>
  </si>
  <si>
    <t>16.5, 19, 24, 23 , 23 ,16</t>
  </si>
  <si>
    <t>FT_ARBITRAGE</t>
  </si>
  <si>
    <t>Mukesh Jain,Rajasa Kakulavarapu,Pallab Roy,Rohan Maru</t>
  </si>
  <si>
    <t>17, 29 , 19, 16.5</t>
  </si>
  <si>
    <t>FT_RETIREMENT</t>
  </si>
  <si>
    <t>Anuj Tagra,Pallab Roy,Rajasa Kakulavarapu,Ajay Argal</t>
  </si>
  <si>
    <t>19, 19, 23 , 23</t>
  </si>
  <si>
    <t>FT_BUILD_INDIA</t>
  </si>
  <si>
    <t>Ajay Argal, Kiran Sebastian,Sandeep Manam</t>
  </si>
  <si>
    <t>23, 19 , 16</t>
  </si>
  <si>
    <t>FT_ASIAN_EQUITY</t>
  </si>
  <si>
    <t>Shyam Sundar Sriram,Sandeep Manam</t>
  </si>
  <si>
    <t>16, 16</t>
  </si>
  <si>
    <t>Groww Mutual Fund</t>
  </si>
  <si>
    <t>GROWW_LARGE_CAP</t>
  </si>
  <si>
    <t>Mr . Anupam Tiwari,Saptarshee Chatterjee</t>
  </si>
  <si>
    <t>18,8</t>
  </si>
  <si>
    <t>GROWW_VALUE</t>
  </si>
  <si>
    <t>GROWW_MULTICAP</t>
  </si>
  <si>
    <t>GROWW_ELSS</t>
  </si>
  <si>
    <t>Mr. Paras Matalia , Mr. Nikhil Satam</t>
  </si>
  <si>
    <t>7,8</t>
  </si>
  <si>
    <t>GROWW_BANKING_FINANCIAL</t>
  </si>
  <si>
    <t>Mr. Anupam Tiwari,Mr. Saptarshee Chatterjee</t>
  </si>
  <si>
    <t>GROWW_AGGRESSIVE_HYBRID</t>
  </si>
  <si>
    <t>Mr. Kaustubh Sule,Mr. Anupam Tiwari,Mr.Saptarshee Chatterjee</t>
  </si>
  <si>
    <t>17,18,8</t>
  </si>
  <si>
    <t>GROWW_MULTI_ASSET</t>
  </si>
  <si>
    <t>Mr. Paras Matalia,Mr. Kaustubh Sule,Mr. Wilfred Gonsalves,Mr. Nikhil Satam</t>
  </si>
  <si>
    <t>7,17,7,8</t>
  </si>
  <si>
    <t>HDFC Mutual Fund</t>
  </si>
  <si>
    <t>HDFC_ELSS</t>
  </si>
  <si>
    <t>Amar Kalkundrikar</t>
  </si>
  <si>
    <t>HDFC_FLEXI_CAP</t>
  </si>
  <si>
    <t>Chirag Setalvad</t>
  </si>
  <si>
    <t>HDFC_FOCUSED</t>
  </si>
  <si>
    <t>Gopal Agarwal</t>
  </si>
  <si>
    <t>HDFC_LARGE_CAP</t>
  </si>
  <si>
    <t>Rahul Baijal</t>
  </si>
  <si>
    <t>HDFC_LARGE_MID_CAP</t>
  </si>
  <si>
    <t>HDFC_MID_CAP</t>
  </si>
  <si>
    <t>HDFC_MULTI_CAP</t>
  </si>
  <si>
    <t>HDFC_SMALL_CAP</t>
  </si>
  <si>
    <t>HDFC_VALUE</t>
  </si>
  <si>
    <t>Anand Laddha</t>
  </si>
  <si>
    <t>HDFC_BANKING_FIN_SERV</t>
  </si>
  <si>
    <t>HDFC_DEFENCE</t>
  </si>
  <si>
    <t>Priya Ranjan,Rahul Baijal</t>
  </si>
  <si>
    <t>17,24</t>
  </si>
  <si>
    <t>HDFC_TECHNOLOGY</t>
  </si>
  <si>
    <t>Balaram B</t>
  </si>
  <si>
    <t>HDFC_INFRASTRUCTURE</t>
  </si>
  <si>
    <t>Ashish shah</t>
  </si>
  <si>
    <t>HDFC_MANUFACTURING</t>
  </si>
  <si>
    <t>Rakesh Sethia</t>
  </si>
  <si>
    <t>HDFC_PHARMA_HEALTHCARE</t>
  </si>
  <si>
    <t>Nikhil Mathur</t>
  </si>
  <si>
    <t>HDFC_MNC</t>
  </si>
  <si>
    <t>HDFC_NON_CYCLICAL_CONSUMER</t>
  </si>
  <si>
    <t>Amit Sinha</t>
  </si>
  <si>
    <t>HDFC_TRANSPORT_LOGISTICS</t>
  </si>
  <si>
    <t>Priya Ranjan</t>
  </si>
  <si>
    <t>HDFC_BUSINESS_CYCLE</t>
  </si>
  <si>
    <t>HDFC_INNOVATION</t>
  </si>
  <si>
    <t>HDFC_HOUSING_OPPORTUNITIES</t>
  </si>
  <si>
    <t>HDFC_DIVIDEND_YIELD</t>
  </si>
  <si>
    <t>HDFC_BALANCED_ADVANTAGE</t>
  </si>
  <si>
    <t>1,07,588.66</t>
  </si>
  <si>
    <t>Gopal Agarwal, Anil Bamboli, Arun Agarwal , Srinivasan Ramamurthy , Nandita Menezes</t>
  </si>
  <si>
    <t>21,30,26,18,2</t>
  </si>
  <si>
    <t>HDFC_EQUITY_SAVINGS</t>
  </si>
  <si>
    <t>Anil Bamboli, Arun Agarwal , Srinivasan Ramamurthy , Nandita Menezes</t>
  </si>
  <si>
    <t>30,26,18,2</t>
  </si>
  <si>
    <t>HDFC_HYBRID_EQUITY</t>
  </si>
  <si>
    <t>Anupam Joshi (Debt Portfolio), Srinivasan Ramamurthy (Equity Portfolio)</t>
  </si>
  <si>
    <t>19, 18</t>
  </si>
  <si>
    <t>HDFC_MULTI_ASSET</t>
  </si>
  <si>
    <t>Bhagyesh Kagalkar , Anil Bamboli, Arun Agarwal , Srinivasan Ramamurthy , Nandita Menezes</t>
  </si>
  <si>
    <t>30, 30,26,18,2</t>
  </si>
  <si>
    <t>HDFC_RETIREMENT_EQUITY</t>
  </si>
  <si>
    <t>Shobhit Mehrotra (Debt Portfolio) , Arun Agarwal (Arbitrage Assets) , Srinivasan Ramamurthy , Nandita Menezes</t>
  </si>
  <si>
    <t>32,26,18,2</t>
  </si>
  <si>
    <t>HDFC_RETIREMENT_HYBRID</t>
  </si>
  <si>
    <t>ICICI Prudential Mutual Fund</t>
  </si>
  <si>
    <t>ICICI_ELSS</t>
  </si>
  <si>
    <t>Mr. Mittul Kalawadia</t>
  </si>
  <si>
    <t>ICICI_FLEXI_CAP</t>
  </si>
  <si>
    <t>Rajat Chandak</t>
  </si>
  <si>
    <t>ICICI_FOCUSED</t>
  </si>
  <si>
    <t>Vaibhav Dusad</t>
  </si>
  <si>
    <t>ICICI_LARGE_CAP</t>
  </si>
  <si>
    <t>Anish Tawakley, Mr. Vaibhav Dusad</t>
  </si>
  <si>
    <t>29 , 13</t>
  </si>
  <si>
    <t>ICICI_LARGE_MID_CAP</t>
  </si>
  <si>
    <t>Ihab Dalwai</t>
  </si>
  <si>
    <t>ICICI_MID_CAP</t>
  </si>
  <si>
    <t>Lalit Kumar</t>
  </si>
  <si>
    <t>ICICI_MULTI_CAP</t>
  </si>
  <si>
    <t>ICICI_SMALL_CAP</t>
  </si>
  <si>
    <t>Anish Tawakley, Mr. Atur Shah</t>
  </si>
  <si>
    <t>29,10</t>
  </si>
  <si>
    <t>ICICI_VALUE</t>
  </si>
  <si>
    <t>Mr. Sankaran Naren, Mr. Dharmesh Kakkad, Ms. Masoomi Jhurmarvala</t>
  </si>
  <si>
    <t>35,14,8</t>
  </si>
  <si>
    <t>ICICI_BALANCED_ADVANTAGE</t>
  </si>
  <si>
    <t>Rajat Chandak, Ihab Dalwai, Manish Banthia, Akhil Kakkar, Ms. Sri Sharma</t>
  </si>
  <si>
    <t>21,18,8</t>
  </si>
  <si>
    <t>ICICI_EQUITY_SAVINGS</t>
  </si>
  <si>
    <t>Archana Nair, Mr. Dharmesh Kakkad , Ajaykumar Solanki, Manish Banthia, Ritesh Lunawat , Ms. Sri Sharma</t>
  </si>
  <si>
    <t>6,14,10,21,11,8</t>
  </si>
  <si>
    <t>ICICI_EQUITY_DEBT</t>
  </si>
  <si>
    <t>Sankaran Naren, Manish Banthia , Akhil Kakkar, Ms. Sri Sharma, Sharmila D'silva, Ms. Nitya Mishra</t>
  </si>
  <si>
    <t>19,21, 18, 8, 8, 13</t>
  </si>
  <si>
    <t>ICICI_MULTI_ASSET</t>
  </si>
  <si>
    <t>Ihab Dalwai , Manish Banthia , Gaurav Chikane</t>
  </si>
  <si>
    <t>13,21,10</t>
  </si>
  <si>
    <t>ICICI_DYNAMIC_ASSET_FOF</t>
  </si>
  <si>
    <t>Mr. Dharmesh Kakkad, Mr. Manish Bhantia , Ritesh Lunawat</t>
  </si>
  <si>
    <t>14,20,11</t>
  </si>
  <si>
    <t>ICICI_MIN_VARIANCE</t>
  </si>
  <si>
    <t>Mr. Vaibhav Dusad, Nitya Mishra</t>
  </si>
  <si>
    <t>13,13</t>
  </si>
  <si>
    <t>ICICI_ACTIVE_MOMENTUM</t>
  </si>
  <si>
    <t>Manasvi Shah</t>
  </si>
  <si>
    <t>ICICI_QUALITY</t>
  </si>
  <si>
    <t>Ihab Dalwai, Ms. Masoomi Jhurmarvala</t>
  </si>
  <si>
    <t>13,8</t>
  </si>
  <si>
    <t>ICICI_QUANT</t>
  </si>
  <si>
    <t>Roshan Chutkey</t>
  </si>
  <si>
    <t>ICICI_BUSINESS_CYCLE</t>
  </si>
  <si>
    <t>Anish Tawakley, Manish Banthia, Manan Tijoriwala, Divya Jain</t>
  </si>
  <si>
    <t>29,21,12,9</t>
  </si>
  <si>
    <t>ICICI_BANKING_FIN_SERV</t>
  </si>
  <si>
    <t>ICICI_TECHNOLOGY</t>
  </si>
  <si>
    <t>ICICI_PHARMA_HEALTHCARE</t>
  </si>
  <si>
    <t>Mr. Dharmesh Kakkad</t>
  </si>
  <si>
    <t>ICICI_PSU_EQUITY</t>
  </si>
  <si>
    <t>Antariksha Banerjee</t>
  </si>
  <si>
    <t>ICICI_INFRASTRUCTURE</t>
  </si>
  <si>
    <t>ICICI_MANUFACTURING</t>
  </si>
  <si>
    <t>ICICI_MNC</t>
  </si>
  <si>
    <t>ICICI_TRANSPORT_LOGISTICS</t>
  </si>
  <si>
    <t>Rajat Chandak, Priyanka Khandelwal</t>
  </si>
  <si>
    <t>16,18</t>
  </si>
  <si>
    <t>ICICI_FMCG</t>
  </si>
  <si>
    <t>Priyanka Khandelwal</t>
  </si>
  <si>
    <t>ICICI_CONGLOMERATE</t>
  </si>
  <si>
    <t>ICICI_BHARAT_CONSUMPTION</t>
  </si>
  <si>
    <t>ICICI_RURAL_OPPORTUNITIES</t>
  </si>
  <si>
    <t>ICICI_HOUSING_OPPORTUNITIES</t>
  </si>
  <si>
    <t>Sanket Gaidhani</t>
  </si>
  <si>
    <t>ICICI_INNOVATION</t>
  </si>
  <si>
    <t>ICICI_INDIA_OPPORTUNITIES</t>
  </si>
  <si>
    <t>Mr. Sankaran Naren, divya jain, Mr. Roshan Chutkey</t>
  </si>
  <si>
    <t>35,9,18</t>
  </si>
  <si>
    <t>ICICI_ENERGY_OPPORTUNITIES</t>
  </si>
  <si>
    <t>Nitya Mishra</t>
  </si>
  <si>
    <t>ICICI_ESG_EXCLUSIONARY</t>
  </si>
  <si>
    <t>Mittul Kalawadia</t>
  </si>
  <si>
    <t>ICICI_ARBITRAGE</t>
  </si>
  <si>
    <t>Archana Nair, Ajaykumar Solanki, Mr. Darshil Dedhia ,Mr. Nikhil Kabra</t>
  </si>
  <si>
    <t>6,10,12,11</t>
  </si>
  <si>
    <t>Invesco Mutual Fund</t>
  </si>
  <si>
    <t>INVESCO_CONTRA</t>
  </si>
  <si>
    <t>Hiten Jain</t>
  </si>
  <si>
    <t>INVESCO_ELSS</t>
  </si>
  <si>
    <t>Aditya Khemani,Amit Ganatra</t>
  </si>
  <si>
    <t>19,22</t>
  </si>
  <si>
    <t>INVESCO_FLEXI_CAP</t>
  </si>
  <si>
    <t>INVESCO_FOCUSED</t>
  </si>
  <si>
    <t>Taher Badshah,Aditya Khemani</t>
  </si>
  <si>
    <t>31,19</t>
  </si>
  <si>
    <t>INVESCO_LARGE_CAP</t>
  </si>
  <si>
    <t>Amit Ganatra,Taher Badshah</t>
  </si>
  <si>
    <t>22,31</t>
  </si>
  <si>
    <t>INVESCO_LARGE_MID_CAP</t>
  </si>
  <si>
    <t>Taher Badshah,Manish Poddar</t>
  </si>
  <si>
    <t>30,13</t>
  </si>
  <si>
    <t>INVESCO_MID_CAP</t>
  </si>
  <si>
    <t>Taher Badshah,Amit Ganatra</t>
  </si>
  <si>
    <t>INVESCO_MULTI_CAP</t>
  </si>
  <si>
    <t>Depesh Kashyap</t>
  </si>
  <si>
    <t>INVESCO_SMALL_CAP</t>
  </si>
  <si>
    <t>Taher Badshah,Hiten Jain</t>
  </si>
  <si>
    <t>30,17</t>
  </si>
  <si>
    <t>INVESCO_CONSUMPTION_FUND</t>
  </si>
  <si>
    <t>Manish Poddar, Amit Ganatra</t>
  </si>
  <si>
    <t>13,22</t>
  </si>
  <si>
    <t>INVESCO_FINANCIAL_SERVICES</t>
  </si>
  <si>
    <t>, Haresh Kapoor*</t>
  </si>
  <si>
    <t>17,11</t>
  </si>
  <si>
    <t>INVESCO_INFRASTRUCTURE</t>
  </si>
  <si>
    <t>Sagar Gandhi</t>
  </si>
  <si>
    <t>INVESCO_MANUFACTURING</t>
  </si>
  <si>
    <t>Amit Ganatra, Nikhil Kale</t>
  </si>
  <si>
    <t>22,15</t>
  </si>
  <si>
    <t>INVESCO_PSU_EQUITY</t>
  </si>
  <si>
    <t>Sagar Gandhi, Hitesh Jain</t>
  </si>
  <si>
    <t>16,17</t>
  </si>
  <si>
    <t>INVESCO_TECHNOLOGY</t>
  </si>
  <si>
    <t>Hiten Jain ,Aditya Khemani</t>
  </si>
  <si>
    <t>17,19</t>
  </si>
  <si>
    <t>INVESCO_BUSINESS_CYCLE</t>
  </si>
  <si>
    <t>Aditya Khemani , Amit Ganatra</t>
  </si>
  <si>
    <t>INVESCO_ESG</t>
  </si>
  <si>
    <t>Taher Badshah , Haresh Kapoor*</t>
  </si>
  <si>
    <t>31,11</t>
  </si>
  <si>
    <t>INVESCO_MULTI_ASSET</t>
  </si>
  <si>
    <t>Taher Badshah , Amey Sathe ,Krishna Cheemalapati</t>
  </si>
  <si>
    <t>31, 18, 27</t>
  </si>
  <si>
    <t>INVESCO_BALANCED_ADVANTAGE</t>
  </si>
  <si>
    <t>Amey Sathe, Amit Ganatra, Manish Kalani , Krishna Cheemalapati</t>
  </si>
  <si>
    <t>18,22,18,27</t>
  </si>
  <si>
    <t>INVESCO_AGGRESSIVE_HYBRID</t>
  </si>
  <si>
    <t>Amey Sathe ,Krishna Cheemalapati ,hitesh Jain</t>
  </si>
  <si>
    <t>18,27,17</t>
  </si>
  <si>
    <t>INVESCO_EQUITY_SAVINGS</t>
  </si>
  <si>
    <t>18, 27, 19</t>
  </si>
  <si>
    <t>INVESCO_ARBITRAGE</t>
  </si>
  <si>
    <t>Deepak Gupta , Manish Kalani</t>
  </si>
  <si>
    <t>19,18</t>
  </si>
  <si>
    <t>ITI Mutual Fund</t>
  </si>
  <si>
    <t>ITI_ELSS</t>
  </si>
  <si>
    <t>Mr. Alok Ranjan, Mr. Dhimant Shah</t>
  </si>
  <si>
    <t>25,26</t>
  </si>
  <si>
    <t>ITI_FLEXI_CAP</t>
  </si>
  <si>
    <t>Mr. Rohan Korde,Mr. Dhimant Shah</t>
  </si>
  <si>
    <t>17,26</t>
  </si>
  <si>
    <t>ITI_FOCUSED</t>
  </si>
  <si>
    <t>ITI_LARGE_CAP</t>
  </si>
  <si>
    <t>Mr. Alok Ranjan ,Mr Rohan Korde</t>
  </si>
  <si>
    <t>25,17</t>
  </si>
  <si>
    <t>ITI_LARGE_MID_CAP</t>
  </si>
  <si>
    <t>ITI_MID_CAP</t>
  </si>
  <si>
    <t>ITI_MULTI_CAP</t>
  </si>
  <si>
    <t>ITI_SMALL_CAP</t>
  </si>
  <si>
    <t>ITI_VALUE</t>
  </si>
  <si>
    <t>ITI_BANKING_FINANCIAL_SERVICES</t>
  </si>
  <si>
    <t>Mr. Nilay Dalal , Mr. Rohan Korde</t>
  </si>
  <si>
    <t>12,17</t>
  </si>
  <si>
    <t>ITI_BHARAT_CONSUMPTION</t>
  </si>
  <si>
    <t>ITI_PHARMA_HEALTHCARE</t>
  </si>
  <si>
    <t>ITI_ARBITRAGE</t>
  </si>
  <si>
    <t>Mr Vikas Nathani,Mr. Rohan Korde , Mr. Laukik Bagwe</t>
  </si>
  <si>
    <t>18,17,25</t>
  </si>
  <si>
    <t>ITI_BALANCED_ADVANTAGE</t>
  </si>
  <si>
    <t>Mr. Rajesh Bhatia, Mr. Rohan Korde , Mr. Laukik Bagwe , Mr. Vasav Sahgal</t>
  </si>
  <si>
    <t>31, 17,25,7</t>
  </si>
  <si>
    <t>31-12-2025</t>
  </si>
  <si>
    <t>JM Financial Mutual Fund</t>
  </si>
  <si>
    <t>JM_ELSS</t>
  </si>
  <si>
    <t>Mr. Deepak Gupta</t>
  </si>
  <si>
    <t>JM_FLEXI_CAP</t>
  </si>
  <si>
    <t>Mr. Satish Ramanathan ,Mr. Asit Bhandarkar</t>
  </si>
  <si>
    <t>JM_FOCUSED</t>
  </si>
  <si>
    <t>Mr. Asit Bhandarkar</t>
  </si>
  <si>
    <t>JM_LARGE_CAP</t>
  </si>
  <si>
    <t>JM_LARGE_MID_CAP</t>
  </si>
  <si>
    <t>JM_MID_CAP</t>
  </si>
  <si>
    <t>Mr. Satish Ramanathan</t>
  </si>
  <si>
    <t>JM_SMALL_CAP</t>
  </si>
  <si>
    <t>JM_VALUE</t>
  </si>
  <si>
    <t>JM_ARBITRAGE</t>
  </si>
  <si>
    <t>JM_AGGRESSIVE_HYBRID</t>
  </si>
  <si>
    <t>Kotak Mahindra Mutual Fund</t>
  </si>
  <si>
    <t>KOTAK_FLEXICAP</t>
  </si>
  <si>
    <t>Mr. Harsha Upadhyaya</t>
  </si>
  <si>
    <t>KOTAK_MULTI_CAP</t>
  </si>
  <si>
    <t>Mr. Devender Singhal , Mr. Abhishek Bisen</t>
  </si>
  <si>
    <t>24,22</t>
  </si>
  <si>
    <t>KOTAK_LARGE_CAP</t>
  </si>
  <si>
    <t>Mr. Rohit Tandon</t>
  </si>
  <si>
    <t>KOTAK_LARGE_MID_CAP</t>
  </si>
  <si>
    <t>KOTAK_MID_CAP</t>
  </si>
  <si>
    <t>Mr. Atul Bhole</t>
  </si>
  <si>
    <t>KOTAK_SMALL_CAP</t>
  </si>
  <si>
    <t>Mr. Harsh Bihani</t>
  </si>
  <si>
    <t>KOTAK_BANKING_FIN_SERV</t>
  </si>
  <si>
    <t>Ms. Shibani Sircar Kurian,Mr. Abhishek Bisen</t>
  </si>
  <si>
    <t>26,22</t>
  </si>
  <si>
    <t>KOTAK_TECHNOLOGY</t>
  </si>
  <si>
    <t>KOTAK_HEALTHCARE</t>
  </si>
  <si>
    <t>Ms. Shibani Sircar Kurian,Mr. Abhishek Bisen,Mr. Dhananjay Tikariha</t>
  </si>
  <si>
    <t>26,22,17</t>
  </si>
  <si>
    <t>KOTAK_CONSUMPTION</t>
  </si>
  <si>
    <t>Mr. Devender Singhal,Mr. Abhishek Bisen</t>
  </si>
  <si>
    <t>KOTAK_ESG</t>
  </si>
  <si>
    <t>Mr. Mandar Pawar</t>
  </si>
  <si>
    <t>KOTAK_MNC</t>
  </si>
  <si>
    <t>Mr. Harsha Upadhyaya, Mr. Dhananjay Tikariha,Mr. Abhishek Bisen</t>
  </si>
  <si>
    <t>29,17,22</t>
  </si>
  <si>
    <t>KOTAK_MANUFACTURING_INDIA</t>
  </si>
  <si>
    <t>Mr. Harsha Upadhyaya,Mr. Abhishek Bisen</t>
  </si>
  <si>
    <t>29,22</t>
  </si>
  <si>
    <t>KOTAK_INFRA_ECONOMIC_REFORM</t>
  </si>
  <si>
    <t>Mr. Nalin Rasik Bhatt</t>
  </si>
  <si>
    <t>KOTAK_BUSINESS_CYCLE</t>
  </si>
  <si>
    <t>Mr. Harish Bihani,Mr. Abhishek Bisen</t>
  </si>
  <si>
    <t>16,22</t>
  </si>
  <si>
    <t>KOTAK_RURAL_OPPORTUNITIES</t>
  </si>
  <si>
    <t>Mr. Arjun Khanna,Mr. Abhishek Bisen</t>
  </si>
  <si>
    <t>10,22</t>
  </si>
  <si>
    <t>KOTAK_TRANSPORT_LOGISTICS</t>
  </si>
  <si>
    <t>Mr. Nalin Rasik Bhatt,Mr. Abhishek Bisen</t>
  </si>
  <si>
    <t>20,22</t>
  </si>
  <si>
    <t>KOTAK_SPECIAL_OPPORTUNITIES</t>
  </si>
  <si>
    <t>KOTAK_QUANT</t>
  </si>
  <si>
    <t>Mr. Harsha Upadhyaya, Mr. Rohit Tandon,Mr. Abhishek Bisen</t>
  </si>
  <si>
    <t>29,19,22</t>
  </si>
  <si>
    <t>KOTAK_PIONEER</t>
  </si>
  <si>
    <t>Mr. Harish Bihani</t>
  </si>
  <si>
    <t>KOTAK_FOCUSED</t>
  </si>
  <si>
    <t>Ms. Shibani Sircar Kurian</t>
  </si>
  <si>
    <t>KOTAK_ELSS</t>
  </si>
  <si>
    <t>KOTAK_ACTIVE_MOMENTUM</t>
  </si>
  <si>
    <t>Mr. Rohit Tandon,Mr. Abhishek Bisen</t>
  </si>
  <si>
    <t>KOTAK_CONTRA</t>
  </si>
  <si>
    <t>KOTAK_BALANCED_ADVANTAGE</t>
  </si>
  <si>
    <t>Mr. Rohit Tandon,Mr. Hiten Shah,Mr. Abhishek Bisen</t>
  </si>
  <si>
    <t>19,15,22</t>
  </si>
  <si>
    <t>KOTAK_AGGRESSIVE_HYBRID</t>
  </si>
  <si>
    <t>KOTAK_EQUITY_SAVINGS</t>
  </si>
  <si>
    <t>24,22,15</t>
  </si>
  <si>
    <t>LIC Mutual Fund</t>
  </si>
  <si>
    <t>LIC_ARBITRAGE</t>
  </si>
  <si>
    <t>25,18</t>
  </si>
  <si>
    <t>LIC_BALANCED_ADVANTAGE</t>
  </si>
  <si>
    <t>Mr. Jaiprakash Toshniwal (Equity), Mr. Rahul Singh (Debt) ,Mr. Yogesh Patil (Equity)</t>
  </si>
  <si>
    <t>17,21,23</t>
  </si>
  <si>
    <t>LIC_AGGRESSIVE_HYBRID</t>
  </si>
  <si>
    <t>11,18,25</t>
  </si>
  <si>
    <t>LIC_EQUITY_SAVINGS</t>
  </si>
  <si>
    <t>LIC_MULTI_ASSET</t>
  </si>
  <si>
    <t>Mr. Sumit Bhatnagar ( ) Equity &amp; Commodity Mr. Jaiprakash Toshniwal (Equity) Mr. Pratik Shroff (Debt)</t>
  </si>
  <si>
    <t>25,17,18</t>
  </si>
  <si>
    <t>LIC_ELSS</t>
  </si>
  <si>
    <t>Mr. Yogesh Patil,Mr. Dikshit Mittal</t>
  </si>
  <si>
    <t>LIC_FLEXI_CAP</t>
  </si>
  <si>
    <t>Mr. Jaiprakash Toshniwal, Mr. Karan Doshi</t>
  </si>
  <si>
    <t>LIC_FOCUSED</t>
  </si>
  <si>
    <t>Mr. Jaiprakash Toshniwal, Mr. Sumit Bhatnagar</t>
  </si>
  <si>
    <t>17,25</t>
  </si>
  <si>
    <t>LIC_LARGE_CAP</t>
  </si>
  <si>
    <t>Mr. Sumit Bhatnagar, Mr. Mahesh Bendre</t>
  </si>
  <si>
    <t>25,19</t>
  </si>
  <si>
    <t>LIC_LARGE_MID_CAP</t>
  </si>
  <si>
    <t>LIC_MID_CAP</t>
  </si>
  <si>
    <t>Mr. Karan Doshi , Mr. Dikshit Mittal</t>
  </si>
  <si>
    <t>11,19</t>
  </si>
  <si>
    <t>LIC_MULTI_CAP</t>
  </si>
  <si>
    <t>LIC_SMALL_CAP</t>
  </si>
  <si>
    <t>Mr. Dikshit Mittal, Mr. Yogesh Patil ,Mr. Mahesh Bendre</t>
  </si>
  <si>
    <t>19,23,19</t>
  </si>
  <si>
    <t>LIC_VALUE</t>
  </si>
  <si>
    <t>LIC_BANKING_FIN_SERV</t>
  </si>
  <si>
    <t>Mr. Jaiprakash Toshniwal</t>
  </si>
  <si>
    <t>LIC_CONSUMPTION</t>
  </si>
  <si>
    <t>Mr. Sumit Bhatnagar, Mr. Karan Doshi</t>
  </si>
  <si>
    <t>25,11</t>
  </si>
  <si>
    <t>LIC_DIVIDEND_YIELD</t>
  </si>
  <si>
    <t>LIC_HEALTHCARE</t>
  </si>
  <si>
    <t>Mr. Karan Doshi</t>
  </si>
  <si>
    <t>LIC_INFRASTRUCTURE</t>
  </si>
  <si>
    <t>LIC_MANUFACTURING</t>
  </si>
  <si>
    <t>LIC_CHILDRENS</t>
  </si>
  <si>
    <t>Mr. Karan Doshi (Equity) &amp; Mr. Pratik Shroff (Debt)</t>
  </si>
  <si>
    <t>11,18</t>
  </si>
  <si>
    <t>Mahindra Manulife Mutual Fund</t>
  </si>
  <si>
    <t>MM_LARGE_CAP</t>
  </si>
  <si>
    <t>Ms. Kirti Dalvi , Ms. Fatema Pacha</t>
  </si>
  <si>
    <t>MM_LARGE_MID_CAP</t>
  </si>
  <si>
    <t>Ms. Kirti Dalvi</t>
  </si>
  <si>
    <t>MM_MID_CAP</t>
  </si>
  <si>
    <t>Ms. Kirti Dalvi , Mr. Krishna Sanghavi</t>
  </si>
  <si>
    <t>17,27</t>
  </si>
  <si>
    <t>MM_SMALL_CAP</t>
  </si>
  <si>
    <t>Mr. Vishal Jajoo, Mr. Krishna Sanghavi</t>
  </si>
  <si>
    <t>17,27,23</t>
  </si>
  <si>
    <t>MM_FLEXI_CAP</t>
  </si>
  <si>
    <t>Ms. Fatema Pacha</t>
  </si>
  <si>
    <t>MM_MULTI_CAP</t>
  </si>
  <si>
    <t>Mr. Vishal Jajoo, Ms. Fatema Pacha</t>
  </si>
  <si>
    <t>17,18</t>
  </si>
  <si>
    <t>MM_VALUE</t>
  </si>
  <si>
    <t>MM_FOCUSED</t>
  </si>
  <si>
    <t>Mr. Krishna Sanghavi, Ms. Fatema Pacha</t>
  </si>
  <si>
    <t>27,18</t>
  </si>
  <si>
    <t>MM_ELSS</t>
  </si>
  <si>
    <t>MM_CONSUMPTION</t>
  </si>
  <si>
    <t>Mr. Navin Matta, Ms. Fatema Pacha</t>
  </si>
  <si>
    <t>MM_MANUFACTURING</t>
  </si>
  <si>
    <t xml:space="preserve">Mr. Renjith Sivaram , Mr. Navin Matta </t>
  </si>
  <si>
    <t>14,19</t>
  </si>
  <si>
    <t>MM_BANKING_FIN_SERVICES</t>
  </si>
  <si>
    <t>Mr. Chetan Sanjay Gindodia , Vishal jajoo</t>
  </si>
  <si>
    <t>MM_BUSINESS_CYCLE</t>
  </si>
  <si>
    <t xml:space="preserve">Mr. Vishal Jajoo, Mr. Krishna Sanghavi , Mr. Renjith Sivaram </t>
  </si>
  <si>
    <t>17,27,14</t>
  </si>
  <si>
    <t>MM_AGGRESSIVE_HYBRID</t>
  </si>
  <si>
    <t>Ms. Fatema Pacha , Ms. Kirti Dalvi , Mr. Rahul Pal,  Mr. Amit Garg</t>
  </si>
  <si>
    <t>18,18,22,19</t>
  </si>
  <si>
    <t>MM_BALANCED_ADVANTAGE</t>
  </si>
  <si>
    <t>Ms. Fatema Pacha , Mr. Rahul Pal</t>
  </si>
  <si>
    <t>18, 22</t>
  </si>
  <si>
    <t>MM_EQUITY_SAVINGS</t>
  </si>
  <si>
    <t>Mr. Renjith Sivaram, Mr. Navin Matta, Mr. Rahul Pal</t>
  </si>
  <si>
    <t>14,19,22</t>
  </si>
  <si>
    <t>MM_MULTI_ASSET_ALLOCATION</t>
  </si>
  <si>
    <t>Mr. Renjith Sivaram , Mr. Rahul Pal</t>
  </si>
  <si>
    <t>14, 22</t>
  </si>
  <si>
    <t>Mirae Asset Mutual Fund</t>
  </si>
  <si>
    <t>MIRAE_LARGE_CAP</t>
  </si>
  <si>
    <t>Mr. Gaurav Misra</t>
  </si>
  <si>
    <t>MIRAE_LARGE_MID_CAP</t>
  </si>
  <si>
    <t>Mr. Neelesh Surana, Mr. Ankit Jain</t>
  </si>
  <si>
    <t>32, 12</t>
  </si>
  <si>
    <t>MIRAE_SMALL_CAP</t>
  </si>
  <si>
    <t>Mr. Varun Goel , Mr. Siddharth Srivastava</t>
  </si>
  <si>
    <t>17 ,10</t>
  </si>
  <si>
    <t>MIRAE_INFRASTRUCTURE</t>
  </si>
  <si>
    <t>MIRAE_BANKING_FIN_SERV</t>
  </si>
  <si>
    <t>Mr. Abhijith Vara</t>
  </si>
  <si>
    <t>MIRAE_HEALTHCARE</t>
  </si>
  <si>
    <t>Mr. Vrijesh Kasera, Mr. Tanmay Mehta</t>
  </si>
  <si>
    <t>16 ,12</t>
  </si>
  <si>
    <t>MIRAE_CONSUMER</t>
  </si>
  <si>
    <t>Mr. Siddhant Chhabria</t>
  </si>
  <si>
    <t>MIRAE_MANUFACTURING</t>
  </si>
  <si>
    <t>MIRAE_ELSS</t>
  </si>
  <si>
    <t>Mr. Neelesh Surana</t>
  </si>
  <si>
    <t>MIRAE_EQUITY_HYBRID</t>
  </si>
  <si>
    <t>MIRAE_FLEXI_CAP</t>
  </si>
  <si>
    <t>Mr. Varun Goel</t>
  </si>
  <si>
    <t xml:space="preserve"> </t>
  </si>
  <si>
    <t>MIRAE_FOCUSED</t>
  </si>
  <si>
    <t>MIRAE_INNOVATION_OPP</t>
  </si>
  <si>
    <t>MIRAE_MID_CAP</t>
  </si>
  <si>
    <t>Ankit Jain</t>
  </si>
  <si>
    <t>MIRAE_MULTI_CAP</t>
  </si>
  <si>
    <t>MIRAE_MULTI_ASSET</t>
  </si>
  <si>
    <t>12, 10, 10 , 17</t>
  </si>
  <si>
    <t>MIRAE_BALANCED_ADVANTAGE</t>
  </si>
  <si>
    <t>Motilal Oswal Mutual Fund</t>
  </si>
  <si>
    <t>MOTILAL_LARGE_CAP</t>
  </si>
  <si>
    <t>Mr. Ajay Khandelwal, Mr. Niket Shah, Mr. Atul Mehra, Mr. Rakesh Shetty, Mr. Swapnil Mayekar</t>
  </si>
  <si>
    <t>18,15,14,16</t>
  </si>
  <si>
    <t>MOTILAL_LARGE_MID_CAP</t>
  </si>
  <si>
    <t>MOTILAL_MID_CAP</t>
  </si>
  <si>
    <t>Mr. Ajay Khandelwal, Mr. Niket Shah, Mr. Rakesh Shetty, Mr. Swapnil Mayekar</t>
  </si>
  <si>
    <t>15, 18, 14, 16</t>
  </si>
  <si>
    <t>MOTILAL_SMALL_CAP</t>
  </si>
  <si>
    <t>MOTILAL_FLEXI_CAP</t>
  </si>
  <si>
    <t>Mr. Niket shah, Mr. Ajay Khandelwal, Mr. Niket Shah, Mr. Atul Mehra, Mr. Rakesh Shetty, Mr. Swapnil Mayekar</t>
  </si>
  <si>
    <t>15,18,15,14,16</t>
  </si>
  <si>
    <t>MOTILAL_FOCUSED</t>
  </si>
  <si>
    <t>Mr. Atul Mehra , Mr. Ankit Agarwal, Mr. Varun Sharma, Mr. Rakesh Shetty, Mr. Swapnil Mayekar</t>
  </si>
  <si>
    <t>15,20,15,14,16</t>
  </si>
  <si>
    <t>MOTILAL_MULTI_CAP</t>
  </si>
  <si>
    <t>MOTILAL_ELSS</t>
  </si>
  <si>
    <t>Mr. Ajay Khandelwal, Mr. Atul Mehra, Mr. Rakesh Shetty</t>
  </si>
  <si>
    <t>18, 15, 14</t>
  </si>
  <si>
    <t>MOTILAL_QUANT</t>
  </si>
  <si>
    <t>Mr. Ajay Khandelwal, ,Mr. Rakesh Shetty</t>
  </si>
  <si>
    <t>18,14</t>
  </si>
  <si>
    <t>MOTILAL_MANUFACTURING</t>
  </si>
  <si>
    <t>Mr. Niket shah, Mr. Ajay Khandelwal, Mr. Niket Shah, Mr. Atul Mehra, Mr. Rakesh Shetty, Mr. Swapnil Mayekar , Mr. Bhalchandra Shinde</t>
  </si>
  <si>
    <t>15,18,15,14,16 ,13</t>
  </si>
  <si>
    <t>MOTILAL_BUSINESS_CYCLE</t>
  </si>
  <si>
    <t>MOTILAL_INFRASTRUCTURE</t>
  </si>
  <si>
    <t>MOTILAL_DIGITAL_INDIA</t>
  </si>
  <si>
    <t>Mr. Atul Mehra , Mr. Varun Sharma, Mr. Rakesh Shetty, Mr. Swapnil Mayekar, Niket shah</t>
  </si>
  <si>
    <t>15,15,15,14,16</t>
  </si>
  <si>
    <t>MOTILAL_CONSUMPTION</t>
  </si>
  <si>
    <t>MOTILAL_SERVICES</t>
  </si>
  <si>
    <t>MOTILAL_INNOVATION_OPPORTUNITIES</t>
  </si>
  <si>
    <t>MOTILAL_ACTIVE_MOMENTUM</t>
  </si>
  <si>
    <t>MOTILAL_SPECIAL_OPPORTUNITIES</t>
  </si>
  <si>
    <t>MOTILAL_BALANCED_ADVANTAGE</t>
  </si>
  <si>
    <t>Nippon India Mutual Fund</t>
  </si>
  <si>
    <t>NIPPON_ELSS</t>
  </si>
  <si>
    <t>Rupesh Patel</t>
  </si>
  <si>
    <t>NIPPON_FLEXI_CAP</t>
  </si>
  <si>
    <t>Meenakshi Dawar , Dhrumil Shah</t>
  </si>
  <si>
    <t>16, 19</t>
  </si>
  <si>
    <t>NIPPON_FOCUSED</t>
  </si>
  <si>
    <t>Vinay Sharma , rishit parik</t>
  </si>
  <si>
    <t>21,16</t>
  </si>
  <si>
    <t>NIPPON_LARGE_CAP</t>
  </si>
  <si>
    <t>Sailesh Raj Bhan, Bhavik Dave</t>
  </si>
  <si>
    <t>30 , 13</t>
  </si>
  <si>
    <t>NIPPON_LARGE_MID_CAP</t>
  </si>
  <si>
    <t>Aishwarya Deepak Agarwal</t>
  </si>
  <si>
    <t>NIPPON_MID_CAP</t>
  </si>
  <si>
    <t>NIPPON_MULTI_CAP</t>
  </si>
  <si>
    <t>Sailesh Raj Bhan ,Ashutosh Bhargava</t>
  </si>
  <si>
    <t>30,20</t>
  </si>
  <si>
    <t>NIPPON_SMALL_CAP</t>
  </si>
  <si>
    <t>Samir Rachh</t>
  </si>
  <si>
    <t>NIPPON_VALUE</t>
  </si>
  <si>
    <t>Dhrumil Shah, Meenakshi Dawar</t>
  </si>
  <si>
    <t>19,16</t>
  </si>
  <si>
    <t>NIPPON_BANKING_FINANCIAL</t>
  </si>
  <si>
    <t>Vinay Sharma</t>
  </si>
  <si>
    <t>NIPPON_PHARMA</t>
  </si>
  <si>
    <t>Sailesh Raj Bhan</t>
  </si>
  <si>
    <t>NIPPON_POWER_INFRA</t>
  </si>
  <si>
    <t>Rahul Modi</t>
  </si>
  <si>
    <t>NIPPON_CONSUMPTION</t>
  </si>
  <si>
    <t>Kinjal Desai</t>
  </si>
  <si>
    <t>NIPPON_QUANT</t>
  </si>
  <si>
    <t>Ashutosh Bhargava</t>
  </si>
  <si>
    <t>NIPPON_JAPAN_EQUITY</t>
  </si>
  <si>
    <t>NIPPON_US_EQUITY</t>
  </si>
  <si>
    <t>NIPPON_TAIWAN_EQUITY</t>
  </si>
  <si>
    <t>NIPPON_INNOVATION</t>
  </si>
  <si>
    <t>NIPPON_ACTIVE_MOMENTUM</t>
  </si>
  <si>
    <t>NIPPON_MNC</t>
  </si>
  <si>
    <t>Dhrumil Shah</t>
  </si>
  <si>
    <t>NIPPON_AGGRESSIVE_HYBRID</t>
  </si>
  <si>
    <t>Sushil Budhia , Meenakshi Dawar</t>
  </si>
  <si>
    <t>NIPPON_CONSERVATIVE_HYBRID</t>
  </si>
  <si>
    <t>Sushil Budhia , Dhrumil Shah</t>
  </si>
  <si>
    <t>24,19</t>
  </si>
  <si>
    <t>NIPPON_BALANCED_ADVANTAGE</t>
  </si>
  <si>
    <t>Ashutosh Bhargava , Sushil Budhia</t>
  </si>
  <si>
    <t>20, 24</t>
  </si>
  <si>
    <t>NIPPON_EQUITY_SAVINGS</t>
  </si>
  <si>
    <t>Sushil Budhia , Ashutosh Bhargava , Herin Visaria</t>
  </si>
  <si>
    <t>24,20, 16</t>
  </si>
  <si>
    <t>NIPPON_MULTI_ASSET</t>
  </si>
  <si>
    <t>Ashutosh Bhargava , Vikram Dhawan , Sushil Budhia, Kinjal Desai</t>
  </si>
  <si>
    <t>20, 31, 24, 12</t>
  </si>
  <si>
    <t>NIPPON_ARBITRAGE_FUND</t>
  </si>
  <si>
    <t>Vikash Agarwal, Rohit Hashmukh Shah, Nemish Sheth</t>
  </si>
  <si>
    <t>19,14,16</t>
  </si>
  <si>
    <t>PPFAS Mutual Fund</t>
  </si>
  <si>
    <t>PPFAS_FLEXI_CAP</t>
  </si>
  <si>
    <t>Rajeev Thakkar,Raunak Onkar</t>
  </si>
  <si>
    <t>31 , 18</t>
  </si>
  <si>
    <t>PPFAS_ELSS</t>
  </si>
  <si>
    <t>PPFAS_LIQUID</t>
  </si>
  <si>
    <t>Mr. Tejas Soman,Ms. Mansi Kariya,Ms. Aishwarya Dhar</t>
  </si>
  <si>
    <t>13,12,13</t>
  </si>
  <si>
    <t>PPFAS_DYNAMIC_ASSET</t>
  </si>
  <si>
    <t>PPFAS_CONSERVATIVE_HYBRID</t>
  </si>
  <si>
    <t>PGIM India Mutual Fund</t>
  </si>
  <si>
    <t>PGIM_LARGE_CAP</t>
  </si>
  <si>
    <t>Mr. Anandha Padmanabhan Anjeneyan, Mr. Vivek Sharma ,Mr. Vinay Paharia ,Mr. Bhupesh Kalyani</t>
  </si>
  <si>
    <t>17,15,22,20</t>
  </si>
  <si>
    <t>PGIM_LARGE_MID_CAP</t>
  </si>
  <si>
    <t>Mr. Anandha Padmanabhan Anjeneyan, Mr.Utsav Mehta ,Mr. Vinay Paharia ,Mr. Puneet Pal</t>
  </si>
  <si>
    <t>17,14,20,24</t>
  </si>
  <si>
    <t>PGIM_MID_CAP</t>
  </si>
  <si>
    <t>Mr. Vinay Paharia, Mr. Vivek Sharma ,Mr. Utsav Mehta ,
  Mr. Puneet Pal</t>
  </si>
  <si>
    <t>22,15,14,24</t>
  </si>
  <si>
    <t>PGIM_SMALL_CAP</t>
  </si>
  <si>
    <t>Mr. Vinay Paharia, Mr. Vivek Sharma ,Mr. Utsav Mehta ,Mr. Puneet Pal</t>
  </si>
  <si>
    <t>PGIM_FLEXI_CAP</t>
  </si>
  <si>
    <t>Mr. Anandha Padmanabhan Anjeneyan, Mr. Vivek Sharma ,Mr. Vinay Paharia ,Mr. Puneet Pal</t>
  </si>
  <si>
    <t>17,15,22,24</t>
  </si>
  <si>
    <t>PGIM_MULTI_CAP</t>
  </si>
  <si>
    <t>Mr. Anandha Padmanabhan Anjeneyan, Mr. Vivek Sharma ,Mr. Utsav Mehta ,
  Mr. Puneet Pal</t>
  </si>
  <si>
    <t>17,15,14,24</t>
  </si>
  <si>
    <t>PGIM_HEALTHCARE</t>
  </si>
  <si>
    <t>PGIM_ELSS</t>
  </si>
  <si>
    <t>Mr. Vinay Paharia, Mr. Vivek Sharma ,Mr. Utsav Mehta ,
  Mr. Bhupesh Kalyani</t>
  </si>
  <si>
    <t>22,15,14,20</t>
  </si>
  <si>
    <t>PGIM_AGGRESSIVE_HYBRID</t>
  </si>
  <si>
    <t>PGIM_BALANCED_ADVANTAGE</t>
  </si>
  <si>
    <t>Mr. Utsav Mehta ,Mr. Anandha Padmanabhan Anjeneyan, Mr. Vivek Sharma ,Mr. Vinay Paharia ,Mr. Puneet Pal</t>
  </si>
  <si>
    <t>14,17,15,22,24</t>
  </si>
  <si>
    <t>PGIM_EQUITY_SAVINGS</t>
  </si>
  <si>
    <t>PGIM_MULTI_ASSET_ALLOCATION</t>
  </si>
  <si>
    <t>Mr. Utsav Mehta ,Mr. Anandha Padmanabhan Anjeneyan,Mr. Vinay Paharia ,Mr. Puneet Pal</t>
  </si>
  <si>
    <t>14, 17,22,24</t>
  </si>
  <si>
    <t>PGIM_ARBITRAGE</t>
  </si>
  <si>
    <t>Mr. Chetan Chavan , Mr. Puneet Pal</t>
  </si>
  <si>
    <t>21,24</t>
  </si>
  <si>
    <t>quant Mutual Fund</t>
  </si>
  <si>
    <t>QUANT_LARGE_CAP</t>
  </si>
  <si>
    <t>Sandeep Tandon, Ankit Pande, Lokesh Garg, Varun Pattani, Ayusha Kumbhat, Yug Tibrewal, Sameer Kate, Sanjeev Sharma</t>
  </si>
  <si>
    <t>27, 15, 21 , 5,2,5, 21 , 21</t>
  </si>
  <si>
    <t>QUANT_LARGE_MID_CAP</t>
  </si>
  <si>
    <t>Sandeep Tandon, Ankit Pande, Varun Pattani, Ayusha Kumbhat, Yug Tibrewal, Sameer Kate, Sanjeev Sharma</t>
  </si>
  <si>
    <t>27 , 15, 5, 2, 5,21, 15</t>
  </si>
  <si>
    <t>QUANT_MID_CAP</t>
  </si>
  <si>
    <t>QUANT_SMALL_CAP</t>
  </si>
  <si>
    <t>QUANT_FLEXI_CAP</t>
  </si>
  <si>
    <t>QUANT_MULTI_CAP</t>
  </si>
  <si>
    <t>QUANT_FOCUSED</t>
  </si>
  <si>
    <t>QUANT_VALUE</t>
  </si>
  <si>
    <t>QUANT_ELSS</t>
  </si>
  <si>
    <t>QUANT_BANKING_FINANCIAL</t>
  </si>
  <si>
    <t>QUANT_PSU</t>
  </si>
  <si>
    <t>QUANT_TECHNOLOGY</t>
  </si>
  <si>
    <t>QUANT_INFRASTRUCTURE</t>
  </si>
  <si>
    <t>QUANT_MANUFACTURING</t>
  </si>
  <si>
    <t>QUANT_HEALTHCARE</t>
  </si>
  <si>
    <t>QUANT_CONSUMPTION</t>
  </si>
  <si>
    <t>QUANT_COMMODITIES</t>
  </si>
  <si>
    <t>QUANT_BUSINESS_CYCLE</t>
  </si>
  <si>
    <t>QUANT_MOMENTUM</t>
  </si>
  <si>
    <t>QUANT_QUANTAMENTAL</t>
  </si>
  <si>
    <t>QUANT_ESG</t>
  </si>
  <si>
    <t>QUANT_AGGRESSIVE_HYBRID</t>
  </si>
  <si>
    <t>QUANT_DYNAMIC_ASSET_ALLOCATION</t>
  </si>
  <si>
    <t>QUANT_EQUITY_SAVINGS</t>
  </si>
  <si>
    <t>Sandeep Tandon, Ankit Pande, Varun Pattani, Ayusha Kumbhat, Sameer Kate, Sanjeev Sharma</t>
  </si>
  <si>
    <t>27 , 15, 5, 2, 21, 15</t>
  </si>
  <si>
    <t>QUANT_MULTI_ASSET</t>
  </si>
  <si>
    <t>QUANT_ARBITRAGE</t>
  </si>
  <si>
    <t>Sameer Kate,Yug Tibrewal,Sanjeev Sharma</t>
  </si>
  <si>
    <t>21, 5 , 15</t>
  </si>
  <si>
    <t>Quantum Mutual Fund</t>
  </si>
  <si>
    <t>QUANTUM_VALUE</t>
  </si>
  <si>
    <t>Mr. George Thomas , Mr. Christy Mathai</t>
  </si>
  <si>
    <t>12,11</t>
  </si>
  <si>
    <t>QUANTUM_ELSS</t>
  </si>
  <si>
    <t>Mr. George Thomas , Mr. Christy Mathai ,Mr. Ketan Gujarathi</t>
  </si>
  <si>
    <t>12,11,13</t>
  </si>
  <si>
    <t>QUANTUM_SMALL_CAP</t>
  </si>
  <si>
    <t>Mr. Chirag Mehta , Mrs. Abhilasha Satale</t>
  </si>
  <si>
    <t>23,20</t>
  </si>
  <si>
    <t>QUANTUM_ESG</t>
  </si>
  <si>
    <t>Mr. Chirag Mehta, Mr. Rajorshi Palit</t>
  </si>
  <si>
    <t>23, 4</t>
  </si>
  <si>
    <t>QUANTUM_ETHICAL</t>
  </si>
  <si>
    <t>Mr. Chirag Mehta</t>
  </si>
  <si>
    <t>QUANTUM_MULTI_ASSET</t>
  </si>
  <si>
    <t>Mr. Chirag Mehta , Ms. Sneha Pandey , Ms. Mansi Vasa</t>
  </si>
  <si>
    <t>23, 8, 11</t>
  </si>
  <si>
    <t>########</t>
  </si>
  <si>
    <t>Samco Mutual Fund</t>
  </si>
  <si>
    <t>SAMCO_ELSS</t>
  </si>
  <si>
    <t>Umeshkumar Mehta,Nirali Bhansali,Dhawal Dhanani,Komal Grover</t>
  </si>
  <si>
    <t>21,9,6,10</t>
  </si>
  <si>
    <t>SAMCO_FLEXI_CAP</t>
  </si>
  <si>
    <t>SAMCO_LARGE_CAP</t>
  </si>
  <si>
    <t>SAMCO_LARGE_MID_CAP</t>
  </si>
  <si>
    <t>SAMCO_MULTI_CAP</t>
  </si>
  <si>
    <t>SAMCO_SMALL_CAP</t>
  </si>
  <si>
    <t>SAMCO_ACTIVE_MOMENTUM</t>
  </si>
  <si>
    <t>SAMCO_SPECIAL_OPPORTUNITIES</t>
  </si>
  <si>
    <t>SAMCO_DYNAMIC_ASSET_ALLOCATION</t>
  </si>
  <si>
    <t>SAMCO_MULTI_ASSET</t>
  </si>
  <si>
    <t>SBI Mutual Fund</t>
  </si>
  <si>
    <t>SBI_CONTRA</t>
  </si>
  <si>
    <t>Mr. Dinesh Balachandran</t>
  </si>
  <si>
    <t>SBI_ELSS</t>
  </si>
  <si>
    <t>SBI_FLEXI_CAP</t>
  </si>
  <si>
    <t>Mr. Dinesh Balachandran, Mr. Anup Upadhyay</t>
  </si>
  <si>
    <t>24,18</t>
  </si>
  <si>
    <t>SBI_FOCUSED</t>
  </si>
  <si>
    <t>Mr. R. Srinivasan</t>
  </si>
  <si>
    <t>SBI_LARGE_CAP</t>
  </si>
  <si>
    <t>Mr Saurabh Pant</t>
  </si>
  <si>
    <t>SBI_LARGE_MID_CAP</t>
  </si>
  <si>
    <t>SBI_MID_CAP</t>
  </si>
  <si>
    <t>Mr. Bhavin Vithlani</t>
  </si>
  <si>
    <t>SBI_MULTI_CAP</t>
  </si>
  <si>
    <t>Mr. R. Srinivasan, Mr. Saurabh Pant</t>
  </si>
  <si>
    <t>33,18</t>
  </si>
  <si>
    <t>SBI_SMALL_CAP</t>
  </si>
  <si>
    <t>SBI_DIVIDEND_YIELD</t>
  </si>
  <si>
    <t>Mr. Rohit Shimpi</t>
  </si>
  <si>
    <t>SBI_MIN_VARIANCE</t>
  </si>
  <si>
    <t>Mr. Raviprakash Sharma</t>
  </si>
  <si>
    <t>SBI_QUANT</t>
  </si>
  <si>
    <t>Ms. Sukanya Ghosh</t>
  </si>
  <si>
    <t>SBI_MNC</t>
  </si>
  <si>
    <t>Mr. Tanmaya Desai</t>
  </si>
  <si>
    <t>SBI_ESG</t>
  </si>
  <si>
    <t>SBI_CONSUMPTION</t>
  </si>
  <si>
    <t>SBI_TECHNOLOGY</t>
  </si>
  <si>
    <t>Mr. Vivek Gedda</t>
  </si>
  <si>
    <t>SBI_HEALTHCARE</t>
  </si>
  <si>
    <t>SBI_INFRASTRUCTURE</t>
  </si>
  <si>
    <t>SBI_PSU</t>
  </si>
  <si>
    <t>SBI_BANKING_PSU</t>
  </si>
  <si>
    <t>SBI_BANKING_FINANCIAL</t>
  </si>
  <si>
    <t>: Mr. Milind Agrawal</t>
  </si>
  <si>
    <t>SBI_ENERGY</t>
  </si>
  <si>
    <t>: Mr. Raj Gandhi</t>
  </si>
  <si>
    <t>SBI_AUTOMOTIVE</t>
  </si>
  <si>
    <t>SBI_INNOVATIVE_OPPORTUNITIES</t>
  </si>
  <si>
    <t>SBI_RESURGENT_INDIA</t>
  </si>
  <si>
    <t>SBI_EQUITY_HYBRID</t>
  </si>
  <si>
    <t>Mr. R. Srinivasan -Equity Mr. Rajeev Radhakrishnan -Debt</t>
  </si>
  <si>
    <t>33,24</t>
  </si>
  <si>
    <t>SBI_CONSERVATIVE_HYBRID</t>
  </si>
  <si>
    <t>Mr. Saurabh Pant &amp; Mr Milind Agrawal , Ms. Mansi Sajeja</t>
  </si>
  <si>
    <t>18,18,19</t>
  </si>
  <si>
    <t>SBI_ARBITRAGE</t>
  </si>
  <si>
    <t>24,19,12</t>
  </si>
  <si>
    <t>SBI_EQUITY_SAVINGS</t>
  </si>
  <si>
    <t>18,14,29,12</t>
  </si>
  <si>
    <t>SBI_MULTI_ASSET</t>
  </si>
  <si>
    <t>SBI_BALANCED_ADVANTAGE</t>
  </si>
  <si>
    <t>24,18,19,24</t>
  </si>
  <si>
    <t>SBI_RETIREMENT_AGGRESSIVE</t>
  </si>
  <si>
    <t>19,15</t>
  </si>
  <si>
    <t>SBI_RETIREMENT_AGGRESSIVE_HYBRID</t>
  </si>
  <si>
    <t>SBI_RETIREMENT_CONSERVATIVE_HYBRID</t>
  </si>
  <si>
    <t>SBI_RETIREMENT_CONSERVATIVE</t>
  </si>
  <si>
    <t>Sundaram Mutual Fund</t>
  </si>
  <si>
    <t>SUNDARAM_MID_CAP</t>
  </si>
  <si>
    <t>Ratish B Varier, S Bharath</t>
  </si>
  <si>
    <t>19, 23</t>
  </si>
  <si>
    <t>SUNDARAM_SMALL_CAP</t>
  </si>
  <si>
    <t>Rohit Seksaria</t>
  </si>
  <si>
    <t>SUNDARAM_MICRO_CAP</t>
  </si>
  <si>
    <t>SUNDARAM_MULTI_CAP</t>
  </si>
  <si>
    <t>Ratish B Varier</t>
  </si>
  <si>
    <t>SUNDARAM_FOCUSED</t>
  </si>
  <si>
    <t>Ashwin Jain</t>
  </si>
  <si>
    <t>SUNDARAM_DIVIDEND_YIELD</t>
  </si>
  <si>
    <t>Clyton Richard Fernandes</t>
  </si>
  <si>
    <t>SUNDARAM_TAX_SAVER</t>
  </si>
  <si>
    <t>Bharath S, Rohit Seksaria</t>
  </si>
  <si>
    <t>23,23</t>
  </si>
  <si>
    <t>SUNDARAM_BUSINESS_CYCLE</t>
  </si>
  <si>
    <t>19,25</t>
  </si>
  <si>
    <t>SUNDARAM_CONSUMPTION</t>
  </si>
  <si>
    <t>SUNDARAM_FINANCIAL_SERVICES</t>
  </si>
  <si>
    <t>SUNDARAM_AGGRESSIVE_HYBRID</t>
  </si>
  <si>
    <t>Bharath S, Clyton Richard Fernandes, Sandeep Agarwal, Dwijendra Srivastava</t>
  </si>
  <si>
    <t>20,18,20,25</t>
  </si>
  <si>
    <t>SUNDARAM_ARBITRAGE</t>
  </si>
  <si>
    <t>Rohit Seksaria, Dwijendra Srivastava</t>
  </si>
  <si>
    <t>20,25</t>
  </si>
  <si>
    <t>SUNDARAM_BALANCED_ADVANTAGE</t>
  </si>
  <si>
    <t>Bharath S, Clyton Richard Fernandes, Dwijendra Srivastava</t>
  </si>
  <si>
    <t>20,18,25</t>
  </si>
  <si>
    <t>SUNDARAM_EQUITY_SAVINGS</t>
  </si>
  <si>
    <t>Clyton Richard Fernandes, Rohit Seksaria (Equity Portion), Dwijendra Srivastava (Fixed Income Portion)</t>
  </si>
  <si>
    <t>18,23,25</t>
  </si>
  <si>
    <t>SUNDARAM_MULTI_ASSET</t>
  </si>
  <si>
    <t>23, 18 ,25</t>
  </si>
  <si>
    <t>SUNDARAM_LARGE_CAP</t>
  </si>
  <si>
    <t>SUNDARAM_FLEXI_CAP</t>
  </si>
  <si>
    <t>Bharath S, Dwijendra Srivastava</t>
  </si>
  <si>
    <t>SUNDARAM_LARGE_MID_CAP</t>
  </si>
  <si>
    <t>Bharath S</t>
  </si>
  <si>
    <t>SUNDARAM_VALUE_CAP</t>
  </si>
  <si>
    <t>Rohit Seksaria, Pathanjali Srinivasan</t>
  </si>
  <si>
    <t>23,5</t>
  </si>
  <si>
    <t>SUNDARAM_INFRASTRUCTURE_FUND</t>
  </si>
  <si>
    <t>Tata Mutual Fund</t>
  </si>
  <si>
    <t>TATA_ELSS</t>
  </si>
  <si>
    <t>Sailesh Jain</t>
  </si>
  <si>
    <t>TATA_FLEXI_CAP</t>
  </si>
  <si>
    <t>Aditya Bagul</t>
  </si>
  <si>
    <t>TATA_FOCUSED</t>
  </si>
  <si>
    <t>Anand Sharma</t>
  </si>
  <si>
    <t>TATA_LARGE_CAP</t>
  </si>
  <si>
    <t>Abhinav Sharma, HasmukhVishariya</t>
  </si>
  <si>
    <t>18,7</t>
  </si>
  <si>
    <t>TATA_LARGE_MID_CAP</t>
  </si>
  <si>
    <t>ChandraprakashPadiyar</t>
  </si>
  <si>
    <t>TATA_MID_CAP</t>
  </si>
  <si>
    <t>Satish ChandraMishra</t>
  </si>
  <si>
    <t>TATA_MULTI_CAP</t>
  </si>
  <si>
    <t>Meeta Shetty , MurthyNagarajan, Hasmukh Vishariya</t>
  </si>
  <si>
    <t>18,28,7</t>
  </si>
  <si>
    <t>TATA_SMALL_CAP</t>
  </si>
  <si>
    <t>TATA_VALUE</t>
  </si>
  <si>
    <t>Sonam Udasi</t>
  </si>
  <si>
    <t>TATA_BANKING_FINANCIAL</t>
  </si>
  <si>
    <t>Kapil Malhotra</t>
  </si>
  <si>
    <t>TATA_BUSINESS_CYCLE</t>
  </si>
  <si>
    <t>Rahul Singh , MurthyNagarajan</t>
  </si>
  <si>
    <t>29 , 28</t>
  </si>
  <si>
    <t>TATA_DIGITAL_INDIA</t>
  </si>
  <si>
    <t>Meeta Shetty</t>
  </si>
  <si>
    <t>TATA_DIVIDEND_YIELD</t>
  </si>
  <si>
    <t>TATA_ETHICAL</t>
  </si>
  <si>
    <t>Abhinav Sharma</t>
  </si>
  <si>
    <t>TATA_HOUSING</t>
  </si>
  <si>
    <t>MurthyNagarajan , HasmukhVishariya, ,AdityaBagul</t>
  </si>
  <si>
    <t>28,7,12</t>
  </si>
  <si>
    <t>TATA_CONSUMER</t>
  </si>
  <si>
    <t>TATA_INNOVATION</t>
  </si>
  <si>
    <t>TATA_PHARMA_HEALTHCARE</t>
  </si>
  <si>
    <t>Rajat Srivastava</t>
  </si>
  <si>
    <t>TATA_INFRASTRUCTURE</t>
  </si>
  <si>
    <t>TATA_RESOURCES_ENERGY</t>
  </si>
  <si>
    <t>TATA_AGGRESSIVE_HYBRID</t>
  </si>
  <si>
    <t>SatishChandraMishra, MurthyNagarajan</t>
  </si>
  <si>
    <t>18,28</t>
  </si>
  <si>
    <t>TATA_BALANCED_ADVANTAGE</t>
  </si>
  <si>
    <t>RahulSingh , Sailesh Jain, AkhilMittal</t>
  </si>
  <si>
    <t>29,22,23</t>
  </si>
  <si>
    <t>TATA_ARBITRAGE</t>
  </si>
  <si>
    <t>TATA_EQUITY_SAVINGS</t>
  </si>
  <si>
    <t>SaileshJain , MurthyNagarajan</t>
  </si>
  <si>
    <t>22,28</t>
  </si>
  <si>
    <t>TATA_MULTI_ASSET</t>
  </si>
  <si>
    <t>RahulSingh, Sailesh Jain, ,MurthyNagarajan</t>
  </si>
  <si>
    <t>29,22,28</t>
  </si>
  <si>
    <t>TATA_RETIREMENT_MODERATE</t>
  </si>
  <si>
    <t>TATA_RETIREMENT_PROGRESSIVE</t>
  </si>
  <si>
    <t>Taurus Mutual Fund</t>
  </si>
  <si>
    <t>TAURUS_ELSS</t>
  </si>
  <si>
    <t>Anuj Kapil</t>
  </si>
  <si>
    <t>TAURUS_FLEXI_CAP</t>
  </si>
  <si>
    <t>TAURUS_LARGE_CAP</t>
  </si>
  <si>
    <t>TAURUS_MID_CAP</t>
  </si>
  <si>
    <t>Anuj Kapil,Hemanshu Srivastava</t>
  </si>
  <si>
    <t>19,12</t>
  </si>
  <si>
    <t>TAURUS_ETHICAL</t>
  </si>
  <si>
    <t>TAURUS_BANKING_FINANCIAL</t>
  </si>
  <si>
    <t>TAURUS_INFRASTRUCTURE</t>
  </si>
  <si>
    <t>TRUST Mutual Fund</t>
  </si>
  <si>
    <t>TRUSTMF_FLEXI_CAP</t>
  </si>
  <si>
    <t>Mihir Vora,Aakash Manghani</t>
  </si>
  <si>
    <t>30,15</t>
  </si>
  <si>
    <t>TRUSTMF_MULTI_CAP</t>
  </si>
  <si>
    <t>TRUSTMF_SMALL_CAP</t>
  </si>
  <si>
    <t>TRUSTMF_BANKING_PSU</t>
  </si>
  <si>
    <t>Jalpan Shah , Ms. Shradhanjali Panda</t>
  </si>
  <si>
    <t>TRUSTMF_ARBITRAGE</t>
  </si>
  <si>
    <t>Mihir Vora , Sachin Parekh</t>
  </si>
  <si>
    <t>Unifi Mutual Fund</t>
  </si>
  <si>
    <t>UNIFI_FLEXI_CAP</t>
  </si>
  <si>
    <t>V N Saravanan, Aejas Lakhani , Karthik Srinivas</t>
  </si>
  <si>
    <t>20 , 12 , 10</t>
  </si>
  <si>
    <t>UNIFI_DYNAMIC_ASSET_ALLOCATION</t>
  </si>
  <si>
    <t>Union Mutual Fund</t>
  </si>
  <si>
    <t>UNION_ELSS</t>
  </si>
  <si>
    <t>Sanjay Bembalkar,Vinod Malviya</t>
  </si>
  <si>
    <t>17,16</t>
  </si>
  <si>
    <t>UNION_FLEXI_CAP</t>
  </si>
  <si>
    <t>UNION_FOCUSED</t>
  </si>
  <si>
    <t>Pratik Dharmshi,Vinod Malviya</t>
  </si>
  <si>
    <t>14,16</t>
  </si>
  <si>
    <t>UNION_LARGE_CAP</t>
  </si>
  <si>
    <t>Sanjay Bembalkar, Pratik Dharmshi</t>
  </si>
  <si>
    <t>17,14</t>
  </si>
  <si>
    <t>UNION_LARGE_MID_CAP</t>
  </si>
  <si>
    <t>UNION_MID_CAP</t>
  </si>
  <si>
    <t>Gaurav Chopra,Pratik Dharmshi</t>
  </si>
  <si>
    <t>10,14</t>
  </si>
  <si>
    <t>UNION_MULTI_CAP</t>
  </si>
  <si>
    <t>Harshad Patwardhan,Sanjay Bembalkar</t>
  </si>
  <si>
    <t>31,17</t>
  </si>
  <si>
    <t>UNION_SMALL_CAP</t>
  </si>
  <si>
    <t>UNION_VALUE</t>
  </si>
  <si>
    <t>Vinod Malviya , Gaurav Chopra</t>
  </si>
  <si>
    <t>16,10</t>
  </si>
  <si>
    <t>UNION_ACTIVE_MOMENTUM</t>
  </si>
  <si>
    <t>Gaurav Chopra , Sanjay Bembalkar</t>
  </si>
  <si>
    <t>10,17</t>
  </si>
  <si>
    <t>UNION_BUSINESS_CYCLE</t>
  </si>
  <si>
    <t>Harshad Patwardhan , Pratik Dharmshi</t>
  </si>
  <si>
    <t>31,14</t>
  </si>
  <si>
    <t>UNION_CONSUMPTION</t>
  </si>
  <si>
    <t>UNION_INNOVATION_OPPORTUNITIES</t>
  </si>
  <si>
    <t>UNION_AGGRESSIVE_HYBRID</t>
  </si>
  <si>
    <t>Sanjay Bembalkar,Vinod Malviya, Parijat Agrawal</t>
  </si>
  <si>
    <t>17,16, 29</t>
  </si>
  <si>
    <t>UNION_BALANCED_ADVANTAGE</t>
  </si>
  <si>
    <t>Gaurav Chopra , Sanjay Bembalkar, Parijat Agrawal , Vishal Thakker</t>
  </si>
  <si>
    <t>10,17,29,14</t>
  </si>
  <si>
    <t>UNION_EQUITY_SAVINGS</t>
  </si>
  <si>
    <t>Gaurav Chopra , Sanjay Bembalkar, Parijat Agrawal</t>
  </si>
  <si>
    <t>10,17,29</t>
  </si>
  <si>
    <t>UNION_MULTI_ASSET</t>
  </si>
  <si>
    <t>Sanjay Bembalkar,Vinod Malviya, Anindya Sarkar</t>
  </si>
  <si>
    <t>17,16, 22</t>
  </si>
  <si>
    <t>WhiteOak Capital Mutual Fund</t>
  </si>
  <si>
    <t>WHITEOAK_ELSS</t>
  </si>
  <si>
    <t>Ramesh Mantri,Piyush Baranwal,Trupti Agrawal,Dheeresh Pathak,Ashish Agrawal</t>
  </si>
  <si>
    <t>20,17,15,16,17</t>
  </si>
  <si>
    <t>WHITEOAK_FLEXI_CAP</t>
  </si>
  <si>
    <t>Ramesh Mantri,Trupti Agrawal,Piyush Baranwal,Dheeresh Pathak,Ashish Agrawal</t>
  </si>
  <si>
    <t>20,15,17,16,17</t>
  </si>
  <si>
    <t>WHITEOAK_LARGE_CAP</t>
  </si>
  <si>
    <t>WHITEOAK_LARGE_MID_CAP</t>
  </si>
  <si>
    <t>WHITEOAK_MID_CAP</t>
  </si>
  <si>
    <t>WHITEOAK_MULTI_CAP</t>
  </si>
  <si>
    <t>WHITEOAK_QUALITY</t>
  </si>
  <si>
    <t>WHITEOAK_SPECIAL_OPPORTUNITIES</t>
  </si>
  <si>
    <t>WHITEOAK_BANKING_FINANCIAL</t>
  </si>
  <si>
    <t>WHITEOAK_DIGITAL_BHARAT</t>
  </si>
  <si>
    <t>WHITEOAK_PHARMA_HEALTHCARE</t>
  </si>
  <si>
    <t>WHITEOAK_ESG</t>
  </si>
  <si>
    <t>WHITEOAK_BALANCED_ADVANTAGE</t>
  </si>
  <si>
    <t>WHITEOAK_BALANCED_HYBRID</t>
  </si>
  <si>
    <t>WHITEOAK_EQUITY_SAVINGS</t>
  </si>
  <si>
    <t>Ramesh Mantri,Trupti Agrawal,Piyush Baranwal,Dheeresh Pathak,Ashish Agrawal,Mr. Bhavin Patadia</t>
  </si>
  <si>
    <t>20,15,17,16,17,16</t>
  </si>
  <si>
    <t>WHITEOAK_MULTI_ASSET</t>
  </si>
  <si>
    <t>WHITEOAK_ARBITRGAE</t>
  </si>
  <si>
    <t>Ramesh Mantri,Piyush Baranwal,Dheeresh Pathak,Ashish Agrawal</t>
  </si>
  <si>
    <t>20,17,16,17</t>
  </si>
  <si>
    <t>Bandhan Mutual Fund</t>
  </si>
  <si>
    <t>BANDHAN_ELSS</t>
  </si>
  <si>
    <t>Daylynn Pinto</t>
  </si>
  <si>
    <t>BANDHAN_FLEXI_CAP</t>
  </si>
  <si>
    <t>Mr. Manish Gunwani &amp; Mr. Viraj Kulkarni</t>
  </si>
  <si>
    <t>22,7</t>
  </si>
  <si>
    <t>BANDHAN_FOCUSED</t>
  </si>
  <si>
    <t>Manish Gunwani,Rahul Agarwal,Mr. Kirthi Jain</t>
  </si>
  <si>
    <t>22,10,9</t>
  </si>
  <si>
    <t>BANDHAN_LARGE_CAP</t>
  </si>
  <si>
    <t>Manish Gunwani,Prateek Poddar</t>
  </si>
  <si>
    <t>22,12</t>
  </si>
  <si>
    <t>BANDHAN_LARGE_MID_CAP</t>
  </si>
  <si>
    <t>Mr. Manish Gunwani , Rahul Agarwal</t>
  </si>
  <si>
    <t>22,</t>
  </si>
  <si>
    <t>BANDHAN_MID_CAP</t>
  </si>
  <si>
    <t>Ms. Ritu Modi , Mr. Harshal Joshi</t>
  </si>
  <si>
    <t>12,13</t>
  </si>
  <si>
    <t>BANDHAN_MULTI_CAP</t>
  </si>
  <si>
    <t>Daylynn Pinto,Harshal Joshi</t>
  </si>
  <si>
    <t>16,13</t>
  </si>
  <si>
    <t>BANDHAN_SMALL_CAP</t>
  </si>
  <si>
    <t>Manish Gunwani,Kirthi Jain</t>
  </si>
  <si>
    <t>22,9</t>
  </si>
  <si>
    <t>BANDHAN_VALUE</t>
  </si>
  <si>
    <t>BANDHAN_FINANCIAL_SERVICES</t>
  </si>
  <si>
    <t>Ms. Ritu Modi, Mr. Harshvardhan Agarwal, Mr. Harshal Joshi</t>
  </si>
  <si>
    <t>12,,13</t>
  </si>
  <si>
    <t>BANDHAN_INFRASTRUCTURE</t>
  </si>
  <si>
    <t>Mr. Vishal Biraia</t>
  </si>
  <si>
    <t>BANDHAN_HEALTHCARE</t>
  </si>
  <si>
    <t>BANDHAN_BUSINESS_CYCLE</t>
  </si>
  <si>
    <t>Mr. Vishal Biraia, Ms. Ritika Behera (equity portion), Mr. Harshal Joshi (debt portion).</t>
  </si>
  <si>
    <t>11 , 13 , 13</t>
  </si>
  <si>
    <t>BANDHAN_TRANSPORT_LOGISTICS</t>
  </si>
  <si>
    <t>BANDHAN_INNOVATION</t>
  </si>
  <si>
    <t>22, 12 , 10</t>
  </si>
  <si>
    <t>BANDHAN_BALANCED_ADVANTAGE</t>
  </si>
  <si>
    <t>Mr. Manish Gunwani , Mr. Vishal Biraia, Mr. Brijesh Shah</t>
  </si>
  <si>
    <t>22, 11 , 10</t>
  </si>
  <si>
    <t>BANDHAN_AGGRESSIVE_HYBRID</t>
  </si>
  <si>
    <t>Mr. Prateek Poddar, Mr. Harshal Joshi.</t>
  </si>
  <si>
    <t>BANDHAN_CONSERVATIVE_HYBRID</t>
  </si>
  <si>
    <t>BANDHAN_EQUITY_SAVINGS</t>
  </si>
  <si>
    <t>Mr. Kapil Kankonkar, Mr. Harshal Joshi , Mr. Viraj Kulkarni</t>
  </si>
  <si>
    <t>19,13,7</t>
  </si>
  <si>
    <t>BANDHAN_MULTI_ASSET</t>
  </si>
  <si>
    <t>Mr. Daylynn Pinto, Mr. Viraj Kulkarni, and Mr. Kapil Kankonkar, Mr. Gautam Kaul</t>
  </si>
  <si>
    <t>16,16,19,7</t>
  </si>
  <si>
    <t>BANDHAN_ARBITRAGE</t>
  </si>
  <si>
    <t>Mr. Kapil Kankonkar, Mr. Harshal Joshi</t>
  </si>
  <si>
    <t>19,13</t>
  </si>
  <si>
    <t>UTI Mutual Fund</t>
  </si>
  <si>
    <t>UTI_ELSS</t>
  </si>
  <si>
    <t>Mr. Amit Premchandani</t>
  </si>
  <si>
    <t>UTI_FLEXI_CAP</t>
  </si>
  <si>
    <t>Mr. Ajay Tyagi , Mr. Ravi Gupta, Mr. Kamal Gada</t>
  </si>
  <si>
    <t>26,17 , 16</t>
  </si>
  <si>
    <t>UTI_FOCUSED</t>
  </si>
  <si>
    <t>Mr. Vishal Chopda</t>
  </si>
  <si>
    <t>UTI_LARGE_CAP</t>
  </si>
  <si>
    <t>Mr. Karthikraj Lakshmanan</t>
  </si>
  <si>
    <t>UTI_LARGE_MID_CAP</t>
  </si>
  <si>
    <t>Mr. V Srivatsa</t>
  </si>
  <si>
    <t>UTI_MID_CAP</t>
  </si>
  <si>
    <t>UTI_MULTI_CAP</t>
  </si>
  <si>
    <t>UTI_SMALL_CAP</t>
  </si>
  <si>
    <t>Mr. Nitin Jain</t>
  </si>
  <si>
    <t>UTI_VALUE</t>
  </si>
  <si>
    <t>UTI_BANKING_FINANCIAL_SERVICES</t>
  </si>
  <si>
    <t>UTI_TRANSPORT_LOGISTICS</t>
  </si>
  <si>
    <t>Mr. Sachin Trivedi,</t>
  </si>
  <si>
    <t>UTI_BALANCED_ADVANTAGE</t>
  </si>
  <si>
    <t>Mr. Sachin Trivedi , Mr. Anurag Mittal</t>
  </si>
  <si>
    <t>16, 20</t>
  </si>
  <si>
    <t>UTI_MASTER_EQUITY</t>
  </si>
  <si>
    <t>UTI_MNC</t>
  </si>
  <si>
    <t>UTI_CHILDRENS_EQUITY</t>
  </si>
  <si>
    <t xml:space="preserve">Mr. Sachin Trivedi , Mr. Sunil Madhukar Patil, Mr. Anurag Mittal </t>
  </si>
  <si>
    <t>16,28, 20</t>
  </si>
  <si>
    <t>UTI_INFRASTRUCTURE</t>
  </si>
  <si>
    <t>Mr Sachin Trivedi , Mr. Deepesh Agarwal</t>
  </si>
  <si>
    <t>16, 11</t>
  </si>
  <si>
    <t>UTI_HEALTHCARE</t>
  </si>
  <si>
    <t>Mr. Kamal Gada</t>
  </si>
  <si>
    <t>UTI_EQUITY_HYBRID</t>
  </si>
  <si>
    <t>UTI_CONSERVATIVE_HYBRID</t>
  </si>
  <si>
    <t>Mr. Amit Premchandani , Mr. Jaydeep Bhowal</t>
  </si>
  <si>
    <t>18,10</t>
  </si>
  <si>
    <t>UTI_AGGRESIVE_HYBRID</t>
  </si>
  <si>
    <t>Mr. V Srivatsa , Mr. Jaydeep Bhowal</t>
  </si>
  <si>
    <t>UTI_MULTI_ASSET</t>
  </si>
  <si>
    <t>Mr. Jaydeep Bhowal ,Mr. Sharwan Kumar</t>
  </si>
  <si>
    <t>Shriram Mutual Fund</t>
  </si>
  <si>
    <t>SHRIRAM_FLEXI_CAP</t>
  </si>
  <si>
    <t>Mr. Deepak Ramaraju, Mr. Prateek Nigudkar</t>
  </si>
  <si>
    <t>21, 13</t>
  </si>
  <si>
    <t>SHRIRAM_ELSS</t>
  </si>
  <si>
    <t>SHRIRAM_MULTI_SECTOR_ROTATION</t>
  </si>
  <si>
    <t>SHRIRAM_AGGRESSIVE_HYBRID</t>
  </si>
  <si>
    <t>Mr. Deepak Ramaraju, Mr. Prateek Nigudkar , Mr. Amit Modani, Mr. Sudip Suresh More</t>
  </si>
  <si>
    <t>21, 13 , 13 , 19</t>
  </si>
  <si>
    <t>SHRIRAM_BALANCED_ADVANTAGE</t>
  </si>
  <si>
    <t>SHRIRAM_MULTI_ASSET</t>
  </si>
  <si>
    <t>HSBC Mutual Fund</t>
  </si>
  <si>
    <t>HSBC_LARGE_CAP</t>
  </si>
  <si>
    <t>Neelotpal Sahai , Mayank Chaturvedi</t>
  </si>
  <si>
    <t>30 ,5</t>
  </si>
  <si>
    <t>HSBC_LARGE_MID_CAP</t>
  </si>
  <si>
    <t>Cheenu Gupta , Mayank Chaturvedi</t>
  </si>
  <si>
    <t>18, 5</t>
  </si>
  <si>
    <t>HSBC_MID_CAP</t>
  </si>
  <si>
    <t>HSBC_SMALL_CAP</t>
  </si>
  <si>
    <t>Venugopal Manghat, Mayank Chaturvedi</t>
  </si>
  <si>
    <t>32,5</t>
  </si>
  <si>
    <t>HSBC_FLEXI_CAP</t>
  </si>
  <si>
    <t>Abhishek Gupta , Mayank Chaturvedi</t>
  </si>
  <si>
    <t>20,5</t>
  </si>
  <si>
    <t>HSBC_MULTI_CAP</t>
  </si>
  <si>
    <t>Venugopal Manghat, Mayank Chaturvedi, Mahesh Chhabria</t>
  </si>
  <si>
    <t>32,5, 14</t>
  </si>
  <si>
    <t>HSBC_VALUE</t>
  </si>
  <si>
    <t>HSBC_FOCUSED</t>
  </si>
  <si>
    <t>Neelotpal Saha, Sonal Gupta, Mayank Chaturvedi</t>
  </si>
  <si>
    <t>30,20,5</t>
  </si>
  <si>
    <t>HSBC_ELSS</t>
  </si>
  <si>
    <t>20, 5</t>
  </si>
  <si>
    <t>HSBC_TAX_SAVER_EQUITY</t>
  </si>
  <si>
    <t>Gautum bhupal , Mayank Chaturvedi</t>
  </si>
  <si>
    <t>21, 5</t>
  </si>
  <si>
    <t>HSBC_INFRASTRUCTURE</t>
  </si>
  <si>
    <t xml:space="preserve">Venugopal Manghat , Gautam Bhupal , Mayank Chaturvedi </t>
  </si>
  <si>
    <t>32 , 21, 5</t>
  </si>
  <si>
    <t>HSBC_FINANCIAL_SERVICES</t>
  </si>
  <si>
    <t>HSBC_CONSUMPTION</t>
  </si>
  <si>
    <t xml:space="preserve">Anish Goenka, Mayank Chaturvedi </t>
  </si>
  <si>
    <t>13, 5</t>
  </si>
  <si>
    <t>HSBC_BUSINESS_CYCLES</t>
  </si>
  <si>
    <t>HSBC_AGGRESSIVE_HYBRID</t>
  </si>
  <si>
    <t>Gautam Bhupal , Shriram Ramanathan , Mohd. Asif Rizwi , Mayank Chaturvedi</t>
  </si>
  <si>
    <t>21,25,16,5</t>
  </si>
  <si>
    <t>HSBC_BALANCED_ADVANTAGE</t>
  </si>
  <si>
    <t xml:space="preserve">Neelotpal Sahai, Prakriti Banka, Mahesh Chhabria, Mohd. Asif Rizwi, Praveen Ayathan, Mayank Chaturvedi </t>
  </si>
  <si>
    <t>31, 15, 15, 16, 33, 5</t>
  </si>
  <si>
    <t>HSBC_CONSERVATIVE_HYBRID</t>
  </si>
  <si>
    <t xml:space="preserve">Mahesh Chhabria , Mohd. Asif Rizwi, Cheenu Gupta , Abhishek Gupta, Mayank Chaturvedi </t>
  </si>
  <si>
    <t>15, 16, 19, 20, 5</t>
  </si>
  <si>
    <t>HSBC_EQUITY_SAVINGS</t>
  </si>
  <si>
    <t xml:space="preserve">Cheenu Gupta, Mahesh Chhabria , Mohd. Asif Rizwi, Praveen Ayathan, Mayank Chaturvedi </t>
  </si>
  <si>
    <t>19,15, 16, 33, 5</t>
  </si>
  <si>
    <t>HSBC_MULTI_ASSET</t>
  </si>
  <si>
    <t>Cheenu Gupta , Mahesh Chhabria , Mohd. Asif Rizwi, Dipan Parikh , Mayank Chaturvedi</t>
  </si>
  <si>
    <t>19,15,16,29,5</t>
  </si>
  <si>
    <t>asset_class</t>
  </si>
  <si>
    <t>category</t>
  </si>
  <si>
    <t>Equity</t>
  </si>
  <si>
    <t>Large Cap</t>
  </si>
  <si>
    <t>Large &amp; Mid Cap</t>
  </si>
  <si>
    <t>Mid Cap</t>
  </si>
  <si>
    <t>Small Cap</t>
  </si>
  <si>
    <t>Flexi Cap</t>
  </si>
  <si>
    <t>Multi Cap</t>
  </si>
  <si>
    <t>Value</t>
  </si>
  <si>
    <t>ELSS</t>
  </si>
  <si>
    <t>Focused</t>
  </si>
  <si>
    <t>Banking &amp; Financial Services</t>
  </si>
  <si>
    <t>Manufacturing Equity</t>
  </si>
  <si>
    <t>PSU Equity</t>
  </si>
  <si>
    <t>Pharma &amp; Healthcare</t>
  </si>
  <si>
    <t>Digital India</t>
  </si>
  <si>
    <t>Conglomerate</t>
  </si>
  <si>
    <t>Business Cycle</t>
  </si>
  <si>
    <t>Infrastructure</t>
  </si>
  <si>
    <t>Transportation &amp; Logistics</t>
  </si>
  <si>
    <t>MNC</t>
  </si>
  <si>
    <t>Quant</t>
  </si>
  <si>
    <t>Hybrid</t>
  </si>
  <si>
    <t>Balanced Advantage</t>
  </si>
  <si>
    <t>Multi Asset Allocation</t>
  </si>
  <si>
    <t>Equity Hybrid 95</t>
  </si>
  <si>
    <t>Equity Savings</t>
  </si>
  <si>
    <t>Regular Savings</t>
  </si>
  <si>
    <t>Balanced Hybrid</t>
  </si>
  <si>
    <t>Thematic</t>
  </si>
  <si>
    <t>ESG</t>
  </si>
  <si>
    <t>Manufacturing</t>
  </si>
  <si>
    <t>Consumption</t>
  </si>
  <si>
    <t>Momentum</t>
  </si>
  <si>
    <t>Services Opportunities</t>
  </si>
  <si>
    <t>Conservative Hybrid</t>
  </si>
  <si>
    <t>Aggressive Hybrid</t>
  </si>
  <si>
    <t>Children's Fund</t>
  </si>
  <si>
    <t>Arbitrage</t>
  </si>
  <si>
    <t>Thematic - Consumption</t>
  </si>
  <si>
    <t>Sectoral - Banking &amp; Financial Services</t>
  </si>
  <si>
    <t>Thematic - Healthcare</t>
  </si>
  <si>
    <t>equity</t>
  </si>
  <si>
    <t>multi cap</t>
  </si>
  <si>
    <t>Manufacturing &amp; Infrastructure</t>
  </si>
  <si>
    <t>Dividend Yield</t>
  </si>
  <si>
    <t>Thematic - Innovation</t>
  </si>
  <si>
    <t>Thematic - Energy</t>
  </si>
  <si>
    <t>Thematic - Business Conglomerates</t>
  </si>
  <si>
    <t>Thematic - Business Cycle</t>
  </si>
  <si>
    <t>Retirement</t>
  </si>
  <si>
    <t>Thematic - Infrastructure</t>
  </si>
  <si>
    <t>Thematic - Manufacturing</t>
  </si>
  <si>
    <t>Healthcare</t>
  </si>
  <si>
    <t>Thematic - Natural Resources &amp; New Energy</t>
  </si>
  <si>
    <t>Dynamic Asset Allocation</t>
  </si>
  <si>
    <t>Thematic - Technology</t>
  </si>
  <si>
    <t>Thematic - IPO</t>
  </si>
  <si>
    <t>Thematic / Factor</t>
  </si>
  <si>
    <t>Thematic / Opportunities</t>
  </si>
  <si>
    <t>Sectoral / Technology</t>
  </si>
  <si>
    <t>Thematic/Infrastructure</t>
  </si>
  <si>
    <t>Asian Equity</t>
  </si>
  <si>
    <t>Defence</t>
  </si>
  <si>
    <t>Technology</t>
  </si>
  <si>
    <t>Non-Cyclical Consumer</t>
  </si>
  <si>
    <t>Innovation</t>
  </si>
  <si>
    <t>Housing Opportunities</t>
  </si>
  <si>
    <t>Hybrid Equity</t>
  </si>
  <si>
    <t>Retirement Savings Equity</t>
  </si>
  <si>
    <t>Retirement Savings Hybrid Equity</t>
  </si>
  <si>
    <t>Dynamic Asset Allocation FoF</t>
  </si>
  <si>
    <t>Equity Minimum Variance</t>
  </si>
  <si>
    <t>Active Momentum</t>
  </si>
  <si>
    <t>Quality</t>
  </si>
  <si>
    <t>FMCG</t>
  </si>
  <si>
    <t>Bharat Consumption</t>
  </si>
  <si>
    <t>Rural Opportunities</t>
  </si>
  <si>
    <t>India Opportunities</t>
  </si>
  <si>
    <t>Energy Opportunities</t>
  </si>
  <si>
    <t>ESG Exclusionary Strategy</t>
  </si>
  <si>
    <t>Thematic â€“ Consumption</t>
  </si>
  <si>
    <t>Sectoral â€“ Financial Services</t>
  </si>
  <si>
    <t>Sectoral â€“ Infrastructure</t>
  </si>
  <si>
    <t>Thematic â€“ Manufacturing</t>
  </si>
  <si>
    <t>Sectoral â€“ PSU</t>
  </si>
  <si>
    <t>Sectoral â€“ Technology</t>
  </si>
  <si>
    <t>Thematic â€“ Business Cycle</t>
  </si>
  <si>
    <t>Thematic â€“ ESG</t>
  </si>
  <si>
    <t>Contra</t>
  </si>
  <si>
    <t>Sectoral â€“ Banking &amp; Financial Services</t>
  </si>
  <si>
    <t>Sectoral â€“ Pharma &amp; Healthcare</t>
  </si>
  <si>
    <t>Special Opportunities</t>
  </si>
  <si>
    <t>Focused / Opportunities</t>
  </si>
  <si>
    <t>KOTAK_VALUE</t>
  </si>
  <si>
    <t>Sectoral / Thematic</t>
  </si>
  <si>
    <t>Sectoral - Pharma</t>
  </si>
  <si>
    <t>Sectoral - Power &amp; Infrastructure</t>
  </si>
  <si>
    <t>Thematic - Quant</t>
  </si>
  <si>
    <t>International - Japan</t>
  </si>
  <si>
    <t>International - USA</t>
  </si>
  <si>
    <t>International - Taiwan</t>
  </si>
  <si>
    <t>Thematic - Momentum</t>
  </si>
  <si>
    <t>Thematic - MNC</t>
  </si>
  <si>
    <t>Hybrid - Aggressive</t>
  </si>
  <si>
    <t>Hybrid - Conservative</t>
  </si>
  <si>
    <t>Hybrid - Balanced Advantage</t>
  </si>
  <si>
    <t>Hybrid - Equity Savings</t>
  </si>
  <si>
    <t>Hybrid - Multi Asset Allocation</t>
  </si>
  <si>
    <t>Debt</t>
  </si>
  <si>
    <t>Liquid</t>
  </si>
  <si>
    <t>Conservative Hybrid Fund</t>
  </si>
  <si>
    <t>Healthcare Fund</t>
  </si>
  <si>
    <t>ELSS Tax Saver</t>
  </si>
  <si>
    <t>Aggressive Hybrid Equity</t>
  </si>
  <si>
    <t>Arbitrage Fund</t>
  </si>
  <si>
    <t>Focused Fund</t>
  </si>
  <si>
    <t>Value Fund</t>
  </si>
  <si>
    <t>PSU Fund</t>
  </si>
  <si>
    <t>Technology Fund</t>
  </si>
  <si>
    <t>Infrastructure Fund</t>
  </si>
  <si>
    <t>Manufacturing Fund</t>
  </si>
  <si>
    <t>Consumption Fund</t>
  </si>
  <si>
    <t>Commodities Fund</t>
  </si>
  <si>
    <t>Momentum Fund</t>
  </si>
  <si>
    <t>Quantamental Fund</t>
  </si>
  <si>
    <t>ESG Integration Strategy</t>
  </si>
  <si>
    <t>Ethical</t>
  </si>
  <si>
    <t>Minimum Variance</t>
  </si>
  <si>
    <t>PSU</t>
  </si>
  <si>
    <t>Banking &amp; PSU</t>
  </si>
  <si>
    <t>Energy</t>
  </si>
  <si>
    <t>Automotive</t>
  </si>
  <si>
    <t>Innovative Opportunities</t>
  </si>
  <si>
    <t>Retirement Aggressive</t>
  </si>
  <si>
    <t>Retirement Aggressive Hybrid</t>
  </si>
  <si>
    <t>Retirement Conservative Hybrid</t>
  </si>
  <si>
    <t>Retirement Conservative</t>
  </si>
  <si>
    <t>India Consumer</t>
  </si>
  <si>
    <t>India Innovation</t>
  </si>
  <si>
    <t>Resources &amp; Energy</t>
  </si>
  <si>
    <t>Retirement Moderate</t>
  </si>
  <si>
    <t>Retirement Progressive</t>
  </si>
  <si>
    <t>Ethical Fund</t>
  </si>
  <si>
    <t>Quality Equity</t>
  </si>
  <si>
    <t>Digital Bharat</t>
  </si>
  <si>
    <t>Financial Services</t>
  </si>
  <si>
    <t>Sectoral â€“ Transportation &amp; Logistics</t>
  </si>
  <si>
    <t>Multi Cap (Legacy)</t>
  </si>
  <si>
    <t>Thematic â€“ MNC</t>
  </si>
  <si>
    <t>Thematic â€“ Childrenâ€™s Equity</t>
  </si>
  <si>
    <t>Sectoral â€“ Healthcare</t>
  </si>
  <si>
    <t>Thematic - Multi Sector</t>
  </si>
  <si>
    <t>Thematic â€“ Infrastructure</t>
  </si>
  <si>
    <t>Thematic â€“ Business Cycles</t>
  </si>
  <si>
    <t>Sectoral</t>
  </si>
  <si>
    <t>MIRAE_EQUITY_SAVINGS</t>
  </si>
  <si>
    <t>Multi Asset</t>
  </si>
  <si>
    <t>Business Conglomerates</t>
  </si>
  <si>
    <t>New resouces and New energy</t>
  </si>
  <si>
    <t>Ipo</t>
  </si>
  <si>
    <t>Oppurtunities</t>
  </si>
  <si>
    <t>Manufactuing</t>
  </si>
  <si>
    <t>Services</t>
  </si>
  <si>
    <t>Innovation Oppurtunies</t>
  </si>
  <si>
    <t>Commodities</t>
  </si>
  <si>
    <t>Momemntum</t>
  </si>
  <si>
    <t>Master_Equity</t>
  </si>
  <si>
    <t>Children's Equity</t>
  </si>
  <si>
    <t>Tax Saver</t>
  </si>
  <si>
    <t>Mr. Karthik Kumar</t>
  </si>
  <si>
    <t>Mr. Devang Shah ,Mr. Sachin Jain ,Mr. Jayesh Sundar</t>
  </si>
  <si>
    <t>Mr. Ashish Naik ,Mr. Devang Shah, Mr. Hardik Shah ,Mr. Aditya Pagaria, Mr. Pratik Tibrewal ,Ms. Krishn</t>
  </si>
  <si>
    <t>M. Sumit Bhatnagar (Equity &amp; Arbitrage) , Mr. Pratik Shroff (Debt)</t>
  </si>
  <si>
    <t>Mr. Karan Doshi, Mr. Pratik Shroff (Debt) ,Mr. Sumit Bhatnagar (Equity)</t>
  </si>
  <si>
    <t>Fund_Manager</t>
  </si>
  <si>
    <t>Fund_Manager_experience</t>
  </si>
  <si>
    <t>Notes</t>
  </si>
  <si>
    <t>Harish Krishnan , Kunal Sangoi</t>
  </si>
  <si>
    <t>Mr. Mahesh Patil ,Mr. Jonas Bhutta</t>
  </si>
  <si>
    <t>Mohit Sharma, Mr. Lovelish Solanki ,Mr. Harish Krishnan</t>
  </si>
  <si>
    <t>Mr. Dhaval Gala, Mr. Bhupesh Bameta ,Mr. Sachin Wankhede</t>
  </si>
  <si>
    <t>mr. Harshil Suvarnkar ,Mr. Chanchal Khandelwal</t>
  </si>
  <si>
    <t>Mr. Nitin Arora, Ms. Krishnaa N</t>
  </si>
  <si>
    <t>Mr. Karthik Kumar , Krishna S</t>
  </si>
  <si>
    <t>Mr. Mayank Hyanki, Mr. Devang Shah, Mr. Hardik Shah ,Ms. Krishnaa N</t>
  </si>
  <si>
    <t>Mr. Jayesh Sundar, Mr. Devang Shah, Mr. Aditya Pagaria, Ms. Krishnaa N</t>
  </si>
  <si>
    <t>Mr. Jayesh Sundar, Mr. Devang Shah ,Mr. Hardik Shah ,Ms. Krishnaa N</t>
  </si>
  <si>
    <t>Mr. Jayesh Sundar ,Mr. Devang Shah, Mr. Hardik Shah</t>
  </si>
  <si>
    <t>Mr. Karthik Kumar, Mr. Devang Shah, Mr. Sachin Jain</t>
  </si>
  <si>
    <t>Mr. Sorbh Gupta (Equity Portion), Mr. Sayan Das Sharma (Equity Portion), Mr. Siddharth Chaudhary (Debt Portion)</t>
  </si>
  <si>
    <t>Mr. Sorbh Gupta (Equity Portion) ,Mr. Anup Kulkarni (Equity Portion), Mr. Siddharth Chaudhary (Debt Portion) ,Mr. Vinay Bafna (Commodity investments portion)</t>
  </si>
  <si>
    <t>Venkatesh Sanjeevi, R. Janakiraman ,Sandeep Manam</t>
  </si>
  <si>
    <t>Amey Sathe , ,Krishna Cheemalapati , deepak Gupta</t>
  </si>
  <si>
    <t>Mr. Atul Bhole , Mr. Abhishek Bisen</t>
  </si>
  <si>
    <t>Mr. Devender Singhal, Mr. Abhishek Bisen , Mr. Hiten Shah</t>
  </si>
  <si>
    <t>Mr. Harshad Borawake (Equity Portion) ,Mr. Siddharth Srivastava (Dedicated Fund Manager for Overseas Investments) ,Mr. Ritesh Patel (Dedicated Fund Manager for Commodity Investments) Mr. Mahendra Jajoo (Debt Portion)</t>
  </si>
  <si>
    <t>Mr. Harshad Borawake (Equity portion), Mr. Mahendra Jajoo (Debt portion)</t>
  </si>
  <si>
    <t>Mr. Dinesh Balachandran (Equity Portfolio) ,Ms. Mansi Sajeja (Debt Portion) , Ms. Vandna Soni (for Commodities Portion)</t>
  </si>
  <si>
    <t>Ms. Nidhi Chawla (Equity Portion) ,Mr. Mohit jain (Debt Portion) ,Mr. Neeraj Kumar (Arbitrage Portion), Ms. Vandna Soni (Commodities Portion)</t>
  </si>
  <si>
    <t>Mr. Dinesh Balachandran -(Equity Portion) ,Mr. Anup Upadhyay (Co- Fund Manager Equity Portion), Ms. Mansi Sajeja -(Debt Portion) ,Mr. Rajeev Radhakrishnan -(Co Fund Manager Debt Portion)</t>
  </si>
  <si>
    <t>Mr. Rohit Shimpi (Equity Portion) ,Mr. Ardhendu Bhattacharya (Debt portion)</t>
  </si>
  <si>
    <t>Mr. Rohit Shimpi (Equity Portion), Mr. Ardhendu Bhattacharya (Debt portion)</t>
  </si>
  <si>
    <t>Ratish B Varier, Dwijendra Srivastava ,Mr. Sandeep Agarwal (Fixed Income)</t>
  </si>
  <si>
    <t>Rohit Seksaria ,Clyton Richard Fernandes (Equity), Dwijendra Srivastava ,Sandeep Agarwal (Fixed Income), Arjun Nagarajan (Gold ETFs)</t>
  </si>
  <si>
    <t>Mr. Viraj Kulkarni (equity portion) ,Mr. Brijesh Shah (debt portion)</t>
  </si>
  <si>
    <t>Mr. Manish Gunwani , Mr. Prateek Poddar, Mr. Brijesh Shah</t>
  </si>
  <si>
    <t>Mr. Viraj Kulkarni , Mr. Harshal Joshi.</t>
  </si>
  <si>
    <t>Multi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</si>
</sst>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\,\ d"/>
  </numFmts>
  <fonts count="7">
    <font>
      <sz val="10"/>
      <color rgb="FF000000"/>
      <name val="Arial"/>
      <scheme val="minor"/>
    </font>
    <font>
      <sz val="10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&quot;\0022Aptos Narrow\0022&quot;"/>
    </font>
    <font>
      <sz val="11"/>
      <color rgb="FF000000"/>
      <name val="&quot;Aptos Narrow&quot;"/>
    </font>
    <font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FDE49B"/>
        <bgColor rgb="FFFDE49B"/>
      </patternFill>
    </fill>
    <fill>
      <patternFill patternType="solid">
        <fgColor rgb="FFF28E86"/>
        <bgColor rgb="FFF28E86"/>
      </patternFill>
    </fill>
    <fill>
      <patternFill patternType="solid">
        <fgColor theme="0"/>
        <bgColor rgb="FF6D9EE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/>
    <xf numFmtId="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3" fillId="0" borderId="0" xfId="0" applyFont="1"/>
    <xf numFmtId="0" fontId="1" fillId="3" borderId="0" xfId="0" applyFont="1" applyFill="1"/>
    <xf numFmtId="0" fontId="1" fillId="4" borderId="0" xfId="0" applyFont="1" applyFill="1"/>
    <xf numFmtId="4" fontId="3" fillId="0" borderId="0" xfId="0" applyNumberFormat="1" applyFont="1"/>
    <xf numFmtId="0" fontId="1" fillId="5" borderId="0" xfId="0" applyFont="1" applyFill="1"/>
    <xf numFmtId="3" fontId="1" fillId="0" borderId="0" xfId="0" applyNumberFormat="1" applyFont="1" applyAlignment="1">
      <alignment horizontal="right"/>
    </xf>
    <xf numFmtId="0" fontId="1" fillId="2" borderId="0" xfId="0" applyFont="1" applyFill="1"/>
    <xf numFmtId="0" fontId="2" fillId="2" borderId="0" xfId="0" applyFont="1" applyFill="1" applyAlignment="1">
      <alignment horizontal="right"/>
    </xf>
    <xf numFmtId="164" fontId="1" fillId="6" borderId="0" xfId="0" applyNumberFormat="1" applyFont="1" applyFill="1"/>
    <xf numFmtId="0" fontId="1" fillId="6" borderId="0" xfId="0" applyFont="1" applyFill="1"/>
    <xf numFmtId="164" fontId="1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165" fontId="1" fillId="0" borderId="0" xfId="0" applyNumberFormat="1" applyFont="1"/>
    <xf numFmtId="0" fontId="4" fillId="6" borderId="0" xfId="0" applyFont="1" applyFill="1"/>
    <xf numFmtId="0" fontId="1" fillId="6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right"/>
    </xf>
    <xf numFmtId="0" fontId="3" fillId="2" borderId="0" xfId="0" applyFont="1" applyFill="1"/>
    <xf numFmtId="4" fontId="2" fillId="2" borderId="0" xfId="0" applyNumberFormat="1" applyFont="1" applyFill="1" applyAlignment="1">
      <alignment horizontal="right"/>
    </xf>
    <xf numFmtId="4" fontId="1" fillId="0" borderId="0" xfId="0" applyNumberFormat="1" applyFont="1"/>
    <xf numFmtId="0" fontId="4" fillId="5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165" fontId="3" fillId="0" borderId="0" xfId="0" applyNumberFormat="1" applyFont="1"/>
    <xf numFmtId="14" fontId="0" fillId="0" borderId="0" xfId="0" applyNumberFormat="1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164" fontId="1" fillId="7" borderId="1" xfId="0" applyNumberFormat="1" applyFont="1" applyFill="1" applyBorder="1" applyAlignment="1">
      <alignment horizontal="right"/>
    </xf>
    <xf numFmtId="0" fontId="1" fillId="7" borderId="1" xfId="0" applyFont="1" applyFill="1" applyBorder="1"/>
    <xf numFmtId="0" fontId="1" fillId="8" borderId="1" xfId="0" applyFont="1" applyFill="1" applyBorder="1"/>
    <xf numFmtId="0" fontId="1" fillId="7" borderId="1" xfId="0" applyFont="1" applyFill="1" applyBorder="1" applyAlignment="1">
      <alignment horizontal="right"/>
    </xf>
    <xf numFmtId="0" fontId="3" fillId="7" borderId="1" xfId="0" applyFont="1" applyFill="1" applyBorder="1"/>
    <xf numFmtId="0" fontId="0" fillId="8" borderId="1" xfId="0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1" fillId="0" borderId="1" xfId="0" applyNumberFormat="1" applyFont="1" applyBorder="1" applyAlignment="1">
      <alignment horizontal="right"/>
    </xf>
    <xf numFmtId="0" fontId="4" fillId="2" borderId="1" xfId="0" applyFont="1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682"/>
  <sheetViews>
    <sheetView tabSelected="1" workbookViewId="0">
      <pane xSplit="2" ySplit="1" topLeftCell="C525" activePane="bottomRight" state="frozen"/>
      <selection pane="topRight" activeCell="C1" sqref="C1"/>
      <selection pane="bottomLeft" activeCell="A2" sqref="A2"/>
      <selection pane="bottomRight" activeCell="C528" sqref="C528"/>
    </sheetView>
  </sheetViews>
  <sheetFormatPr defaultColWidth="12.6328125" defaultRowHeight="15.75" customHeight="1"/>
  <cols>
    <col min="1" max="1" width="14.26953125" customWidth="1"/>
    <col min="2" max="2" width="15.6328125" customWidth="1"/>
    <col min="3" max="5" width="40.453125" customWidth="1"/>
    <col min="6" max="6" width="17.08984375" customWidth="1"/>
    <col min="8" max="8" width="26.26953125" customWidth="1"/>
    <col min="9" max="9" width="29.90625" customWidth="1"/>
    <col min="10" max="10" width="24" customWidth="1"/>
  </cols>
  <sheetData>
    <row r="1" spans="1:11" ht="15.75" customHeight="1">
      <c r="A1" s="1" t="s">
        <v>0</v>
      </c>
      <c r="B1" s="1" t="s">
        <v>1</v>
      </c>
      <c r="C1" s="1" t="s">
        <v>2</v>
      </c>
      <c r="D1" s="1" t="s">
        <v>1426</v>
      </c>
      <c r="E1" s="1" t="s">
        <v>1427</v>
      </c>
      <c r="F1" s="2" t="s">
        <v>3</v>
      </c>
      <c r="G1" s="2" t="s">
        <v>4</v>
      </c>
      <c r="H1" s="2" t="s">
        <v>5</v>
      </c>
      <c r="I1" s="2" t="s">
        <v>1602</v>
      </c>
      <c r="J1" s="2" t="s">
        <v>1603</v>
      </c>
      <c r="K1" s="2" t="s">
        <v>1604</v>
      </c>
    </row>
    <row r="2" spans="1:11" ht="15.75" customHeight="1">
      <c r="A2" s="3">
        <v>46022</v>
      </c>
      <c r="B2" s="1" t="s">
        <v>6</v>
      </c>
      <c r="C2" s="1" t="s">
        <v>7</v>
      </c>
      <c r="D2" s="1" t="str">
        <f>_xlfn.XLOOKUP(C2,mfscreener.portfolio_holdings_v!$C:$C,mfscreener.portfolio_holdings_v!$E:$E)</f>
        <v>ELSS</v>
      </c>
      <c r="E2" s="1" t="str">
        <f>_xlfn.XLOOKUP(C2,mfscreener.portfolio_holdings_v!$C:$C,mfscreener.portfolio_holdings_v!$D:$D)</f>
        <v>Equity</v>
      </c>
      <c r="F2" s="4">
        <v>15615.09</v>
      </c>
      <c r="G2" s="4">
        <v>0.95</v>
      </c>
      <c r="H2" s="4">
        <v>0.35</v>
      </c>
      <c r="I2" s="1" t="s">
        <v>8</v>
      </c>
      <c r="J2" s="4">
        <v>20</v>
      </c>
      <c r="K2" s="1"/>
    </row>
    <row r="3" spans="1:11" ht="15.75" customHeight="1">
      <c r="A3" s="3">
        <v>46022</v>
      </c>
      <c r="B3" s="1" t="s">
        <v>6</v>
      </c>
      <c r="C3" s="1" t="s">
        <v>9</v>
      </c>
      <c r="D3" s="1" t="str">
        <f>_xlfn.XLOOKUP(C3,mfscreener.portfolio_holdings_v!$C:$C,mfscreener.portfolio_holdings_v!$E:$E)</f>
        <v>Flexi Cap</v>
      </c>
      <c r="E3" s="1" t="str">
        <f>_xlfn.XLOOKUP(C3,mfscreener.portfolio_holdings_v!$C:$C,mfscreener.portfolio_holdings_v!$D:$D)</f>
        <v>Equity</v>
      </c>
      <c r="F3" s="4">
        <v>24596.21</v>
      </c>
      <c r="G3" s="4">
        <v>0.32</v>
      </c>
      <c r="H3" s="4">
        <v>0.86</v>
      </c>
      <c r="I3" s="2" t="s">
        <v>10</v>
      </c>
      <c r="J3" s="2" t="s">
        <v>11</v>
      </c>
      <c r="K3" s="1"/>
    </row>
    <row r="4" spans="1:11" ht="15.75" customHeight="1">
      <c r="A4" s="3">
        <v>46022</v>
      </c>
      <c r="B4" s="1" t="s">
        <v>6</v>
      </c>
      <c r="C4" s="1" t="s">
        <v>12</v>
      </c>
      <c r="D4" s="1" t="str">
        <f>_xlfn.XLOOKUP(C4,mfscreener.portfolio_holdings_v!$C:$C,mfscreener.portfolio_holdings_v!$E:$E)</f>
        <v>Focused</v>
      </c>
      <c r="E4" s="1" t="str">
        <f>_xlfn.XLOOKUP(C4,mfscreener.portfolio_holdings_v!$C:$C,mfscreener.portfolio_holdings_v!$D:$D)</f>
        <v>Equity</v>
      </c>
      <c r="F4" s="4">
        <v>8112.67</v>
      </c>
      <c r="G4" s="4">
        <v>0.3</v>
      </c>
      <c r="H4" s="4">
        <v>0.88</v>
      </c>
      <c r="I4" s="2" t="s">
        <v>13</v>
      </c>
      <c r="J4" s="5">
        <v>20</v>
      </c>
      <c r="K4" s="1"/>
    </row>
    <row r="5" spans="1:11" ht="15.75" customHeight="1">
      <c r="A5" s="3">
        <v>46022</v>
      </c>
      <c r="B5" s="1" t="s">
        <v>6</v>
      </c>
      <c r="C5" s="1" t="s">
        <v>14</v>
      </c>
      <c r="D5" s="1" t="str">
        <f>_xlfn.XLOOKUP(C5,mfscreener.portfolio_holdings_v!$C:$C,mfscreener.portfolio_holdings_v!$E:$E)</f>
        <v>Large Cap</v>
      </c>
      <c r="E5" s="1" t="str">
        <f>_xlfn.XLOOKUP(C5,mfscreener.portfolio_holdings_v!$C:$C,mfscreener.portfolio_holdings_v!$D:$D)</f>
        <v>Equity</v>
      </c>
      <c r="F5" s="4">
        <v>31160.13</v>
      </c>
      <c r="G5" s="4">
        <v>0.55000000000000004</v>
      </c>
      <c r="H5" s="4">
        <v>0.97</v>
      </c>
      <c r="I5" s="6" t="s">
        <v>15</v>
      </c>
      <c r="J5" s="5">
        <v>31</v>
      </c>
      <c r="K5" s="1"/>
    </row>
    <row r="6" spans="1:11" ht="15.75" customHeight="1">
      <c r="A6" s="3">
        <v>46022</v>
      </c>
      <c r="B6" s="1" t="s">
        <v>6</v>
      </c>
      <c r="C6" s="1" t="s">
        <v>16</v>
      </c>
      <c r="D6" s="1" t="str">
        <f>_xlfn.XLOOKUP(C6,mfscreener.portfolio_holdings_v!$C:$C,mfscreener.portfolio_holdings_v!$E:$E)</f>
        <v>Large &amp; Mid Cap</v>
      </c>
      <c r="E6" s="1" t="str">
        <f>_xlfn.XLOOKUP(C6,mfscreener.portfolio_holdings_v!$C:$C,mfscreener.portfolio_holdings_v!$D:$D)</f>
        <v>Equity</v>
      </c>
      <c r="F6" s="4">
        <v>5842.88</v>
      </c>
      <c r="G6" s="4">
        <v>0.59</v>
      </c>
      <c r="H6" s="4">
        <v>1.08</v>
      </c>
      <c r="I6" s="2" t="s">
        <v>17</v>
      </c>
      <c r="J6" s="5">
        <v>19</v>
      </c>
      <c r="K6" s="1"/>
    </row>
    <row r="7" spans="1:11" ht="15.75" customHeight="1">
      <c r="A7" s="3">
        <v>46022</v>
      </c>
      <c r="B7" s="1" t="s">
        <v>6</v>
      </c>
      <c r="C7" s="1" t="s">
        <v>18</v>
      </c>
      <c r="D7" s="1" t="str">
        <f>_xlfn.XLOOKUP(C7,mfscreener.portfolio_holdings_v!$C:$C,mfscreener.portfolio_holdings_v!$E:$E)</f>
        <v>Mid Cap</v>
      </c>
      <c r="E7" s="1" t="str">
        <f>_xlfn.XLOOKUP(C7,mfscreener.portfolio_holdings_v!$C:$C,mfscreener.portfolio_holdings_v!$D:$D)</f>
        <v>Equity</v>
      </c>
      <c r="F7" s="4">
        <v>6267.84</v>
      </c>
      <c r="G7" s="4">
        <v>0.85</v>
      </c>
      <c r="H7" s="4">
        <v>1.02</v>
      </c>
      <c r="I7" s="1" t="s">
        <v>19</v>
      </c>
      <c r="J7" s="5">
        <v>15</v>
      </c>
      <c r="K7" s="1"/>
    </row>
    <row r="8" spans="1:11" ht="15.75" customHeight="1">
      <c r="A8" s="3">
        <v>46022</v>
      </c>
      <c r="B8" s="1" t="s">
        <v>6</v>
      </c>
      <c r="C8" s="1" t="s">
        <v>20</v>
      </c>
      <c r="D8" s="1" t="str">
        <f>_xlfn.XLOOKUP(C8,mfscreener.portfolio_holdings_v!$C:$C,mfscreener.portfolio_holdings_v!$E:$E)</f>
        <v>Multi Cap</v>
      </c>
      <c r="E8" s="1" t="str">
        <f>_xlfn.XLOOKUP(C8,mfscreener.portfolio_holdings_v!$C:$C,mfscreener.portfolio_holdings_v!$D:$D)</f>
        <v>Equity</v>
      </c>
      <c r="F8" s="4">
        <v>6752.33</v>
      </c>
      <c r="G8" s="4">
        <v>0.63</v>
      </c>
      <c r="H8" s="4">
        <v>0.75</v>
      </c>
      <c r="I8" s="2" t="s">
        <v>21</v>
      </c>
      <c r="J8" s="2" t="s">
        <v>22</v>
      </c>
      <c r="K8" s="1"/>
    </row>
    <row r="9" spans="1:11" ht="15.75" customHeight="1">
      <c r="A9" s="3">
        <v>46022</v>
      </c>
      <c r="B9" s="1" t="s">
        <v>6</v>
      </c>
      <c r="C9" s="1" t="s">
        <v>23</v>
      </c>
      <c r="D9" s="1" t="str">
        <f>_xlfn.XLOOKUP(C9,mfscreener.portfolio_holdings_v!$C:$C,mfscreener.portfolio_holdings_v!$E:$E)</f>
        <v>Small Cap</v>
      </c>
      <c r="E9" s="1" t="str">
        <f>_xlfn.XLOOKUP(C9,mfscreener.portfolio_holdings_v!$C:$C,mfscreener.portfolio_holdings_v!$D:$D)</f>
        <v>Equity</v>
      </c>
      <c r="F9" s="4">
        <v>5097.16</v>
      </c>
      <c r="G9" s="4">
        <v>0.51</v>
      </c>
      <c r="H9" s="4">
        <v>0.9</v>
      </c>
      <c r="I9" s="2" t="s">
        <v>24</v>
      </c>
      <c r="J9" s="2" t="s">
        <v>25</v>
      </c>
      <c r="K9" s="1"/>
    </row>
    <row r="10" spans="1:11" ht="15.75" customHeight="1">
      <c r="A10" s="3">
        <v>46022</v>
      </c>
      <c r="B10" s="1" t="s">
        <v>6</v>
      </c>
      <c r="C10" s="1" t="s">
        <v>26</v>
      </c>
      <c r="D10" s="1" t="str">
        <f>_xlfn.XLOOKUP(C10,mfscreener.portfolio_holdings_v!$C:$C,mfscreener.portfolio_holdings_v!$E:$E)</f>
        <v>Value</v>
      </c>
      <c r="E10" s="1" t="str">
        <f>_xlfn.XLOOKUP(C10,mfscreener.portfolio_holdings_v!$C:$C,mfscreener.portfolio_holdings_v!$D:$D)</f>
        <v>Equity</v>
      </c>
      <c r="F10" s="4">
        <v>6338.33</v>
      </c>
      <c r="G10" s="4">
        <v>0.72</v>
      </c>
      <c r="H10" s="4">
        <v>1.02</v>
      </c>
      <c r="I10" s="2" t="s">
        <v>13</v>
      </c>
      <c r="J10" s="5">
        <v>20</v>
      </c>
      <c r="K10" s="1"/>
    </row>
    <row r="11" spans="1:11" ht="15.75" customHeight="1">
      <c r="A11" s="3">
        <v>46022</v>
      </c>
      <c r="B11" s="1" t="s">
        <v>6</v>
      </c>
      <c r="C11" s="1" t="s">
        <v>27</v>
      </c>
      <c r="D11" s="1" t="str">
        <f>_xlfn.XLOOKUP(C11,mfscreener.portfolio_holdings_v!$C:$C,mfscreener.portfolio_holdings_v!$E:$E)</f>
        <v>Banking &amp; Financial Services</v>
      </c>
      <c r="E11" s="1" t="str">
        <f>_xlfn.XLOOKUP(C11,mfscreener.portfolio_holdings_v!$C:$C,mfscreener.portfolio_holdings_v!$D:$D)</f>
        <v>Equity</v>
      </c>
      <c r="F11" s="4">
        <v>3660.74</v>
      </c>
      <c r="G11" s="4">
        <v>0.99</v>
      </c>
      <c r="H11" s="4">
        <v>0.34</v>
      </c>
      <c r="I11" s="2" t="s">
        <v>28</v>
      </c>
      <c r="J11" s="4">
        <v>19</v>
      </c>
      <c r="K11" s="1"/>
    </row>
    <row r="12" spans="1:11" ht="15.75" customHeight="1">
      <c r="A12" s="3">
        <v>46022</v>
      </c>
      <c r="B12" s="1" t="s">
        <v>6</v>
      </c>
      <c r="C12" s="1" t="s">
        <v>29</v>
      </c>
      <c r="D12" s="1" t="s">
        <v>1458</v>
      </c>
      <c r="E12" s="1" t="str">
        <f>_xlfn.XLOOKUP(C12,mfscreener.portfolio_holdings_v!$C:$C,mfscreener.portfolio_holdings_v!$D:$D)</f>
        <v>Equity</v>
      </c>
      <c r="F12" s="4">
        <v>1107.08</v>
      </c>
      <c r="G12" s="4">
        <v>1.34</v>
      </c>
      <c r="H12" s="4">
        <v>0.31</v>
      </c>
      <c r="I12" s="1" t="s">
        <v>30</v>
      </c>
      <c r="J12" s="4">
        <v>15</v>
      </c>
      <c r="K12" s="1"/>
    </row>
    <row r="13" spans="1:11" ht="15.75" customHeight="1">
      <c r="A13" s="3">
        <v>46022</v>
      </c>
      <c r="B13" s="1" t="s">
        <v>6</v>
      </c>
      <c r="C13" s="1" t="s">
        <v>31</v>
      </c>
      <c r="D13" s="1" t="str">
        <f>_xlfn.XLOOKUP(C13,mfscreener.portfolio_holdings_v!$C:$C,mfscreener.portfolio_holdings_v!$E:$E)</f>
        <v>PSU Equity</v>
      </c>
      <c r="E13" s="1" t="str">
        <f>_xlfn.XLOOKUP(C13,mfscreener.portfolio_holdings_v!$C:$C,mfscreener.portfolio_holdings_v!$D:$D)</f>
        <v>Equity</v>
      </c>
      <c r="F13" s="4">
        <v>5680.9</v>
      </c>
      <c r="G13" s="4">
        <v>0.61</v>
      </c>
      <c r="H13" s="4">
        <v>0.24</v>
      </c>
      <c r="I13" s="2" t="s">
        <v>28</v>
      </c>
      <c r="J13" s="4">
        <v>19</v>
      </c>
      <c r="K13" s="1"/>
    </row>
    <row r="14" spans="1:11" ht="15.75" customHeight="1">
      <c r="A14" s="3">
        <v>46022</v>
      </c>
      <c r="B14" s="1" t="s">
        <v>6</v>
      </c>
      <c r="C14" s="1" t="s">
        <v>32</v>
      </c>
      <c r="D14" s="1" t="s">
        <v>1480</v>
      </c>
      <c r="E14" s="1" t="str">
        <f>_xlfn.XLOOKUP(C14,mfscreener.portfolio_holdings_v!$C:$C,mfscreener.portfolio_holdings_v!$D:$D)</f>
        <v>Equity</v>
      </c>
      <c r="F14" s="4">
        <v>850.88</v>
      </c>
      <c r="G14" s="4">
        <v>1.02</v>
      </c>
      <c r="H14" s="4">
        <v>0.31</v>
      </c>
      <c r="I14" s="1" t="s">
        <v>33</v>
      </c>
      <c r="J14" s="4">
        <v>20</v>
      </c>
      <c r="K14" s="1"/>
    </row>
    <row r="15" spans="1:11" ht="15.75" customHeight="1">
      <c r="A15" s="3">
        <v>46022</v>
      </c>
      <c r="B15" s="1" t="s">
        <v>6</v>
      </c>
      <c r="C15" s="1" t="s">
        <v>34</v>
      </c>
      <c r="D15" s="1" t="s">
        <v>1491</v>
      </c>
      <c r="E15" s="1" t="str">
        <f>_xlfn.XLOOKUP(C15,mfscreener.portfolio_holdings_v!$C:$C,mfscreener.portfolio_holdings_v!$D:$D)</f>
        <v>Equity</v>
      </c>
      <c r="F15" s="4">
        <v>4788.07</v>
      </c>
      <c r="G15" s="4">
        <v>0.79</v>
      </c>
      <c r="H15" s="4">
        <v>0.48</v>
      </c>
      <c r="I15" s="2" t="s">
        <v>13</v>
      </c>
      <c r="J15" s="5">
        <v>20</v>
      </c>
      <c r="K15" s="1"/>
    </row>
    <row r="16" spans="1:11" ht="15.75" customHeight="1">
      <c r="A16" s="3">
        <v>46022</v>
      </c>
      <c r="B16" s="1" t="s">
        <v>6</v>
      </c>
      <c r="C16" s="1" t="s">
        <v>35</v>
      </c>
      <c r="D16" s="1" t="str">
        <f>_xlfn.XLOOKUP(C16,mfscreener.portfolio_holdings_v!$C:$C,mfscreener.portfolio_holdings_v!$E:$E)</f>
        <v>Conglomerate</v>
      </c>
      <c r="E16" s="1" t="str">
        <f>_xlfn.XLOOKUP(C16,mfscreener.portfolio_holdings_v!$C:$C,mfscreener.portfolio_holdings_v!$D:$D)</f>
        <v>Equity</v>
      </c>
      <c r="F16" s="4">
        <v>1763.06</v>
      </c>
      <c r="G16" s="4">
        <v>0.7</v>
      </c>
      <c r="H16" s="1"/>
      <c r="I16" s="1" t="s">
        <v>1605</v>
      </c>
      <c r="J16" s="1" t="s">
        <v>36</v>
      </c>
      <c r="K16" s="1"/>
    </row>
    <row r="17" spans="1:28" ht="15.75" customHeight="1">
      <c r="A17" s="3">
        <v>46022</v>
      </c>
      <c r="B17" s="1" t="s">
        <v>6</v>
      </c>
      <c r="C17" s="1" t="s">
        <v>37</v>
      </c>
      <c r="D17" s="1" t="str">
        <f>_xlfn.XLOOKUP(C17,mfscreener.portfolio_holdings_v!$C:$C,mfscreener.portfolio_holdings_v!$E:$E)</f>
        <v>Business Cycle</v>
      </c>
      <c r="E17" s="1" t="str">
        <f>_xlfn.XLOOKUP(C17,mfscreener.portfolio_holdings_v!$C:$C,mfscreener.portfolio_holdings_v!$D:$D)</f>
        <v>Equity</v>
      </c>
      <c r="F17" s="4">
        <v>1796.68</v>
      </c>
      <c r="G17" s="4">
        <v>1.1499999999999999</v>
      </c>
      <c r="H17" s="4">
        <v>0.36</v>
      </c>
      <c r="I17" s="1" t="s">
        <v>38</v>
      </c>
      <c r="J17" s="1" t="s">
        <v>39</v>
      </c>
      <c r="K17" s="1"/>
    </row>
    <row r="18" spans="1:28" ht="15.75" customHeight="1">
      <c r="A18" s="3">
        <v>46022</v>
      </c>
      <c r="B18" s="1" t="s">
        <v>6</v>
      </c>
      <c r="C18" s="1" t="s">
        <v>40</v>
      </c>
      <c r="D18" s="1" t="str">
        <f>_xlfn.XLOOKUP(C18,mfscreener.portfolio_holdings_v!$C:$C,mfscreener.portfolio_holdings_v!$E:$E)</f>
        <v>Infrastructure</v>
      </c>
      <c r="E18" s="1" t="str">
        <f>_xlfn.XLOOKUP(C18,mfscreener.portfolio_holdings_v!$C:$C,mfscreener.portfolio_holdings_v!$D:$D)</f>
        <v>Equity</v>
      </c>
      <c r="F18" s="4">
        <v>1145.24</v>
      </c>
      <c r="G18" s="4">
        <v>1.42</v>
      </c>
      <c r="H18" s="4">
        <v>0.44</v>
      </c>
      <c r="I18" s="1" t="s">
        <v>1606</v>
      </c>
      <c r="J18" s="4">
        <v>31</v>
      </c>
      <c r="K18" s="1"/>
    </row>
    <row r="19" spans="1:28" ht="15.75" customHeight="1">
      <c r="A19" s="3">
        <v>46022</v>
      </c>
      <c r="B19" s="1" t="s">
        <v>6</v>
      </c>
      <c r="C19" s="1" t="s">
        <v>41</v>
      </c>
      <c r="D19" s="1" t="str">
        <f>_xlfn.XLOOKUP(C19,mfscreener.portfolio_holdings_v!$C:$C,mfscreener.portfolio_holdings_v!$E:$E)</f>
        <v>Transportation &amp; Logistics</v>
      </c>
      <c r="E19" s="1" t="str">
        <f>_xlfn.XLOOKUP(C19,mfscreener.portfolio_holdings_v!$C:$C,mfscreener.portfolio_holdings_v!$D:$D)</f>
        <v>Equity</v>
      </c>
      <c r="F19" s="4">
        <v>1595.14</v>
      </c>
      <c r="G19" s="4">
        <v>0.78</v>
      </c>
      <c r="H19" s="4">
        <v>0.14000000000000001</v>
      </c>
      <c r="I19" s="2" t="s">
        <v>28</v>
      </c>
      <c r="J19" s="4">
        <v>19</v>
      </c>
      <c r="K19" s="1"/>
    </row>
    <row r="20" spans="1:28" s="46" customFormat="1" ht="15.75" customHeight="1">
      <c r="A20" s="43">
        <v>46022</v>
      </c>
      <c r="B20" s="44" t="s">
        <v>6</v>
      </c>
      <c r="C20" s="44" t="s">
        <v>42</v>
      </c>
      <c r="D20" s="44" t="str">
        <f>_xlfn.XLOOKUP(C20,mfscreener.portfolio_holdings_v!$C:$C,mfscreener.portfolio_holdings_v!$E:$E)</f>
        <v>MNC</v>
      </c>
      <c r="E20" s="44" t="str">
        <f>_xlfn.XLOOKUP(C20,mfscreener.portfolio_holdings_v!$C:$C,mfscreener.portfolio_holdings_v!$D:$D)</f>
        <v>Equity</v>
      </c>
      <c r="F20" s="45">
        <v>3659.55</v>
      </c>
      <c r="G20" s="45">
        <v>1.3</v>
      </c>
      <c r="H20" s="45">
        <v>0.2</v>
      </c>
      <c r="I20" s="44" t="s">
        <v>43</v>
      </c>
      <c r="J20" s="45">
        <v>15</v>
      </c>
      <c r="K20" s="44"/>
    </row>
    <row r="21" spans="1:28" s="52" customFormat="1" ht="15.75" customHeight="1">
      <c r="A21" s="47">
        <v>46022</v>
      </c>
      <c r="B21" s="48" t="s">
        <v>6</v>
      </c>
      <c r="C21" s="48" t="s">
        <v>44</v>
      </c>
      <c r="D21" s="49" t="str">
        <f>_xlfn.XLOOKUP(C21,mfscreener.portfolio_holdings_v!$C:$C,mfscreener.portfolio_holdings_v!$E:$E)</f>
        <v>Quant</v>
      </c>
      <c r="E21" s="49" t="str">
        <f>_xlfn.XLOOKUP(C21,mfscreener.portfolio_holdings_v!$C:$C,mfscreener.portfolio_holdings_v!$D:$D)</f>
        <v>Equity</v>
      </c>
      <c r="F21" s="50">
        <v>2362.84</v>
      </c>
      <c r="G21" s="50">
        <v>0.65</v>
      </c>
      <c r="H21" s="48"/>
      <c r="I21" s="48" t="s">
        <v>30</v>
      </c>
      <c r="J21" s="50">
        <v>15</v>
      </c>
      <c r="K21" s="48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</row>
    <row r="22" spans="1:28" s="46" customFormat="1" ht="12.5">
      <c r="A22" s="43">
        <v>46022</v>
      </c>
      <c r="B22" s="44" t="s">
        <v>6</v>
      </c>
      <c r="C22" s="44" t="s">
        <v>45</v>
      </c>
      <c r="D22" s="44" t="str">
        <f>_xlfn.XLOOKUP(C22,mfscreener.portfolio_holdings_v!$C:$C,mfscreener.portfolio_holdings_v!$E:$E)</f>
        <v>Balanced Advantage</v>
      </c>
      <c r="E22" s="44" t="str">
        <f>_xlfn.XLOOKUP(C22,mfscreener.portfolio_holdings_v!$C:$C,mfscreener.portfolio_holdings_v!$D:$D)</f>
        <v>Hybrid</v>
      </c>
      <c r="F22" s="45">
        <v>8688.64</v>
      </c>
      <c r="G22" s="45">
        <v>0.67</v>
      </c>
      <c r="H22" s="45">
        <v>2.44</v>
      </c>
      <c r="I22" s="44" t="s">
        <v>1607</v>
      </c>
      <c r="J22" s="44" t="s">
        <v>46</v>
      </c>
      <c r="K22" s="44"/>
    </row>
    <row r="23" spans="1:28" ht="12.5">
      <c r="A23" s="3">
        <v>46022</v>
      </c>
      <c r="B23" s="1" t="s">
        <v>6</v>
      </c>
      <c r="C23" s="1" t="s">
        <v>47</v>
      </c>
      <c r="D23" s="1" t="str">
        <f>_xlfn.XLOOKUP(C23,mfscreener.portfolio_holdings_v!$C:$C,mfscreener.portfolio_holdings_v!$E:$E)</f>
        <v>Multi Asset Allocation</v>
      </c>
      <c r="E23" s="1" t="str">
        <f>_xlfn.XLOOKUP(C23,mfscreener.portfolio_holdings_v!$C:$C,mfscreener.portfolio_holdings_v!$D:$D)</f>
        <v>Hybrid</v>
      </c>
      <c r="F23" s="4">
        <v>5068.21</v>
      </c>
      <c r="G23" s="4">
        <v>0.59</v>
      </c>
      <c r="H23" s="4">
        <v>0.56999999999999995</v>
      </c>
      <c r="I23" s="1" t="s">
        <v>1608</v>
      </c>
      <c r="J23" s="1" t="s">
        <v>48</v>
      </c>
      <c r="K23" s="1"/>
    </row>
    <row r="24" spans="1:28" ht="12.5">
      <c r="A24" s="3">
        <v>46022</v>
      </c>
      <c r="B24" s="1" t="s">
        <v>6</v>
      </c>
      <c r="C24" s="1" t="s">
        <v>49</v>
      </c>
      <c r="D24" s="1" t="str">
        <f>_xlfn.XLOOKUP(C24,mfscreener.portfolio_holdings_v!$C:$C,mfscreener.portfolio_holdings_v!$E:$E)</f>
        <v>Equity Hybrid 95</v>
      </c>
      <c r="E24" s="1" t="str">
        <f>_xlfn.XLOOKUP(C24,mfscreener.portfolio_holdings_v!$C:$C,mfscreener.portfolio_holdings_v!$D:$D)</f>
        <v>Hybrid</v>
      </c>
      <c r="F24" s="4">
        <v>7563.45</v>
      </c>
      <c r="G24" s="4">
        <v>1.0900000000000001</v>
      </c>
      <c r="H24" s="4">
        <v>0.55000000000000004</v>
      </c>
      <c r="I24" s="1" t="s">
        <v>1609</v>
      </c>
      <c r="J24" s="1" t="s">
        <v>22</v>
      </c>
      <c r="K24" s="1"/>
    </row>
    <row r="25" spans="1:28" ht="12.5">
      <c r="A25" s="3">
        <v>46022</v>
      </c>
      <c r="B25" s="1" t="s">
        <v>6</v>
      </c>
      <c r="C25" s="1" t="s">
        <v>50</v>
      </c>
      <c r="D25" s="1" t="str">
        <f>_xlfn.XLOOKUP(C25,mfscreener.portfolio_holdings_v!$C:$C,mfscreener.portfolio_holdings_v!$E:$E)</f>
        <v>Equity Savings</v>
      </c>
      <c r="E25" s="1" t="str">
        <f>_xlfn.XLOOKUP(C25,mfscreener.portfolio_holdings_v!$C:$C,mfscreener.portfolio_holdings_v!$D:$D)</f>
        <v>Hybrid</v>
      </c>
      <c r="F25" s="4">
        <v>943.21</v>
      </c>
      <c r="G25" s="4">
        <v>0.53</v>
      </c>
      <c r="H25" s="4">
        <v>6.83</v>
      </c>
      <c r="I25" s="1" t="s">
        <v>51</v>
      </c>
      <c r="J25" s="1" t="s">
        <v>52</v>
      </c>
      <c r="K25" s="1"/>
    </row>
    <row r="26" spans="1:28" ht="12.5">
      <c r="A26" s="3">
        <v>46022</v>
      </c>
      <c r="B26" s="1" t="s">
        <v>6</v>
      </c>
      <c r="C26" s="1" t="s">
        <v>53</v>
      </c>
      <c r="D26" s="1" t="str">
        <f>_xlfn.XLOOKUP(C26,mfscreener.portfolio_holdings_v!$C:$C,mfscreener.portfolio_holdings_v!$E:$E)</f>
        <v>Regular Savings</v>
      </c>
      <c r="E26" s="1" t="str">
        <f>_xlfn.XLOOKUP(C26,mfscreener.portfolio_holdings_v!$C:$C,mfscreener.portfolio_holdings_v!$D:$D)</f>
        <v>Hybrid</v>
      </c>
      <c r="F26" s="4">
        <v>1552.73</v>
      </c>
      <c r="G26" s="4">
        <v>0.93</v>
      </c>
      <c r="H26" s="4">
        <v>1.18</v>
      </c>
      <c r="I26" s="1"/>
      <c r="J26" s="1"/>
      <c r="K26" s="1"/>
    </row>
    <row r="27" spans="1:28" ht="12.5">
      <c r="A27" s="3">
        <v>46022</v>
      </c>
      <c r="B27" s="1" t="s">
        <v>54</v>
      </c>
      <c r="C27" s="1" t="s">
        <v>55</v>
      </c>
      <c r="D27" s="1" t="str">
        <f>_xlfn.XLOOKUP(C27,mfscreener.portfolio_holdings_v!$C:$C,mfscreener.portfolio_holdings_v!$E:$E)</f>
        <v>Balanced Hybrid</v>
      </c>
      <c r="E27" s="1" t="str">
        <f>_xlfn.XLOOKUP(C27,mfscreener.portfolio_holdings_v!$C:$C,mfscreener.portfolio_holdings_v!$D:$D)</f>
        <v>Hybrid</v>
      </c>
      <c r="F27" s="4">
        <v>841.6</v>
      </c>
      <c r="G27" s="4">
        <v>0.45</v>
      </c>
      <c r="H27" s="4">
        <v>0.55000000000000004</v>
      </c>
      <c r="I27" s="1" t="s">
        <v>56</v>
      </c>
      <c r="J27" s="1" t="s">
        <v>57</v>
      </c>
      <c r="K27" s="1"/>
    </row>
    <row r="28" spans="1:28" ht="12.5">
      <c r="A28" s="3">
        <v>46022</v>
      </c>
      <c r="B28" s="1" t="s">
        <v>54</v>
      </c>
      <c r="C28" s="1" t="s">
        <v>58</v>
      </c>
      <c r="D28" s="1" t="str">
        <f>_xlfn.XLOOKUP(C28,mfscreener.portfolio_holdings_v!$C:$C,mfscreener.portfolio_holdings_v!$E:$E)</f>
        <v>Flexi Cap</v>
      </c>
      <c r="E28" s="1" t="str">
        <f>_xlfn.XLOOKUP(C28,mfscreener.portfolio_holdings_v!$C:$C,mfscreener.portfolio_holdings_v!$D:$D)</f>
        <v>Equity</v>
      </c>
      <c r="F28" s="7">
        <v>2087.06</v>
      </c>
      <c r="G28" s="4">
        <v>0.48</v>
      </c>
      <c r="H28" s="4">
        <v>0.43</v>
      </c>
      <c r="I28" s="1" t="s">
        <v>59</v>
      </c>
      <c r="J28" s="4">
        <v>20</v>
      </c>
      <c r="K28" s="1"/>
    </row>
    <row r="29" spans="1:28" ht="12.5">
      <c r="A29" s="3">
        <v>46022</v>
      </c>
      <c r="B29" s="1" t="s">
        <v>54</v>
      </c>
      <c r="C29" s="1" t="s">
        <v>60</v>
      </c>
      <c r="D29" s="1" t="str">
        <f>_xlfn.XLOOKUP(C29,mfscreener.portfolio_holdings_v!$C:$C,mfscreener.portfolio_holdings_v!$E:$E)</f>
        <v>Focused</v>
      </c>
      <c r="E29" s="1" t="str">
        <f>_xlfn.XLOOKUP(C29,mfscreener.portfolio_holdings_v!$C:$C,mfscreener.portfolio_holdings_v!$D:$D)</f>
        <v>Equity</v>
      </c>
      <c r="F29" s="7">
        <v>7229.59</v>
      </c>
      <c r="G29" s="4">
        <v>0.81</v>
      </c>
      <c r="H29" s="4">
        <v>0.42</v>
      </c>
      <c r="I29" s="1" t="s">
        <v>59</v>
      </c>
      <c r="J29" s="4">
        <v>20</v>
      </c>
      <c r="K29" s="1"/>
    </row>
    <row r="30" spans="1:28" ht="12.5">
      <c r="A30" s="3">
        <v>46022</v>
      </c>
      <c r="B30" s="1" t="s">
        <v>54</v>
      </c>
      <c r="C30" s="1" t="s">
        <v>61</v>
      </c>
      <c r="D30" s="1" t="str">
        <f>_xlfn.XLOOKUP(C30,mfscreener.portfolio_holdings_v!$C:$C,mfscreener.portfolio_holdings_v!$E:$E)</f>
        <v>Quant</v>
      </c>
      <c r="E30" s="1" t="str">
        <f>_xlfn.XLOOKUP(C30,mfscreener.portfolio_holdings_v!$C:$C,mfscreener.portfolio_holdings_v!$D:$D)</f>
        <v>Equity</v>
      </c>
      <c r="F30" s="4">
        <v>893.6</v>
      </c>
      <c r="G30" s="4">
        <v>0.62</v>
      </c>
      <c r="H30" s="4">
        <v>1.1000000000000001</v>
      </c>
      <c r="I30" s="1" t="s">
        <v>62</v>
      </c>
      <c r="J30" s="4">
        <v>6</v>
      </c>
      <c r="K30" s="1"/>
    </row>
    <row r="31" spans="1:28" ht="14.5">
      <c r="A31" s="3">
        <v>46022</v>
      </c>
      <c r="B31" s="1" t="s">
        <v>63</v>
      </c>
      <c r="C31" s="1" t="s">
        <v>64</v>
      </c>
      <c r="D31" s="1" t="str">
        <f>_xlfn.XLOOKUP(C31,mfscreener.portfolio_holdings_v!$C:$C,mfscreener.portfolio_holdings_v!$E:$E)</f>
        <v>ELSS</v>
      </c>
      <c r="E31" s="1" t="str">
        <f>_xlfn.XLOOKUP(C31,mfscreener.portfolio_holdings_v!$C:$C,mfscreener.portfolio_holdings_v!$D:$D)</f>
        <v>Equity</v>
      </c>
      <c r="F31" s="4">
        <v>34449.51</v>
      </c>
      <c r="G31" s="4">
        <v>0.81</v>
      </c>
      <c r="H31" s="4">
        <v>0.25</v>
      </c>
      <c r="I31" s="1" t="s">
        <v>65</v>
      </c>
      <c r="J31" s="2" t="s">
        <v>66</v>
      </c>
      <c r="K31" s="1"/>
    </row>
    <row r="32" spans="1:28" ht="14.5">
      <c r="A32" s="3">
        <v>46022</v>
      </c>
      <c r="B32" s="1" t="s">
        <v>63</v>
      </c>
      <c r="C32" s="1" t="s">
        <v>67</v>
      </c>
      <c r="D32" s="1" t="str">
        <f>_xlfn.XLOOKUP(C32,mfscreener.portfolio_holdings_v!$C:$C,mfscreener.portfolio_holdings_v!$E:$E)</f>
        <v>Flexi Cap</v>
      </c>
      <c r="E32" s="1" t="str">
        <f>_xlfn.XLOOKUP(C32,mfscreener.portfolio_holdings_v!$C:$C,mfscreener.portfolio_holdings_v!$D:$D)</f>
        <v>Equity</v>
      </c>
      <c r="F32" s="4">
        <v>13090.34</v>
      </c>
      <c r="G32" s="4">
        <v>0.72</v>
      </c>
      <c r="H32" s="4">
        <v>0.18</v>
      </c>
      <c r="I32" s="1" t="s">
        <v>68</v>
      </c>
      <c r="J32" s="2" t="s">
        <v>69</v>
      </c>
      <c r="K32" s="1"/>
    </row>
    <row r="33" spans="1:11" ht="14.5">
      <c r="A33" s="3">
        <v>46022</v>
      </c>
      <c r="B33" s="1" t="s">
        <v>63</v>
      </c>
      <c r="C33" s="1" t="s">
        <v>70</v>
      </c>
      <c r="D33" s="1" t="str">
        <f>_xlfn.XLOOKUP(C33,mfscreener.portfolio_holdings_v!$C:$C,mfscreener.portfolio_holdings_v!$E:$E)</f>
        <v>Focused</v>
      </c>
      <c r="E33" s="1" t="str">
        <f>_xlfn.XLOOKUP(C33,mfscreener.portfolio_holdings_v!$C:$C,mfscreener.portfolio_holdings_v!$D:$D)</f>
        <v>Equity</v>
      </c>
      <c r="F33" s="4">
        <v>12149.35</v>
      </c>
      <c r="G33" s="4">
        <v>0.84</v>
      </c>
      <c r="H33" s="4">
        <v>0.21</v>
      </c>
      <c r="I33" s="1" t="s">
        <v>68</v>
      </c>
      <c r="J33" s="2" t="s">
        <v>69</v>
      </c>
      <c r="K33" s="1"/>
    </row>
    <row r="34" spans="1:11" ht="14.5">
      <c r="A34" s="3">
        <v>46022</v>
      </c>
      <c r="B34" s="1" t="s">
        <v>63</v>
      </c>
      <c r="C34" s="1" t="s">
        <v>71</v>
      </c>
      <c r="D34" s="1" t="str">
        <f>_xlfn.XLOOKUP(C34,mfscreener.portfolio_holdings_v!$C:$C,mfscreener.portfolio_holdings_v!$E:$E)</f>
        <v>Large Cap</v>
      </c>
      <c r="E34" s="1" t="str">
        <f>_xlfn.XLOOKUP(C34,mfscreener.portfolio_holdings_v!$C:$C,mfscreener.portfolio_holdings_v!$D:$D)</f>
        <v>Equity</v>
      </c>
      <c r="F34" s="4">
        <v>33618.06</v>
      </c>
      <c r="G34" s="4">
        <v>0.72</v>
      </c>
      <c r="H34" s="4">
        <v>0.86</v>
      </c>
      <c r="I34" s="1" t="s">
        <v>72</v>
      </c>
      <c r="J34" s="2" t="s">
        <v>73</v>
      </c>
      <c r="K34" s="1"/>
    </row>
    <row r="35" spans="1:11" ht="14.5">
      <c r="A35" s="3">
        <v>46022</v>
      </c>
      <c r="B35" s="1" t="s">
        <v>63</v>
      </c>
      <c r="C35" s="1" t="s">
        <v>74</v>
      </c>
      <c r="D35" s="1" t="str">
        <f>_xlfn.XLOOKUP(C35,mfscreener.portfolio_holdings_v!$C:$C,mfscreener.portfolio_holdings_v!$E:$E)</f>
        <v>Large &amp; Mid Cap</v>
      </c>
      <c r="E35" s="1" t="str">
        <f>_xlfn.XLOOKUP(C35,mfscreener.portfolio_holdings_v!$C:$C,mfscreener.portfolio_holdings_v!$D:$D)</f>
        <v>Equity</v>
      </c>
      <c r="F35" s="4">
        <v>15508.91</v>
      </c>
      <c r="G35" s="4">
        <v>0.59</v>
      </c>
      <c r="H35" s="4">
        <v>0.61</v>
      </c>
      <c r="I35" s="1" t="s">
        <v>75</v>
      </c>
      <c r="J35" s="2" t="s">
        <v>76</v>
      </c>
      <c r="K35" s="1"/>
    </row>
    <row r="36" spans="1:11" ht="14.5">
      <c r="A36" s="3">
        <v>46022</v>
      </c>
      <c r="B36" s="1" t="s">
        <v>63</v>
      </c>
      <c r="C36" s="1" t="s">
        <v>77</v>
      </c>
      <c r="D36" s="1" t="str">
        <f>_xlfn.XLOOKUP(C36,mfscreener.portfolio_holdings_v!$C:$C,mfscreener.portfolio_holdings_v!$E:$E)</f>
        <v>Mid Cap</v>
      </c>
      <c r="E36" s="1" t="str">
        <f>_xlfn.XLOOKUP(C36,mfscreener.portfolio_holdings_v!$C:$C,mfscreener.portfolio_holdings_v!$D:$D)</f>
        <v>Equity</v>
      </c>
      <c r="F36" s="4">
        <v>31710.81</v>
      </c>
      <c r="G36" s="4">
        <v>0.55000000000000004</v>
      </c>
      <c r="H36" s="4">
        <v>0.43</v>
      </c>
      <c r="I36" s="1" t="s">
        <v>75</v>
      </c>
      <c r="J36" s="2" t="s">
        <v>76</v>
      </c>
      <c r="K36" s="1"/>
    </row>
    <row r="37" spans="1:11" ht="14.5">
      <c r="A37" s="3">
        <v>46022</v>
      </c>
      <c r="B37" s="1" t="s">
        <v>63</v>
      </c>
      <c r="C37" s="1" t="s">
        <v>78</v>
      </c>
      <c r="D37" s="1" t="str">
        <f>_xlfn.XLOOKUP(C37,mfscreener.portfolio_holdings_v!$C:$C,mfscreener.portfolio_holdings_v!$E:$E)</f>
        <v>Multi Cap</v>
      </c>
      <c r="E37" s="1" t="str">
        <f>_xlfn.XLOOKUP(C37,mfscreener.portfolio_holdings_v!$C:$C,mfscreener.portfolio_holdings_v!$D:$D)</f>
        <v>Equity</v>
      </c>
      <c r="F37" s="4">
        <v>9185.27</v>
      </c>
      <c r="G37" s="4">
        <v>0.72</v>
      </c>
      <c r="H37" s="4">
        <v>0.45</v>
      </c>
      <c r="I37" s="1" t="s">
        <v>79</v>
      </c>
      <c r="J37" s="2" t="s">
        <v>80</v>
      </c>
      <c r="K37" s="1"/>
    </row>
    <row r="38" spans="1:11" ht="14.5">
      <c r="A38" s="3">
        <v>46022</v>
      </c>
      <c r="B38" s="1" t="s">
        <v>63</v>
      </c>
      <c r="C38" s="1" t="s">
        <v>81</v>
      </c>
      <c r="D38" s="1" t="str">
        <f>_xlfn.XLOOKUP(C38,mfscreener.portfolio_holdings_v!$C:$C,mfscreener.portfolio_holdings_v!$E:$E)</f>
        <v>Small Cap</v>
      </c>
      <c r="E38" s="1" t="str">
        <f>_xlfn.XLOOKUP(C38,mfscreener.portfolio_holdings_v!$C:$C,mfscreener.portfolio_holdings_v!$D:$D)</f>
        <v>Equity</v>
      </c>
      <c r="F38" s="7">
        <v>26486.45</v>
      </c>
      <c r="G38" s="4">
        <v>0.56999999999999995</v>
      </c>
      <c r="H38" s="4">
        <v>0.34</v>
      </c>
      <c r="I38" s="1" t="s">
        <v>82</v>
      </c>
      <c r="J38" s="2" t="s">
        <v>83</v>
      </c>
      <c r="K38" s="1"/>
    </row>
    <row r="39" spans="1:11" ht="14.5">
      <c r="A39" s="3">
        <v>46022</v>
      </c>
      <c r="B39" s="1" t="s">
        <v>63</v>
      </c>
      <c r="C39" s="1" t="s">
        <v>84</v>
      </c>
      <c r="D39" s="1" t="str">
        <f>_xlfn.XLOOKUP(C39,mfscreener.portfolio_holdings_v!$C:$C,mfscreener.portfolio_holdings_v!$E:$E)</f>
        <v>Value</v>
      </c>
      <c r="E39" s="1" t="str">
        <f>_xlfn.XLOOKUP(C39,mfscreener.portfolio_holdings_v!$C:$C,mfscreener.portfolio_holdings_v!$D:$D)</f>
        <v>Equity</v>
      </c>
      <c r="F39" s="5">
        <v>1299.23</v>
      </c>
      <c r="G39" s="5">
        <v>0.73</v>
      </c>
      <c r="H39" s="5">
        <v>0.41</v>
      </c>
      <c r="I39" s="1" t="s">
        <v>1610</v>
      </c>
      <c r="J39" s="2" t="s">
        <v>69</v>
      </c>
      <c r="K39" s="1"/>
    </row>
    <row r="40" spans="1:11" ht="12.5">
      <c r="A40" s="3">
        <v>46022</v>
      </c>
      <c r="B40" s="1" t="s">
        <v>63</v>
      </c>
      <c r="C40" s="1" t="s">
        <v>85</v>
      </c>
      <c r="D40" s="1" t="str">
        <f>_xlfn.XLOOKUP(C40,mfscreener.portfolio_holdings_v!$C:$C,mfscreener.portfolio_holdings_v!$E:$E)</f>
        <v>Thematic</v>
      </c>
      <c r="E40" s="1" t="str">
        <f>_xlfn.XLOOKUP(C40,mfscreener.portfolio_holdings_v!$C:$C,mfscreener.portfolio_holdings_v!$D:$D)</f>
        <v>Equity</v>
      </c>
      <c r="F40" s="4">
        <v>1195.08</v>
      </c>
      <c r="G40" s="4">
        <v>1.29</v>
      </c>
      <c r="H40" s="4">
        <v>0.71</v>
      </c>
      <c r="I40" s="1" t="s">
        <v>86</v>
      </c>
      <c r="J40" s="1" t="s">
        <v>87</v>
      </c>
      <c r="K40" s="1"/>
    </row>
    <row r="41" spans="1:11" ht="12.5">
      <c r="A41" s="3">
        <v>46022</v>
      </c>
      <c r="B41" s="1" t="s">
        <v>63</v>
      </c>
      <c r="C41" s="1" t="s">
        <v>88</v>
      </c>
      <c r="D41" s="1" t="str">
        <f>_xlfn.XLOOKUP(C41,mfscreener.portfolio_holdings_v!$C:$C,mfscreener.portfolio_holdings_v!$E:$E)</f>
        <v>ESG</v>
      </c>
      <c r="E41" s="1" t="str">
        <f>_xlfn.XLOOKUP(C41,mfscreener.portfolio_holdings_v!$C:$C,mfscreener.portfolio_holdings_v!$D:$D)</f>
        <v>Equity</v>
      </c>
      <c r="F41" s="4">
        <v>1206.73</v>
      </c>
      <c r="G41" s="4">
        <v>1.34</v>
      </c>
      <c r="H41" s="4">
        <v>0.3</v>
      </c>
      <c r="I41" s="1" t="s">
        <v>89</v>
      </c>
      <c r="J41" s="1" t="s">
        <v>90</v>
      </c>
      <c r="K41" s="1"/>
    </row>
    <row r="42" spans="1:11" ht="12.5">
      <c r="A42" s="3">
        <v>46022</v>
      </c>
      <c r="B42" s="1" t="s">
        <v>63</v>
      </c>
      <c r="C42" s="1" t="s">
        <v>91</v>
      </c>
      <c r="D42" s="1" t="str">
        <f>_xlfn.XLOOKUP(C42,mfscreener.portfolio_holdings_v!$C:$C,mfscreener.portfolio_holdings_v!$E:$E)</f>
        <v>Quant</v>
      </c>
      <c r="E42" s="1" t="str">
        <f>_xlfn.XLOOKUP(C42,mfscreener.portfolio_holdings_v!$C:$C,mfscreener.portfolio_holdings_v!$D:$D)</f>
        <v>Equity</v>
      </c>
      <c r="F42" s="4">
        <v>911.53</v>
      </c>
      <c r="G42" s="4">
        <v>0.74</v>
      </c>
      <c r="H42" s="4">
        <v>1.52</v>
      </c>
      <c r="I42" s="1" t="s">
        <v>1611</v>
      </c>
      <c r="J42" s="1" t="s">
        <v>92</v>
      </c>
      <c r="K42" s="1"/>
    </row>
    <row r="43" spans="1:11" ht="12.5">
      <c r="A43" s="3">
        <v>46022</v>
      </c>
      <c r="B43" s="1" t="s">
        <v>63</v>
      </c>
      <c r="C43" s="1" t="s">
        <v>93</v>
      </c>
      <c r="D43" s="1" t="str">
        <f>_xlfn.XLOOKUP(C43,mfscreener.portfolio_holdings_v!$C:$C,mfscreener.portfolio_holdings_v!$E:$E)</f>
        <v>Business Cycle</v>
      </c>
      <c r="E43" s="1" t="str">
        <f>_xlfn.XLOOKUP(C43,mfscreener.portfolio_holdings_v!$C:$C,mfscreener.portfolio_holdings_v!$D:$D)</f>
        <v>Equity</v>
      </c>
      <c r="F43" s="4">
        <v>2212.52</v>
      </c>
      <c r="G43" s="4">
        <v>0.87</v>
      </c>
      <c r="H43" s="4">
        <v>0.68</v>
      </c>
      <c r="I43" s="1" t="s">
        <v>94</v>
      </c>
      <c r="J43" s="4">
        <v>17</v>
      </c>
      <c r="K43" s="1"/>
    </row>
    <row r="44" spans="1:11" ht="12.5">
      <c r="A44" s="3">
        <v>46022</v>
      </c>
      <c r="B44" s="1" t="s">
        <v>63</v>
      </c>
      <c r="C44" s="1" t="s">
        <v>95</v>
      </c>
      <c r="D44" s="1" t="str">
        <f>_xlfn.XLOOKUP(C44,mfscreener.portfolio_holdings_v!$C:$C,mfscreener.portfolio_holdings_v!$E:$E)</f>
        <v>Manufacturing</v>
      </c>
      <c r="E44" s="1" t="str">
        <f>_xlfn.XLOOKUP(C44,mfscreener.portfolio_holdings_v!$C:$C,mfscreener.portfolio_holdings_v!$D:$D)</f>
        <v>Equity</v>
      </c>
      <c r="F44" s="4">
        <v>5118.62</v>
      </c>
      <c r="G44" s="4">
        <v>0.54</v>
      </c>
      <c r="H44" s="4">
        <v>0.56999999999999995</v>
      </c>
      <c r="I44" s="1" t="s">
        <v>96</v>
      </c>
      <c r="J44" s="4">
        <v>14</v>
      </c>
      <c r="K44" s="1"/>
    </row>
    <row r="45" spans="1:11" ht="12.5">
      <c r="A45" s="3">
        <v>46022</v>
      </c>
      <c r="B45" s="1" t="s">
        <v>63</v>
      </c>
      <c r="C45" s="1" t="s">
        <v>97</v>
      </c>
      <c r="D45" s="1" t="str">
        <f>_xlfn.XLOOKUP(C45,mfscreener.portfolio_holdings_v!$C:$C,mfscreener.portfolio_holdings_v!$E:$E)</f>
        <v>Consumption</v>
      </c>
      <c r="E45" s="1" t="str">
        <f>_xlfn.XLOOKUP(C45,mfscreener.portfolio_holdings_v!$C:$C,mfscreener.portfolio_holdings_v!$D:$D)</f>
        <v>Equity</v>
      </c>
      <c r="F45" s="4">
        <v>3543.85</v>
      </c>
      <c r="G45" s="4">
        <v>0.6</v>
      </c>
      <c r="H45" s="4">
        <v>0.47</v>
      </c>
      <c r="I45" s="1" t="s">
        <v>98</v>
      </c>
      <c r="J45" s="4">
        <v>14</v>
      </c>
      <c r="K45" s="1"/>
    </row>
    <row r="46" spans="1:11" ht="12.5">
      <c r="A46" s="3">
        <v>46022</v>
      </c>
      <c r="B46" s="1" t="s">
        <v>63</v>
      </c>
      <c r="C46" s="1" t="s">
        <v>99</v>
      </c>
      <c r="D46" s="1" t="str">
        <f>_xlfn.XLOOKUP(C46,mfscreener.portfolio_holdings_v!$C:$C,mfscreener.portfolio_holdings_v!$E:$E)</f>
        <v>Momentum</v>
      </c>
      <c r="E46" s="1" t="str">
        <f>_xlfn.XLOOKUP(C46,mfscreener.portfolio_holdings_v!$C:$C,mfscreener.portfolio_holdings_v!$D:$D)</f>
        <v>Equity</v>
      </c>
      <c r="F46" s="4">
        <v>1210.72</v>
      </c>
      <c r="G46" s="4">
        <v>0.61</v>
      </c>
      <c r="H46" s="4">
        <v>1.6</v>
      </c>
      <c r="I46" s="1" t="s">
        <v>1597</v>
      </c>
      <c r="J46" s="4">
        <v>16</v>
      </c>
      <c r="K46" s="1"/>
    </row>
    <row r="47" spans="1:11" ht="12.5">
      <c r="A47" s="3">
        <v>46022</v>
      </c>
      <c r="B47" s="1" t="s">
        <v>63</v>
      </c>
      <c r="C47" s="1" t="s">
        <v>100</v>
      </c>
      <c r="D47" s="1" t="str">
        <f>_xlfn.XLOOKUP(C47,mfscreener.portfolio_holdings_v!$C:$C,mfscreener.portfolio_holdings_v!$E:$E)</f>
        <v>Services Opportunities</v>
      </c>
      <c r="E47" s="1" t="str">
        <f>_xlfn.XLOOKUP(C47,mfscreener.portfolio_holdings_v!$C:$C,mfscreener.portfolio_holdings_v!$D:$D)</f>
        <v>Equity</v>
      </c>
      <c r="F47" s="4">
        <v>1901.5</v>
      </c>
      <c r="G47" s="4">
        <v>0.7</v>
      </c>
      <c r="H47" s="1"/>
      <c r="I47" s="1" t="s">
        <v>68</v>
      </c>
      <c r="J47" s="1" t="s">
        <v>69</v>
      </c>
      <c r="K47" s="1"/>
    </row>
    <row r="48" spans="1:11" ht="12.5">
      <c r="A48" s="3">
        <v>46022</v>
      </c>
      <c r="B48" s="1" t="s">
        <v>63</v>
      </c>
      <c r="C48" s="1" t="s">
        <v>101</v>
      </c>
      <c r="D48" s="1" t="str">
        <f>_xlfn.XLOOKUP(C48,mfscreener.portfolio_holdings_v!$C:$C,mfscreener.portfolio_holdings_v!$E:$E)</f>
        <v>Conservative Hybrid</v>
      </c>
      <c r="E48" s="1" t="str">
        <f>_xlfn.XLOOKUP(C48,mfscreener.portfolio_holdings_v!$C:$C,mfscreener.portfolio_holdings_v!$D:$D)</f>
        <v>Hybrid</v>
      </c>
      <c r="F48" s="4">
        <v>234.6</v>
      </c>
      <c r="G48" s="4">
        <v>1.1100000000000001</v>
      </c>
      <c r="H48" s="1"/>
      <c r="I48" s="1" t="s">
        <v>1598</v>
      </c>
      <c r="J48" s="1" t="s">
        <v>102</v>
      </c>
      <c r="K48" s="1"/>
    </row>
    <row r="49" spans="1:11" ht="12.5">
      <c r="A49" s="3">
        <v>46022</v>
      </c>
      <c r="B49" s="1" t="s">
        <v>63</v>
      </c>
      <c r="C49" s="1" t="s">
        <v>103</v>
      </c>
      <c r="D49" s="1" t="str">
        <f>_xlfn.XLOOKUP(C49,mfscreener.portfolio_holdings_v!$C:$C,mfscreener.portfolio_holdings_v!$E:$E)</f>
        <v>Equity Savings</v>
      </c>
      <c r="E49" s="1" t="str">
        <f>_xlfn.XLOOKUP(C49,mfscreener.portfolio_holdings_v!$C:$C,mfscreener.portfolio_holdings_v!$D:$D)</f>
        <v>Hybrid</v>
      </c>
      <c r="F49" s="4">
        <v>928.1</v>
      </c>
      <c r="G49" s="4">
        <v>1.06</v>
      </c>
      <c r="H49" s="1"/>
      <c r="I49" s="1" t="s">
        <v>1612</v>
      </c>
      <c r="J49" s="1" t="s">
        <v>104</v>
      </c>
      <c r="K49" s="1"/>
    </row>
    <row r="50" spans="1:11" ht="12.5">
      <c r="A50" s="3">
        <v>46022</v>
      </c>
      <c r="B50" s="1" t="s">
        <v>63</v>
      </c>
      <c r="C50" s="1" t="s">
        <v>105</v>
      </c>
      <c r="D50" s="1" t="str">
        <f>_xlfn.XLOOKUP(C50,mfscreener.portfolio_holdings_v!$C:$C,mfscreener.portfolio_holdings_v!$E:$E)</f>
        <v>Multi Asset Allocation</v>
      </c>
      <c r="E50" s="1" t="str">
        <f>_xlfn.XLOOKUP(C50,mfscreener.portfolio_holdings_v!$C:$C,mfscreener.portfolio_holdings_v!$D:$D)</f>
        <v>Hybrid</v>
      </c>
      <c r="F50" s="4">
        <v>1831.79</v>
      </c>
      <c r="G50" s="4">
        <v>0.92</v>
      </c>
      <c r="H50" s="1"/>
      <c r="I50" s="1" t="s">
        <v>1599</v>
      </c>
      <c r="J50" s="1" t="s">
        <v>106</v>
      </c>
      <c r="K50" s="1"/>
    </row>
    <row r="51" spans="1:11" ht="12.5">
      <c r="A51" s="3">
        <v>46022</v>
      </c>
      <c r="B51" s="1" t="s">
        <v>63</v>
      </c>
      <c r="C51" s="1" t="s">
        <v>107</v>
      </c>
      <c r="D51" s="1" t="str">
        <f>_xlfn.XLOOKUP(C51,mfscreener.portfolio_holdings_v!$C:$C,mfscreener.portfolio_holdings_v!$E:$E)</f>
        <v>Aggressive Hybrid</v>
      </c>
      <c r="E51" s="1" t="str">
        <f>_xlfn.XLOOKUP(C51,mfscreener.portfolio_holdings_v!$C:$C,mfscreener.portfolio_holdings_v!$D:$D)</f>
        <v>Hybrid</v>
      </c>
      <c r="F51" s="4">
        <v>1551.98</v>
      </c>
      <c r="G51" s="4">
        <v>1.08</v>
      </c>
      <c r="H51" s="1"/>
      <c r="I51" s="1" t="s">
        <v>1613</v>
      </c>
      <c r="J51" s="1" t="s">
        <v>108</v>
      </c>
      <c r="K51" s="1"/>
    </row>
    <row r="52" spans="1:11" ht="12.5">
      <c r="A52" s="3">
        <v>46022</v>
      </c>
      <c r="B52" s="1" t="s">
        <v>63</v>
      </c>
      <c r="C52" s="1" t="s">
        <v>109</v>
      </c>
      <c r="D52" s="1" t="str">
        <f>_xlfn.XLOOKUP(C52,mfscreener.portfolio_holdings_v!$C:$C,mfscreener.portfolio_holdings_v!$E:$E)</f>
        <v>Children's Fund</v>
      </c>
      <c r="E52" s="1" t="str">
        <f>_xlfn.XLOOKUP(C52,mfscreener.portfolio_holdings_v!$C:$C,mfscreener.portfolio_holdings_v!$D:$D)</f>
        <v>Hybrid</v>
      </c>
      <c r="F52" s="4">
        <v>920.63</v>
      </c>
      <c r="G52" s="4">
        <v>1.38</v>
      </c>
      <c r="H52" s="1"/>
      <c r="I52" s="1" t="s">
        <v>1614</v>
      </c>
      <c r="J52" s="1" t="s">
        <v>110</v>
      </c>
      <c r="K52" s="1"/>
    </row>
    <row r="53" spans="1:11" ht="12.5">
      <c r="A53" s="3">
        <v>46022</v>
      </c>
      <c r="B53" s="1" t="s">
        <v>63</v>
      </c>
      <c r="C53" s="1" t="s">
        <v>111</v>
      </c>
      <c r="D53" s="1" t="str">
        <f>_xlfn.XLOOKUP(C53,mfscreener.portfolio_holdings_v!$C:$C,mfscreener.portfolio_holdings_v!$E:$E)</f>
        <v>Balanced Advantage</v>
      </c>
      <c r="E53" s="1" t="str">
        <f>_xlfn.XLOOKUP(C53,mfscreener.portfolio_holdings_v!$C:$C,mfscreener.portfolio_holdings_v!$D:$D)</f>
        <v>Hybrid</v>
      </c>
      <c r="F53" s="4">
        <v>3801.02</v>
      </c>
      <c r="G53" s="4">
        <v>0.73</v>
      </c>
      <c r="H53" s="1"/>
      <c r="I53" s="1" t="s">
        <v>1615</v>
      </c>
      <c r="J53" s="1" t="s">
        <v>112</v>
      </c>
      <c r="K53" s="1"/>
    </row>
    <row r="54" spans="1:11" ht="12.5">
      <c r="A54" s="3">
        <v>46022</v>
      </c>
      <c r="B54" s="1" t="s">
        <v>63</v>
      </c>
      <c r="C54" s="1" t="s">
        <v>113</v>
      </c>
      <c r="D54" s="1" t="str">
        <f>_xlfn.XLOOKUP(C54,mfscreener.portfolio_holdings_v!$C:$C,mfscreener.portfolio_holdings_v!$E:$E)</f>
        <v>Arbitrage</v>
      </c>
      <c r="E54" s="1" t="str">
        <f>_xlfn.XLOOKUP(C54,mfscreener.portfolio_holdings_v!$C:$C,mfscreener.portfolio_holdings_v!$D:$D)</f>
        <v>Hybrid</v>
      </c>
      <c r="F54" s="4">
        <v>8103.39</v>
      </c>
      <c r="G54" s="4">
        <v>0.33</v>
      </c>
      <c r="H54" s="1"/>
      <c r="I54" s="1" t="s">
        <v>1616</v>
      </c>
      <c r="J54" s="1" t="s">
        <v>114</v>
      </c>
      <c r="K54" s="1"/>
    </row>
    <row r="55" spans="1:11" ht="14.5">
      <c r="A55" s="3">
        <v>46022</v>
      </c>
      <c r="B55" s="1" t="s">
        <v>115</v>
      </c>
      <c r="C55" s="1" t="s">
        <v>116</v>
      </c>
      <c r="D55" s="1" t="str">
        <f>_xlfn.XLOOKUP(C55,mfscreener.portfolio_holdings_v!$C:$C,mfscreener.portfolio_holdings_v!$E:$E)</f>
        <v>Flexi Cap</v>
      </c>
      <c r="E55" s="1" t="str">
        <f>_xlfn.XLOOKUP(C55,mfscreener.portfolio_holdings_v!$C:$C,mfscreener.portfolio_holdings_v!$D:$D)</f>
        <v>Equity</v>
      </c>
      <c r="F55" s="4">
        <v>6158.13</v>
      </c>
      <c r="G55" s="4">
        <v>0.48</v>
      </c>
      <c r="H55" s="4">
        <v>0.93</v>
      </c>
      <c r="I55" s="1" t="s">
        <v>117</v>
      </c>
      <c r="J55" s="2" t="s">
        <v>118</v>
      </c>
      <c r="K55" s="1"/>
    </row>
    <row r="56" spans="1:11" ht="14.5">
      <c r="A56" s="3">
        <v>46022</v>
      </c>
      <c r="B56" s="1" t="s">
        <v>115</v>
      </c>
      <c r="C56" s="1" t="s">
        <v>119</v>
      </c>
      <c r="D56" s="1" t="str">
        <f>_xlfn.XLOOKUP(C56,mfscreener.portfolio_holdings_v!$C:$C,mfscreener.portfolio_holdings_v!$E:$E)</f>
        <v>Large Cap</v>
      </c>
      <c r="E56" s="1" t="str">
        <f>_xlfn.XLOOKUP(C56,mfscreener.portfolio_holdings_v!$C:$C,mfscreener.portfolio_holdings_v!$D:$D)</f>
        <v>Equity</v>
      </c>
      <c r="F56" s="4">
        <v>1661.13</v>
      </c>
      <c r="G56" s="4">
        <v>0.59</v>
      </c>
      <c r="H56" s="4">
        <v>1.1100000000000001</v>
      </c>
      <c r="I56" s="1" t="s">
        <v>117</v>
      </c>
      <c r="J56" s="2" t="s">
        <v>118</v>
      </c>
      <c r="K56" s="1"/>
    </row>
    <row r="57" spans="1:11" ht="14.5">
      <c r="A57" s="3">
        <v>46022</v>
      </c>
      <c r="B57" s="1" t="s">
        <v>115</v>
      </c>
      <c r="C57" s="1" t="s">
        <v>120</v>
      </c>
      <c r="D57" s="1" t="str">
        <f>_xlfn.XLOOKUP(C57,mfscreener.portfolio_holdings_v!$C:$C,mfscreener.portfolio_holdings_v!$E:$E)</f>
        <v>Large &amp; Mid Cap</v>
      </c>
      <c r="E57" s="1" t="str">
        <f>_xlfn.XLOOKUP(C57,mfscreener.portfolio_holdings_v!$C:$C,mfscreener.portfolio_holdings_v!$D:$D)</f>
        <v>Equity</v>
      </c>
      <c r="F57" s="7">
        <v>2280.92</v>
      </c>
      <c r="G57" s="4">
        <v>0.59</v>
      </c>
      <c r="H57" s="4">
        <v>1.1499999999999999</v>
      </c>
      <c r="I57" s="1" t="s">
        <v>117</v>
      </c>
      <c r="J57" s="2" t="s">
        <v>118</v>
      </c>
      <c r="K57" s="1"/>
    </row>
    <row r="58" spans="1:11" ht="14.5">
      <c r="A58" s="3">
        <v>46022</v>
      </c>
      <c r="B58" s="1" t="s">
        <v>115</v>
      </c>
      <c r="C58" s="1" t="s">
        <v>121</v>
      </c>
      <c r="D58" s="1" t="str">
        <f>_xlfn.XLOOKUP(C58,mfscreener.portfolio_holdings_v!$C:$C,mfscreener.portfolio_holdings_v!$E:$E)</f>
        <v>Small Cap</v>
      </c>
      <c r="E58" s="1" t="str">
        <f>_xlfn.XLOOKUP(C58,mfscreener.portfolio_holdings_v!$C:$C,mfscreener.portfolio_holdings_v!$D:$D)</f>
        <v>Equity</v>
      </c>
      <c r="F58" s="7">
        <v>1519.23</v>
      </c>
      <c r="G58" s="4">
        <v>0.44</v>
      </c>
      <c r="H58" s="1"/>
      <c r="I58" s="1" t="s">
        <v>117</v>
      </c>
      <c r="J58" s="2" t="s">
        <v>118</v>
      </c>
      <c r="K58" s="1"/>
    </row>
    <row r="59" spans="1:11" ht="14.5">
      <c r="A59" s="3">
        <v>46022</v>
      </c>
      <c r="B59" s="1" t="s">
        <v>115</v>
      </c>
      <c r="C59" s="1" t="s">
        <v>122</v>
      </c>
      <c r="D59" s="1" t="s">
        <v>1459</v>
      </c>
      <c r="E59" s="1" t="str">
        <f>_xlfn.XLOOKUP(C59,mfscreener.portfolio_holdings_v!$C:$C,mfscreener.portfolio_holdings_v!$D:$D)</f>
        <v>Equity</v>
      </c>
      <c r="F59" s="4">
        <v>676.06</v>
      </c>
      <c r="G59" s="4">
        <v>0.72</v>
      </c>
      <c r="H59" s="1"/>
      <c r="I59" s="1" t="s">
        <v>1617</v>
      </c>
      <c r="J59" s="2" t="s">
        <v>123</v>
      </c>
      <c r="K59" s="1"/>
    </row>
    <row r="60" spans="1:11" ht="14.5">
      <c r="A60" s="3">
        <v>46022</v>
      </c>
      <c r="B60" s="1" t="s">
        <v>115</v>
      </c>
      <c r="C60" s="1" t="s">
        <v>124</v>
      </c>
      <c r="D60" s="1" t="str">
        <f>_xlfn.XLOOKUP(C60,mfscreener.portfolio_holdings_v!$C:$C,mfscreener.portfolio_holdings_v!$E:$E)</f>
        <v>ELSS</v>
      </c>
      <c r="E60" s="1" t="str">
        <f>_xlfn.XLOOKUP(C60,mfscreener.portfolio_holdings_v!$C:$C,mfscreener.portfolio_holdings_v!$D:$D)</f>
        <v>Equity</v>
      </c>
      <c r="F60" s="4">
        <v>72.430000000000007</v>
      </c>
      <c r="G60" s="4">
        <v>0.49</v>
      </c>
      <c r="H60" s="1"/>
      <c r="I60" s="1" t="s">
        <v>117</v>
      </c>
      <c r="J60" s="2" t="s">
        <v>118</v>
      </c>
      <c r="K60" s="1"/>
    </row>
    <row r="61" spans="1:11" ht="12.5">
      <c r="A61" s="3">
        <v>46022</v>
      </c>
      <c r="B61" s="1" t="s">
        <v>115</v>
      </c>
      <c r="C61" s="1" t="s">
        <v>125</v>
      </c>
      <c r="D61" s="1" t="s">
        <v>1438</v>
      </c>
      <c r="E61" s="1" t="str">
        <f>_xlfn.XLOOKUP(C61,mfscreener.portfolio_holdings_v!$C:$C,mfscreener.portfolio_holdings_v!$D:$D)</f>
        <v>Equity</v>
      </c>
      <c r="F61" s="1"/>
      <c r="G61" s="1"/>
      <c r="H61" s="1"/>
      <c r="I61" s="1"/>
      <c r="J61" s="1"/>
      <c r="K61" s="1"/>
    </row>
    <row r="62" spans="1:11" ht="14.5">
      <c r="A62" s="3">
        <v>46022</v>
      </c>
      <c r="B62" s="1" t="s">
        <v>115</v>
      </c>
      <c r="C62" s="1" t="s">
        <v>126</v>
      </c>
      <c r="D62" s="1" t="s">
        <v>1480</v>
      </c>
      <c r="E62" s="1" t="str">
        <f>_xlfn.XLOOKUP(C62,mfscreener.portfolio_holdings_v!$C:$C,mfscreener.portfolio_holdings_v!$D:$D)</f>
        <v>Equity</v>
      </c>
      <c r="F62" s="4">
        <v>337.56</v>
      </c>
      <c r="G62" s="4">
        <v>0.72</v>
      </c>
      <c r="H62" s="1"/>
      <c r="I62" s="1" t="s">
        <v>117</v>
      </c>
      <c r="J62" s="2" t="s">
        <v>118</v>
      </c>
      <c r="K62" s="1"/>
    </row>
    <row r="63" spans="1:11" ht="14.5">
      <c r="A63" s="3">
        <v>46022</v>
      </c>
      <c r="B63" s="1" t="s">
        <v>115</v>
      </c>
      <c r="C63" s="1" t="s">
        <v>127</v>
      </c>
      <c r="D63" s="1" t="str">
        <f>_xlfn.XLOOKUP(C63,mfscreener.portfolio_holdings_v!$C:$C,mfscreener.portfolio_holdings_v!$E:$E)</f>
        <v>Multi Asset Allocation</v>
      </c>
      <c r="E63" s="1" t="str">
        <f>_xlfn.XLOOKUP(C63,mfscreener.portfolio_holdings_v!$C:$C,mfscreener.portfolio_holdings_v!$D:$D)</f>
        <v>Hybrid</v>
      </c>
      <c r="F63" s="7">
        <v>1304.8900000000001</v>
      </c>
      <c r="G63" s="4">
        <v>0.48</v>
      </c>
      <c r="H63" s="1"/>
      <c r="I63" s="1" t="s">
        <v>1618</v>
      </c>
      <c r="J63" s="2" t="s">
        <v>128</v>
      </c>
      <c r="K63" s="1"/>
    </row>
    <row r="64" spans="1:11" ht="14.5">
      <c r="A64" s="3">
        <v>46022</v>
      </c>
      <c r="B64" s="1" t="s">
        <v>115</v>
      </c>
      <c r="C64" s="1" t="s">
        <v>129</v>
      </c>
      <c r="D64" s="1" t="str">
        <f>_xlfn.XLOOKUP(C64,mfscreener.portfolio_holdings_v!$C:$C,mfscreener.portfolio_holdings_v!$E:$E)</f>
        <v>Balanced Advantage</v>
      </c>
      <c r="E64" s="1" t="str">
        <f>_xlfn.XLOOKUP(C64,mfscreener.portfolio_holdings_v!$C:$C,mfscreener.portfolio_holdings_v!$D:$D)</f>
        <v>Hybrid</v>
      </c>
      <c r="F64" s="7">
        <v>1335.25</v>
      </c>
      <c r="G64" s="4">
        <v>0.56000000000000005</v>
      </c>
      <c r="H64" s="4">
        <v>0.95</v>
      </c>
      <c r="I64" s="1" t="s">
        <v>117</v>
      </c>
      <c r="J64" s="2" t="s">
        <v>118</v>
      </c>
      <c r="K64" s="1"/>
    </row>
    <row r="65" spans="1:11" ht="12.5">
      <c r="A65" s="3">
        <v>46022</v>
      </c>
      <c r="B65" s="1" t="s">
        <v>115</v>
      </c>
      <c r="C65" s="1" t="s">
        <v>130</v>
      </c>
      <c r="D65" s="1" t="str">
        <f>_xlfn.XLOOKUP(C65,mfscreener.portfolio_holdings_v!$C:$C,mfscreener.portfolio_holdings_v!$E:$E)</f>
        <v>Equity Savings</v>
      </c>
      <c r="E65" s="1" t="str">
        <f>_xlfn.XLOOKUP(C65,mfscreener.portfolio_holdings_v!$C:$C,mfscreener.portfolio_holdings_v!$D:$D)</f>
        <v>Hybrid</v>
      </c>
      <c r="F65" s="4">
        <v>28.76</v>
      </c>
      <c r="G65" s="4">
        <v>0.3</v>
      </c>
      <c r="H65" s="1"/>
      <c r="I65" s="1" t="s">
        <v>131</v>
      </c>
      <c r="J65" s="1" t="s">
        <v>132</v>
      </c>
      <c r="K65" s="1"/>
    </row>
    <row r="66" spans="1:11" ht="14.5">
      <c r="A66" s="3">
        <v>46022</v>
      </c>
      <c r="B66" s="1" t="s">
        <v>115</v>
      </c>
      <c r="C66" s="1" t="s">
        <v>133</v>
      </c>
      <c r="D66" s="1" t="str">
        <f>_xlfn.XLOOKUP(C66,mfscreener.portfolio_holdings_v!$C:$C,mfscreener.portfolio_holdings_v!$E:$E)</f>
        <v>Arbitrage</v>
      </c>
      <c r="E66" s="1" t="str">
        <f>_xlfn.XLOOKUP(C66,mfscreener.portfolio_holdings_v!$C:$C,mfscreener.portfolio_holdings_v!$D:$D)</f>
        <v>Hybrid</v>
      </c>
      <c r="F66" s="7">
        <v>1251.02</v>
      </c>
      <c r="G66" s="4">
        <v>0.31</v>
      </c>
      <c r="H66" s="1"/>
      <c r="I66" s="1" t="s">
        <v>134</v>
      </c>
      <c r="J66" s="2" t="s">
        <v>135</v>
      </c>
      <c r="K66" s="1"/>
    </row>
    <row r="67" spans="1:11" ht="14.5">
      <c r="A67" s="3">
        <v>46022</v>
      </c>
      <c r="B67" s="1" t="s">
        <v>115</v>
      </c>
      <c r="C67" s="1" t="s">
        <v>136</v>
      </c>
      <c r="D67" s="1" t="str">
        <f>_xlfn.XLOOKUP(C67,mfscreener.portfolio_holdings_v!$C:$C,mfscreener.portfolio_holdings_v!$E:$E)</f>
        <v>multi cap</v>
      </c>
      <c r="E67" s="1" t="str">
        <f>_xlfn.XLOOKUP(C67,mfscreener.portfolio_holdings_v!$C:$C,mfscreener.portfolio_holdings_v!$D:$D)</f>
        <v>equity</v>
      </c>
      <c r="F67" s="7">
        <v>1049.8599999999999</v>
      </c>
      <c r="G67" s="4">
        <v>0.67</v>
      </c>
      <c r="H67" s="1"/>
      <c r="I67" s="1" t="s">
        <v>117</v>
      </c>
      <c r="J67" s="2" t="s">
        <v>118</v>
      </c>
      <c r="K67" s="1"/>
    </row>
    <row r="68" spans="1:11" ht="14.5">
      <c r="A68" s="3">
        <v>46022</v>
      </c>
      <c r="B68" s="1" t="s">
        <v>137</v>
      </c>
      <c r="C68" s="1" t="s">
        <v>138</v>
      </c>
      <c r="D68" s="1" t="str">
        <f>_xlfn.XLOOKUP(C68,mfscreener.portfolio_holdings_v!$C:$C,mfscreener.portfolio_holdings_v!$E:$E)</f>
        <v>Flexi Cap</v>
      </c>
      <c r="E68" s="1" t="str">
        <f>_xlfn.XLOOKUP(C68,mfscreener.portfolio_holdings_v!$C:$C,mfscreener.portfolio_holdings_v!$D:$D)</f>
        <v>Equity</v>
      </c>
      <c r="F68" s="5">
        <v>2227.84</v>
      </c>
      <c r="G68" s="5">
        <v>0.5</v>
      </c>
      <c r="H68" s="5">
        <v>0.55000000000000004</v>
      </c>
      <c r="I68" s="1" t="s">
        <v>139</v>
      </c>
      <c r="J68" s="5">
        <v>20</v>
      </c>
      <c r="K68" s="1"/>
    </row>
    <row r="69" spans="1:11" ht="14.5">
      <c r="A69" s="3">
        <v>46022</v>
      </c>
      <c r="B69" s="1" t="s">
        <v>137</v>
      </c>
      <c r="C69" s="1" t="s">
        <v>140</v>
      </c>
      <c r="D69" s="1" t="str">
        <f>_xlfn.XLOOKUP(C69,mfscreener.portfolio_holdings_v!$C:$C,mfscreener.portfolio_holdings_v!$E:$E)</f>
        <v>Small Cap</v>
      </c>
      <c r="E69" s="1" t="str">
        <f>_xlfn.XLOOKUP(C69,mfscreener.portfolio_holdings_v!$C:$C,mfscreener.portfolio_holdings_v!$D:$D)</f>
        <v>Equity</v>
      </c>
      <c r="F69" s="8">
        <v>1929.5</v>
      </c>
      <c r="G69" s="5">
        <v>0.53</v>
      </c>
      <c r="H69" s="5">
        <v>0.56000000000000005</v>
      </c>
      <c r="I69" s="1" t="s">
        <v>141</v>
      </c>
      <c r="J69" s="2" t="s">
        <v>142</v>
      </c>
      <c r="K69" s="1"/>
    </row>
    <row r="70" spans="1:11" ht="14.5">
      <c r="A70" s="3">
        <v>46022</v>
      </c>
      <c r="B70" s="1" t="s">
        <v>137</v>
      </c>
      <c r="C70" s="1" t="s">
        <v>143</v>
      </c>
      <c r="D70" s="1" t="str">
        <f>_xlfn.XLOOKUP(C70,mfscreener.portfolio_holdings_v!$C:$C,mfscreener.portfolio_holdings_v!$E:$E)</f>
        <v>Multi Cap</v>
      </c>
      <c r="E70" s="1" t="str">
        <f>_xlfn.XLOOKUP(C70,mfscreener.portfolio_holdings_v!$C:$C,mfscreener.portfolio_holdings_v!$D:$D)</f>
        <v>Equity</v>
      </c>
      <c r="F70" s="5">
        <v>994.43</v>
      </c>
      <c r="G70" s="5">
        <v>0.79</v>
      </c>
      <c r="H70" s="5">
        <v>0.55000000000000004</v>
      </c>
      <c r="I70" s="2" t="s">
        <v>144</v>
      </c>
      <c r="J70" s="5">
        <v>16</v>
      </c>
      <c r="K70" s="1"/>
    </row>
    <row r="71" spans="1:11" ht="14.5">
      <c r="A71" s="3">
        <v>46022</v>
      </c>
      <c r="B71" s="1" t="s">
        <v>137</v>
      </c>
      <c r="C71" s="1" t="s">
        <v>145</v>
      </c>
      <c r="D71" s="1" t="str">
        <f>_xlfn.XLOOKUP(C71,mfscreener.portfolio_holdings_v!$C:$C,mfscreener.portfolio_holdings_v!$E:$E)</f>
        <v>Mid Cap</v>
      </c>
      <c r="E71" s="1" t="str">
        <f>_xlfn.XLOOKUP(C71,mfscreener.portfolio_holdings_v!$C:$C,mfscreener.portfolio_holdings_v!$D:$D)</f>
        <v>Equity</v>
      </c>
      <c r="F71" s="5">
        <v>675.86</v>
      </c>
      <c r="G71" s="5">
        <v>1.1200000000000001</v>
      </c>
      <c r="H71" s="5">
        <v>0.13</v>
      </c>
      <c r="I71" s="1" t="s">
        <v>139</v>
      </c>
      <c r="J71" s="5">
        <v>20</v>
      </c>
      <c r="K71" s="1"/>
    </row>
    <row r="72" spans="1:11" ht="14.5">
      <c r="A72" s="3">
        <v>46022</v>
      </c>
      <c r="B72" s="1" t="s">
        <v>137</v>
      </c>
      <c r="C72" s="1" t="s">
        <v>146</v>
      </c>
      <c r="D72" s="1" t="str">
        <f>_xlfn.XLOOKUP(C72,mfscreener.portfolio_holdings_v!$C:$C,mfscreener.portfolio_holdings_v!$E:$E)</f>
        <v>Large Cap</v>
      </c>
      <c r="E72" s="1" t="str">
        <f>_xlfn.XLOOKUP(C72,mfscreener.portfolio_holdings_v!$C:$C,mfscreener.portfolio_holdings_v!$D:$D)</f>
        <v>Equity</v>
      </c>
      <c r="F72" s="5">
        <v>207.39</v>
      </c>
      <c r="G72" s="5">
        <v>0.68</v>
      </c>
      <c r="H72" s="5">
        <v>0.7</v>
      </c>
      <c r="I72" s="1" t="s">
        <v>147</v>
      </c>
      <c r="J72" s="2" t="s">
        <v>148</v>
      </c>
      <c r="K72" s="1"/>
    </row>
    <row r="73" spans="1:11" ht="14.5">
      <c r="A73" s="3">
        <v>46022</v>
      </c>
      <c r="B73" s="1" t="s">
        <v>137</v>
      </c>
      <c r="C73" s="1" t="s">
        <v>149</v>
      </c>
      <c r="D73" s="1" t="str">
        <f>_xlfn.XLOOKUP(C73,mfscreener.portfolio_holdings_v!$C:$C,mfscreener.portfolio_holdings_v!$E:$E)</f>
        <v>Large &amp; Mid Cap</v>
      </c>
      <c r="E73" s="1" t="str">
        <f>_xlfn.XLOOKUP(C73,mfscreener.portfolio_holdings_v!$C:$C,mfscreener.portfolio_holdings_v!$D:$D)</f>
        <v>Equity</v>
      </c>
      <c r="F73" s="5">
        <v>449.58</v>
      </c>
      <c r="G73" s="5">
        <v>0.82</v>
      </c>
      <c r="H73" s="5">
        <v>0.53</v>
      </c>
      <c r="I73" s="2" t="s">
        <v>144</v>
      </c>
      <c r="J73" s="5">
        <v>16</v>
      </c>
      <c r="K73" s="1"/>
    </row>
    <row r="74" spans="1:11" ht="14.5">
      <c r="A74" s="3">
        <v>46022</v>
      </c>
      <c r="B74" s="1" t="s">
        <v>137</v>
      </c>
      <c r="C74" s="1" t="s">
        <v>150</v>
      </c>
      <c r="D74" s="1" t="str">
        <f>_xlfn.XLOOKUP(C74,mfscreener.portfolio_holdings_v!$C:$C,mfscreener.portfolio_holdings_v!$E:$E)</f>
        <v>ELSS</v>
      </c>
      <c r="E74" s="1" t="str">
        <f>_xlfn.XLOOKUP(C74,mfscreener.portfolio_holdings_v!$C:$C,mfscreener.portfolio_holdings_v!$D:$D)</f>
        <v>Equity</v>
      </c>
      <c r="F74" s="5">
        <v>1388.21</v>
      </c>
      <c r="G74" s="5">
        <v>0.77</v>
      </c>
      <c r="H74" s="5">
        <v>0.49</v>
      </c>
      <c r="I74" s="1" t="s">
        <v>139</v>
      </c>
      <c r="J74" s="5">
        <v>20</v>
      </c>
      <c r="K74" s="1"/>
    </row>
    <row r="75" spans="1:11" ht="12.5">
      <c r="A75" s="3">
        <v>46022</v>
      </c>
      <c r="B75" s="1" t="s">
        <v>137</v>
      </c>
      <c r="C75" s="1" t="s">
        <v>151</v>
      </c>
      <c r="D75" s="1" t="s">
        <v>1445</v>
      </c>
      <c r="E75" s="1" t="str">
        <f>_xlfn.XLOOKUP(C75,mfscreener.portfolio_holdings_v!$C:$C,mfscreener.portfolio_holdings_v!$D:$D)</f>
        <v>Equity</v>
      </c>
      <c r="F75" s="9">
        <v>660.6</v>
      </c>
      <c r="G75" s="1">
        <v>0.62</v>
      </c>
      <c r="H75" s="1">
        <v>0.5</v>
      </c>
      <c r="I75" s="9" t="s">
        <v>144</v>
      </c>
      <c r="J75" s="1">
        <v>16</v>
      </c>
      <c r="K75" s="1"/>
    </row>
    <row r="76" spans="1:11" ht="14.5">
      <c r="A76" s="3">
        <v>46022</v>
      </c>
      <c r="B76" s="1" t="s">
        <v>137</v>
      </c>
      <c r="C76" s="1" t="s">
        <v>152</v>
      </c>
      <c r="D76" s="1" t="str">
        <f>_xlfn.XLOOKUP(C76,mfscreener.portfolio_holdings_v!$C:$C,mfscreener.portfolio_holdings_v!$E:$E)</f>
        <v>Business Cycle</v>
      </c>
      <c r="E76" s="1" t="str">
        <f>_xlfn.XLOOKUP(C76,mfscreener.portfolio_holdings_v!$C:$C,mfscreener.portfolio_holdings_v!$D:$D)</f>
        <v>Equity</v>
      </c>
      <c r="F76" s="9">
        <v>512.80999999999995</v>
      </c>
      <c r="G76" s="1">
        <v>1.01</v>
      </c>
      <c r="H76" s="1">
        <v>0.66</v>
      </c>
      <c r="I76" s="1" t="s">
        <v>139</v>
      </c>
      <c r="J76" s="5">
        <v>20</v>
      </c>
      <c r="K76" s="1"/>
    </row>
    <row r="77" spans="1:11" ht="12.5">
      <c r="A77" s="3">
        <v>46022</v>
      </c>
      <c r="B77" s="1" t="s">
        <v>137</v>
      </c>
      <c r="C77" s="1" t="s">
        <v>153</v>
      </c>
      <c r="D77" s="1" t="str">
        <f>_xlfn.XLOOKUP(C77,mfscreener.portfolio_holdings_v!$C:$C,mfscreener.portfolio_holdings_v!$E:$E)</f>
        <v>Consumption</v>
      </c>
      <c r="E77" s="1" t="str">
        <f>_xlfn.XLOOKUP(C77,mfscreener.portfolio_holdings_v!$C:$C,mfscreener.portfolio_holdings_v!$D:$D)</f>
        <v>Equity</v>
      </c>
      <c r="F77" s="9">
        <v>416.16</v>
      </c>
      <c r="G77" s="1">
        <v>1.08</v>
      </c>
      <c r="H77" s="1">
        <v>0.54</v>
      </c>
      <c r="I77" s="9" t="s">
        <v>144</v>
      </c>
      <c r="J77" s="1">
        <v>16</v>
      </c>
      <c r="K77" s="1"/>
    </row>
    <row r="78" spans="1:11" ht="14.5">
      <c r="A78" s="3">
        <v>46022</v>
      </c>
      <c r="B78" s="1" t="s">
        <v>137</v>
      </c>
      <c r="C78" s="1" t="s">
        <v>154</v>
      </c>
      <c r="D78" s="1" t="str">
        <f>_xlfn.XLOOKUP(C78,mfscreener.portfolio_holdings_v!$C:$C,mfscreener.portfolio_holdings_v!$E:$E)</f>
        <v>Balanced Advantage</v>
      </c>
      <c r="E78" s="1" t="str">
        <f>_xlfn.XLOOKUP(C78,mfscreener.portfolio_holdings_v!$C:$C,mfscreener.portfolio_holdings_v!$D:$D)</f>
        <v>Hybrid</v>
      </c>
      <c r="F78" s="9">
        <v>146.37</v>
      </c>
      <c r="G78" s="1">
        <v>0.96</v>
      </c>
      <c r="H78" s="10"/>
      <c r="I78" s="1" t="s">
        <v>139</v>
      </c>
      <c r="J78" s="5">
        <v>20</v>
      </c>
      <c r="K78" s="1"/>
    </row>
    <row r="79" spans="1:11" ht="12.5">
      <c r="A79" s="3">
        <v>46022</v>
      </c>
      <c r="B79" s="1" t="s">
        <v>137</v>
      </c>
      <c r="C79" s="1" t="s">
        <v>155</v>
      </c>
      <c r="D79" s="1" t="str">
        <f>_xlfn.XLOOKUP(C79,mfscreener.portfolio_holdings_v!$C:$C,mfscreener.portfolio_holdings_v!$E:$E)</f>
        <v>Multi Asset Allocation</v>
      </c>
      <c r="E79" s="1" t="str">
        <f>_xlfn.XLOOKUP(C79,mfscreener.portfolio_holdings_v!$C:$C,mfscreener.portfolio_holdings_v!$D:$D)</f>
        <v>Hybrid</v>
      </c>
      <c r="F79" s="9">
        <v>341.97</v>
      </c>
      <c r="G79" s="1">
        <v>0.86</v>
      </c>
      <c r="H79" s="1">
        <v>0.87</v>
      </c>
      <c r="I79" s="1" t="s">
        <v>156</v>
      </c>
      <c r="J79" s="1" t="s">
        <v>157</v>
      </c>
      <c r="K79" s="1"/>
    </row>
    <row r="80" spans="1:11" ht="14.5">
      <c r="A80" s="3">
        <v>46022</v>
      </c>
      <c r="B80" s="1" t="s">
        <v>137</v>
      </c>
      <c r="C80" s="1" t="s">
        <v>158</v>
      </c>
      <c r="D80" s="1" t="str">
        <f>_xlfn.XLOOKUP(C80,mfscreener.portfolio_holdings_v!$C:$C,mfscreener.portfolio_holdings_v!$E:$E)</f>
        <v>Conservative Hybrid</v>
      </c>
      <c r="E80" s="1" t="str">
        <f>_xlfn.XLOOKUP(C80,mfscreener.portfolio_holdings_v!$C:$C,mfscreener.portfolio_holdings_v!$D:$D)</f>
        <v>Hybrid</v>
      </c>
      <c r="F80" s="1">
        <v>65.290000000000006</v>
      </c>
      <c r="G80" s="1">
        <v>1.24</v>
      </c>
      <c r="H80" s="10"/>
      <c r="I80" s="1" t="s">
        <v>139</v>
      </c>
      <c r="J80" s="5">
        <v>20</v>
      </c>
      <c r="K80" s="1"/>
    </row>
    <row r="81" spans="1:11" ht="12.5">
      <c r="A81" s="3">
        <v>46022</v>
      </c>
      <c r="B81" s="1" t="s">
        <v>137</v>
      </c>
      <c r="C81" s="1" t="s">
        <v>159</v>
      </c>
      <c r="D81" s="1" t="str">
        <f>_xlfn.XLOOKUP(C81,mfscreener.portfolio_holdings_v!$C:$C,mfscreener.portfolio_holdings_v!$E:$E)</f>
        <v>Arbitrage</v>
      </c>
      <c r="E81" s="1" t="str">
        <f>_xlfn.XLOOKUP(C81,mfscreener.portfolio_holdings_v!$C:$C,mfscreener.portfolio_holdings_v!$D:$D)</f>
        <v>Hybrid</v>
      </c>
      <c r="F81" s="1">
        <v>42.38</v>
      </c>
      <c r="G81" s="1">
        <v>0.37</v>
      </c>
      <c r="H81" s="10"/>
      <c r="I81" s="9" t="s">
        <v>160</v>
      </c>
      <c r="J81" s="1">
        <v>9</v>
      </c>
      <c r="K81" s="1"/>
    </row>
    <row r="82" spans="1:11" ht="14.5">
      <c r="A82" s="3">
        <v>46022</v>
      </c>
      <c r="B82" s="1" t="s">
        <v>137</v>
      </c>
      <c r="C82" s="11" t="s">
        <v>161</v>
      </c>
      <c r="D82" s="1" t="e">
        <f>_xlfn.XLOOKUP(C82,mfscreener.portfolio_holdings_v!$C:$C,mfscreener.portfolio_holdings_v!$E:$E)</f>
        <v>#N/A</v>
      </c>
      <c r="E82" s="1" t="e">
        <f>_xlfn.XLOOKUP(C82,mfscreener.portfolio_holdings_v!$C:$C,mfscreener.portfolio_holdings_v!$D:$D)</f>
        <v>#N/A</v>
      </c>
      <c r="F82" s="12">
        <v>1315.25</v>
      </c>
      <c r="G82" s="1">
        <v>0.68</v>
      </c>
      <c r="H82" s="1">
        <v>0.82</v>
      </c>
      <c r="I82" s="1" t="s">
        <v>139</v>
      </c>
      <c r="J82" s="5">
        <v>20</v>
      </c>
      <c r="K82" s="1"/>
    </row>
    <row r="83" spans="1:11" ht="14.5">
      <c r="A83" s="3">
        <v>46022</v>
      </c>
      <c r="B83" s="1" t="s">
        <v>162</v>
      </c>
      <c r="C83" s="1" t="s">
        <v>163</v>
      </c>
      <c r="D83" s="1" t="str">
        <f>_xlfn.XLOOKUP(C83,mfscreener.portfolio_holdings_v!$C:$C,mfscreener.portfolio_holdings_v!$E:$E)</f>
        <v>Large Cap</v>
      </c>
      <c r="E83" s="1" t="str">
        <f>_xlfn.XLOOKUP(C83,mfscreener.portfolio_holdings_v!$C:$C,mfscreener.portfolio_holdings_v!$D:$D)</f>
        <v>Equity</v>
      </c>
      <c r="F83" s="5">
        <v>2729.68</v>
      </c>
      <c r="G83" s="5">
        <v>0.82</v>
      </c>
      <c r="H83" s="5">
        <v>0.71</v>
      </c>
      <c r="I83" s="1" t="s">
        <v>164</v>
      </c>
      <c r="J83" s="2" t="s">
        <v>165</v>
      </c>
      <c r="K83" s="1"/>
    </row>
    <row r="84" spans="1:11" ht="14.5">
      <c r="A84" s="3">
        <v>46022</v>
      </c>
      <c r="B84" s="1" t="s">
        <v>162</v>
      </c>
      <c r="C84" s="1" t="s">
        <v>166</v>
      </c>
      <c r="D84" s="1" t="str">
        <f>_xlfn.XLOOKUP(C84,mfscreener.portfolio_holdings_v!$C:$C,mfscreener.portfolio_holdings_v!$E:$E)</f>
        <v>Mid Cap</v>
      </c>
      <c r="E84" s="1" t="str">
        <f>_xlfn.XLOOKUP(C84,mfscreener.portfolio_holdings_v!$C:$C,mfscreener.portfolio_holdings_v!$D:$D)</f>
        <v>Equity</v>
      </c>
      <c r="F84" s="5">
        <v>2298.06</v>
      </c>
      <c r="G84" s="5">
        <v>0.55000000000000004</v>
      </c>
      <c r="H84" s="5">
        <v>0.8</v>
      </c>
      <c r="I84" s="1" t="s">
        <v>167</v>
      </c>
      <c r="J84" s="2" t="s">
        <v>168</v>
      </c>
      <c r="K84" s="1"/>
    </row>
    <row r="85" spans="1:11" ht="14.5">
      <c r="A85" s="3">
        <v>46022</v>
      </c>
      <c r="B85" s="1" t="s">
        <v>162</v>
      </c>
      <c r="C85" s="1" t="s">
        <v>169</v>
      </c>
      <c r="D85" s="1" t="str">
        <f>_xlfn.XLOOKUP(C85,mfscreener.portfolio_holdings_v!$C:$C,mfscreener.portfolio_holdings_v!$E:$E)</f>
        <v>Small Cap</v>
      </c>
      <c r="E85" s="1" t="str">
        <f>_xlfn.XLOOKUP(C85,mfscreener.portfolio_holdings_v!$C:$C,mfscreener.portfolio_holdings_v!$D:$D)</f>
        <v>Equity</v>
      </c>
      <c r="F85" s="5">
        <v>1213.7</v>
      </c>
      <c r="G85" s="5">
        <v>0.95</v>
      </c>
      <c r="H85" s="5">
        <v>0.94</v>
      </c>
      <c r="I85" s="1" t="s">
        <v>170</v>
      </c>
      <c r="J85" s="2" t="s">
        <v>171</v>
      </c>
      <c r="K85" s="1"/>
    </row>
    <row r="86" spans="1:11" ht="14.5">
      <c r="A86" s="3">
        <v>46022</v>
      </c>
      <c r="B86" s="1" t="s">
        <v>162</v>
      </c>
      <c r="C86" s="1" t="s">
        <v>172</v>
      </c>
      <c r="D86" s="1" t="str">
        <f>_xlfn.XLOOKUP(C86,mfscreener.portfolio_holdings_v!$C:$C,mfscreener.portfolio_holdings_v!$E:$E)</f>
        <v>Large &amp; Mid Cap</v>
      </c>
      <c r="E86" s="1" t="str">
        <f>_xlfn.XLOOKUP(C86,mfscreener.portfolio_holdings_v!$C:$C,mfscreener.portfolio_holdings_v!$D:$D)</f>
        <v>Equity</v>
      </c>
      <c r="F86" s="5">
        <v>1732.31</v>
      </c>
      <c r="G86" s="5">
        <v>0.84</v>
      </c>
      <c r="H86" s="5">
        <v>0.84</v>
      </c>
      <c r="I86" s="1" t="s">
        <v>173</v>
      </c>
      <c r="J86" s="2" t="s">
        <v>174</v>
      </c>
      <c r="K86" s="1"/>
    </row>
    <row r="87" spans="1:11" ht="14.5">
      <c r="A87" s="3">
        <v>46022</v>
      </c>
      <c r="B87" s="1" t="s">
        <v>162</v>
      </c>
      <c r="C87" s="1" t="s">
        <v>175</v>
      </c>
      <c r="D87" s="1" t="str">
        <f>_xlfn.XLOOKUP(C87,mfscreener.portfolio_holdings_v!$C:$C,mfscreener.portfolio_holdings_v!$E:$E)</f>
        <v>Flexi Cap</v>
      </c>
      <c r="E87" s="1" t="str">
        <f>_xlfn.XLOOKUP(C87,mfscreener.portfolio_holdings_v!$C:$C,mfscreener.portfolio_holdings_v!$D:$D)</f>
        <v>Equity</v>
      </c>
      <c r="F87" s="5">
        <v>1262.44</v>
      </c>
      <c r="G87" s="5">
        <v>1.01</v>
      </c>
      <c r="H87" s="5">
        <v>0.84</v>
      </c>
      <c r="I87" s="1" t="s">
        <v>176</v>
      </c>
      <c r="J87" s="2" t="s">
        <v>174</v>
      </c>
      <c r="K87" s="1"/>
    </row>
    <row r="88" spans="1:11" ht="14.5">
      <c r="A88" s="3">
        <v>46022</v>
      </c>
      <c r="B88" s="1" t="s">
        <v>162</v>
      </c>
      <c r="C88" s="1" t="s">
        <v>177</v>
      </c>
      <c r="D88" s="1" t="str">
        <f>_xlfn.XLOOKUP(C88,mfscreener.portfolio_holdings_v!$C:$C,mfscreener.portfolio_holdings_v!$E:$E)</f>
        <v>Multi Cap</v>
      </c>
      <c r="E88" s="1" t="str">
        <f>_xlfn.XLOOKUP(C88,mfscreener.portfolio_holdings_v!$C:$C,mfscreener.portfolio_holdings_v!$D:$D)</f>
        <v>Equity</v>
      </c>
      <c r="F88" s="5">
        <v>3119.81</v>
      </c>
      <c r="G88" s="5">
        <v>0.9</v>
      </c>
      <c r="H88" s="5">
        <v>1.17</v>
      </c>
      <c r="I88" s="1" t="s">
        <v>176</v>
      </c>
      <c r="J88" s="2" t="s">
        <v>174</v>
      </c>
      <c r="K88" s="1"/>
    </row>
    <row r="89" spans="1:11" ht="14.5">
      <c r="A89" s="3">
        <v>46022</v>
      </c>
      <c r="B89" s="1" t="s">
        <v>162</v>
      </c>
      <c r="C89" s="1" t="s">
        <v>178</v>
      </c>
      <c r="D89" s="1" t="str">
        <f>_xlfn.XLOOKUP(C89,mfscreener.portfolio_holdings_v!$C:$C,mfscreener.portfolio_holdings_v!$E:$E)</f>
        <v>Value</v>
      </c>
      <c r="E89" s="1" t="str">
        <f>_xlfn.XLOOKUP(C89,mfscreener.portfolio_holdings_v!$C:$C,mfscreener.portfolio_holdings_v!$D:$D)</f>
        <v>Equity</v>
      </c>
      <c r="F89" s="5">
        <v>1172</v>
      </c>
      <c r="G89" s="5">
        <v>1.1599999999999999</v>
      </c>
      <c r="H89" s="5">
        <v>0.7</v>
      </c>
      <c r="I89" s="1" t="s">
        <v>179</v>
      </c>
      <c r="J89" s="2" t="s">
        <v>180</v>
      </c>
      <c r="K89" s="1"/>
    </row>
    <row r="90" spans="1:11" ht="14.5">
      <c r="A90" s="3">
        <v>46022</v>
      </c>
      <c r="B90" s="1" t="s">
        <v>162</v>
      </c>
      <c r="C90" s="1" t="s">
        <v>181</v>
      </c>
      <c r="D90" s="1" t="str">
        <f>_xlfn.XLOOKUP(C90,mfscreener.portfolio_holdings_v!$C:$C,mfscreener.portfolio_holdings_v!$E:$E)</f>
        <v>Focused</v>
      </c>
      <c r="E90" s="1" t="str">
        <f>_xlfn.XLOOKUP(C90,mfscreener.portfolio_holdings_v!$C:$C,mfscreener.portfolio_holdings_v!$D:$D)</f>
        <v>Equity</v>
      </c>
      <c r="F90" s="4">
        <v>708.59</v>
      </c>
      <c r="G90" s="5">
        <v>0.47</v>
      </c>
      <c r="H90" s="5">
        <v>1.33</v>
      </c>
      <c r="I90" s="1" t="s">
        <v>176</v>
      </c>
      <c r="J90" s="2" t="s">
        <v>174</v>
      </c>
      <c r="K90" s="1"/>
    </row>
    <row r="91" spans="1:11" ht="12.5">
      <c r="A91" s="3">
        <v>46022</v>
      </c>
      <c r="B91" s="1" t="s">
        <v>162</v>
      </c>
      <c r="C91" s="1" t="s">
        <v>182</v>
      </c>
      <c r="D91" s="1" t="str">
        <f>_xlfn.XLOOKUP(C91,mfscreener.portfolio_holdings_v!$C:$C,mfscreener.portfolio_holdings_v!$E:$E)</f>
        <v>Dividend Yield</v>
      </c>
      <c r="E91" s="1" t="str">
        <f>_xlfn.XLOOKUP(C91,mfscreener.portfolio_holdings_v!$C:$C,mfscreener.portfolio_holdings_v!$D:$D)</f>
        <v>Equity</v>
      </c>
      <c r="F91" s="9">
        <v>795.4</v>
      </c>
      <c r="G91" s="1">
        <v>1.1299999999999999</v>
      </c>
      <c r="H91" s="1">
        <v>0.69</v>
      </c>
      <c r="I91" s="1" t="s">
        <v>179</v>
      </c>
      <c r="J91" s="1" t="s">
        <v>180</v>
      </c>
      <c r="K91" s="1"/>
    </row>
    <row r="92" spans="1:11" ht="14.5">
      <c r="A92" s="3">
        <v>46022</v>
      </c>
      <c r="B92" s="1" t="s">
        <v>162</v>
      </c>
      <c r="C92" s="1" t="s">
        <v>183</v>
      </c>
      <c r="D92" s="1" t="str">
        <f>_xlfn.XLOOKUP(C92,mfscreener.portfolio_holdings_v!$C:$C,mfscreener.portfolio_holdings_v!$E:$E)</f>
        <v>ELSS</v>
      </c>
      <c r="E92" s="1" t="str">
        <f>_xlfn.XLOOKUP(C92,mfscreener.portfolio_holdings_v!$C:$C,mfscreener.portfolio_holdings_v!$D:$D)</f>
        <v>Equity</v>
      </c>
      <c r="F92" s="5">
        <v>942.12</v>
      </c>
      <c r="G92" s="5">
        <v>1</v>
      </c>
      <c r="H92" s="5">
        <v>0.45</v>
      </c>
      <c r="I92" s="1" t="s">
        <v>184</v>
      </c>
      <c r="J92" s="2" t="s">
        <v>185</v>
      </c>
      <c r="K92" s="1"/>
    </row>
    <row r="93" spans="1:11" ht="12.5">
      <c r="A93" s="3">
        <v>46022</v>
      </c>
      <c r="B93" s="1" t="s">
        <v>162</v>
      </c>
      <c r="C93" s="1" t="s">
        <v>186</v>
      </c>
      <c r="D93" s="1" t="str">
        <f>_xlfn.XLOOKUP(C93,mfscreener.portfolio_holdings_v!$C:$C,mfscreener.portfolio_holdings_v!$E:$E)</f>
        <v>Banking &amp; Financial Services</v>
      </c>
      <c r="E93" s="1" t="str">
        <f>_xlfn.XLOOKUP(C93,mfscreener.portfolio_holdings_v!$C:$C,mfscreener.portfolio_holdings_v!$D:$D)</f>
        <v>Equity</v>
      </c>
      <c r="F93" s="1">
        <v>368.43</v>
      </c>
      <c r="G93" s="1">
        <v>0.76</v>
      </c>
      <c r="H93" s="1">
        <v>0.71</v>
      </c>
      <c r="I93" s="9" t="s">
        <v>187</v>
      </c>
      <c r="J93" s="1" t="s">
        <v>188</v>
      </c>
      <c r="K93" s="1"/>
    </row>
    <row r="94" spans="1:11" ht="12.5">
      <c r="A94" s="3">
        <v>46022</v>
      </c>
      <c r="B94" s="1" t="s">
        <v>162</v>
      </c>
      <c r="C94" s="1" t="s">
        <v>189</v>
      </c>
      <c r="D94" s="1" t="str">
        <f>_xlfn.XLOOKUP(C94,mfscreener.portfolio_holdings_v!$C:$C,mfscreener.portfolio_holdings_v!$E:$E)</f>
        <v>Manufacturing</v>
      </c>
      <c r="E94" s="1" t="str">
        <f>_xlfn.XLOOKUP(C94,mfscreener.portfolio_holdings_v!$C:$C,mfscreener.portfolio_holdings_v!$D:$D)</f>
        <v>Equity</v>
      </c>
      <c r="F94" s="1">
        <v>988.9</v>
      </c>
      <c r="G94" s="1">
        <v>1.1399999999999999</v>
      </c>
      <c r="H94" s="1">
        <v>0.52</v>
      </c>
      <c r="I94" s="9" t="s">
        <v>190</v>
      </c>
      <c r="J94" s="1" t="s">
        <v>165</v>
      </c>
      <c r="K94" s="1"/>
    </row>
    <row r="95" spans="1:11" ht="12.5">
      <c r="A95" s="3">
        <v>46022</v>
      </c>
      <c r="B95" s="1" t="s">
        <v>162</v>
      </c>
      <c r="C95" s="1" t="s">
        <v>191</v>
      </c>
      <c r="D95" s="1" t="s">
        <v>1493</v>
      </c>
      <c r="E95" s="1" t="str">
        <f>_xlfn.XLOOKUP(C95,mfscreener.portfolio_holdings_v!$C:$C,mfscreener.portfolio_holdings_v!$D:$D)</f>
        <v>Equity</v>
      </c>
      <c r="F95" s="1">
        <v>935.69</v>
      </c>
      <c r="G95" s="1">
        <v>1.01</v>
      </c>
      <c r="H95" s="1">
        <v>0.72</v>
      </c>
      <c r="I95" s="9" t="s">
        <v>192</v>
      </c>
      <c r="J95" s="1" t="s">
        <v>193</v>
      </c>
      <c r="K95" s="1"/>
    </row>
    <row r="96" spans="1:11" ht="12.5">
      <c r="A96" s="3">
        <v>46022</v>
      </c>
      <c r="B96" s="1" t="s">
        <v>162</v>
      </c>
      <c r="C96" s="1" t="s">
        <v>194</v>
      </c>
      <c r="D96" s="1" t="s">
        <v>1459</v>
      </c>
      <c r="E96" s="1" t="str">
        <f>_xlfn.XLOOKUP(C96,mfscreener.portfolio_holdings_v!$C:$C,mfscreener.portfolio_holdings_v!$D:$D)</f>
        <v>Equity</v>
      </c>
      <c r="F96" s="12">
        <v>1538.71</v>
      </c>
      <c r="G96" s="1">
        <v>0.64</v>
      </c>
      <c r="H96" s="1">
        <v>0.71</v>
      </c>
      <c r="I96" s="9" t="s">
        <v>195</v>
      </c>
      <c r="J96" s="1" t="s">
        <v>168</v>
      </c>
      <c r="K96" s="1"/>
    </row>
    <row r="97" spans="1:11" ht="14.5">
      <c r="A97" s="3">
        <v>46022</v>
      </c>
      <c r="B97" s="1" t="s">
        <v>162</v>
      </c>
      <c r="C97" s="1" t="s">
        <v>196</v>
      </c>
      <c r="D97" s="1" t="s">
        <v>1558</v>
      </c>
      <c r="E97" s="1" t="str">
        <f>_xlfn.XLOOKUP(C97,mfscreener.portfolio_holdings_v!$C:$C,mfscreener.portfolio_holdings_v!$D:$D)</f>
        <v>Equity</v>
      </c>
      <c r="F97" s="1">
        <v>711.74</v>
      </c>
      <c r="G97" s="1">
        <v>1.01</v>
      </c>
      <c r="H97" s="1">
        <v>0.65</v>
      </c>
      <c r="I97" s="1" t="s">
        <v>176</v>
      </c>
      <c r="J97" s="2" t="s">
        <v>174</v>
      </c>
      <c r="K97" s="1"/>
    </row>
    <row r="98" spans="1:11" ht="12.5">
      <c r="A98" s="3">
        <v>46022</v>
      </c>
      <c r="B98" s="1" t="s">
        <v>162</v>
      </c>
      <c r="C98" s="1" t="s">
        <v>197</v>
      </c>
      <c r="D98" s="1" t="s">
        <v>1480</v>
      </c>
      <c r="E98" s="1" t="str">
        <f>_xlfn.XLOOKUP(C98,mfscreener.portfolio_holdings_v!$C:$C,mfscreener.portfolio_holdings_v!$D:$D)</f>
        <v>Equity</v>
      </c>
      <c r="F98" s="1">
        <v>592.70000000000005</v>
      </c>
      <c r="G98" s="1">
        <v>0.59</v>
      </c>
      <c r="H98" s="1">
        <v>0.33</v>
      </c>
      <c r="I98" s="9" t="s">
        <v>198</v>
      </c>
      <c r="J98" s="1">
        <v>33</v>
      </c>
      <c r="K98" s="1"/>
    </row>
    <row r="99" spans="1:11" ht="12.5">
      <c r="A99" s="3">
        <v>46022</v>
      </c>
      <c r="B99" s="1" t="s">
        <v>162</v>
      </c>
      <c r="C99" s="1" t="s">
        <v>199</v>
      </c>
      <c r="D99" s="1" t="s">
        <v>1585</v>
      </c>
      <c r="E99" s="1" t="str">
        <f>_xlfn.XLOOKUP(C99,mfscreener.portfolio_holdings_v!$C:$C,mfscreener.portfolio_holdings_v!$D:$D)</f>
        <v>Equity</v>
      </c>
      <c r="F99" s="1">
        <v>768.92</v>
      </c>
      <c r="G99" s="1">
        <v>0.59</v>
      </c>
      <c r="H99" s="1">
        <v>0.04</v>
      </c>
      <c r="I99" s="9" t="s">
        <v>190</v>
      </c>
      <c r="J99" s="1" t="s">
        <v>165</v>
      </c>
      <c r="K99" s="1"/>
    </row>
    <row r="100" spans="1:11" ht="12.5">
      <c r="A100" s="3">
        <v>46022</v>
      </c>
      <c r="B100" s="1" t="s">
        <v>162</v>
      </c>
      <c r="C100" s="1" t="s">
        <v>200</v>
      </c>
      <c r="D100" s="1" t="s">
        <v>1444</v>
      </c>
      <c r="E100" s="1" t="str">
        <f>_xlfn.XLOOKUP(C100,mfscreener.portfolio_holdings_v!$C:$C,mfscreener.portfolio_holdings_v!$D:$D)</f>
        <v>Equity</v>
      </c>
      <c r="F100" s="1">
        <v>585.16999999999996</v>
      </c>
      <c r="G100" s="1">
        <v>0.92</v>
      </c>
      <c r="H100" s="1">
        <v>0.69</v>
      </c>
      <c r="I100" s="9" t="s">
        <v>190</v>
      </c>
      <c r="J100" s="1" t="s">
        <v>165</v>
      </c>
      <c r="K100" s="1"/>
    </row>
    <row r="101" spans="1:11" ht="12.5">
      <c r="A101" s="3">
        <v>46022</v>
      </c>
      <c r="B101" s="1" t="s">
        <v>162</v>
      </c>
      <c r="C101" s="1" t="s">
        <v>201</v>
      </c>
      <c r="D101" s="1" t="str">
        <f>_xlfn.XLOOKUP(C101,mfscreener.portfolio_holdings_v!$C:$C,mfscreener.portfolio_holdings_v!$E:$E)</f>
        <v>Conservative Hybrid</v>
      </c>
      <c r="E101" s="1" t="str">
        <f>_xlfn.XLOOKUP(C101,mfscreener.portfolio_holdings_v!$C:$C,mfscreener.portfolio_holdings_v!$D:$D)</f>
        <v>Hybrid</v>
      </c>
      <c r="F101" s="1">
        <v>833.36</v>
      </c>
      <c r="G101" s="1">
        <v>0.51</v>
      </c>
      <c r="H101" s="1">
        <v>1.92</v>
      </c>
      <c r="I101" s="9" t="s">
        <v>202</v>
      </c>
      <c r="J101" s="1" t="s">
        <v>203</v>
      </c>
      <c r="K101" s="1"/>
    </row>
    <row r="102" spans="1:11" ht="12.5">
      <c r="A102" s="3">
        <v>46022</v>
      </c>
      <c r="B102" s="1" t="s">
        <v>162</v>
      </c>
      <c r="C102" s="1" t="s">
        <v>204</v>
      </c>
      <c r="D102" s="1" t="str">
        <f>_xlfn.XLOOKUP(C102,mfscreener.portfolio_holdings_v!$C:$C,mfscreener.portfolio_holdings_v!$E:$E)</f>
        <v>Aggressive Hybrid</v>
      </c>
      <c r="E102" s="1" t="str">
        <f>_xlfn.XLOOKUP(C102,mfscreener.portfolio_holdings_v!$C:$C,mfscreener.portfolio_holdings_v!$D:$D)</f>
        <v>Hybrid</v>
      </c>
      <c r="F102" s="1">
        <v>1266.1600000000001</v>
      </c>
      <c r="G102" s="1">
        <v>0.52</v>
      </c>
      <c r="H102" s="1">
        <v>0.96</v>
      </c>
      <c r="I102" s="1" t="s">
        <v>205</v>
      </c>
      <c r="J102" s="1" t="s">
        <v>206</v>
      </c>
      <c r="K102" s="1"/>
    </row>
    <row r="103" spans="1:11" ht="12.5">
      <c r="A103" s="3">
        <v>46022</v>
      </c>
      <c r="B103" s="1" t="s">
        <v>162</v>
      </c>
      <c r="C103" s="1" t="s">
        <v>207</v>
      </c>
      <c r="D103" s="1" t="str">
        <f>_xlfn.XLOOKUP(C103,mfscreener.portfolio_holdings_v!$C:$C,mfscreener.portfolio_holdings_v!$E:$E)</f>
        <v>Arbitrage</v>
      </c>
      <c r="E103" s="1" t="str">
        <f>_xlfn.XLOOKUP(C103,mfscreener.portfolio_holdings_v!$C:$C,mfscreener.portfolio_holdings_v!$D:$D)</f>
        <v>Hybrid</v>
      </c>
      <c r="F103" s="12">
        <v>1314.63</v>
      </c>
      <c r="G103" s="1">
        <v>0.31</v>
      </c>
      <c r="H103" s="1">
        <v>13.02</v>
      </c>
      <c r="I103" s="9" t="s">
        <v>208</v>
      </c>
      <c r="J103" s="1" t="s">
        <v>209</v>
      </c>
      <c r="K103" s="1"/>
    </row>
    <row r="104" spans="1:11" ht="12.5">
      <c r="A104" s="3">
        <v>46022</v>
      </c>
      <c r="B104" s="1" t="s">
        <v>162</v>
      </c>
      <c r="C104" s="1" t="s">
        <v>210</v>
      </c>
      <c r="D104" s="1" t="str">
        <f>_xlfn.XLOOKUP(C104,mfscreener.portfolio_holdings_v!$C:$C,mfscreener.portfolio_holdings_v!$E:$E)</f>
        <v>Balanced Advantage</v>
      </c>
      <c r="E104" s="1" t="str">
        <f>_xlfn.XLOOKUP(C104,mfscreener.portfolio_holdings_v!$C:$C,mfscreener.portfolio_holdings_v!$D:$D)</f>
        <v>Hybrid</v>
      </c>
      <c r="F104" s="12">
        <v>4685.16</v>
      </c>
      <c r="G104" s="1">
        <v>0.75</v>
      </c>
      <c r="H104" s="1">
        <v>1.17</v>
      </c>
      <c r="I104" s="9" t="s">
        <v>211</v>
      </c>
      <c r="J104" s="1" t="s">
        <v>212</v>
      </c>
      <c r="K104" s="1"/>
    </row>
    <row r="105" spans="1:11" ht="12.5">
      <c r="A105" s="3">
        <v>46022</v>
      </c>
      <c r="B105" s="1" t="s">
        <v>162</v>
      </c>
      <c r="C105" s="1" t="s">
        <v>213</v>
      </c>
      <c r="D105" s="1" t="str">
        <f>_xlfn.XLOOKUP(C105,mfscreener.portfolio_holdings_v!$C:$C,mfscreener.portfolio_holdings_v!$E:$E)</f>
        <v>Equity Savings</v>
      </c>
      <c r="E105" s="1" t="str">
        <f>_xlfn.XLOOKUP(C105,mfscreener.portfolio_holdings_v!$C:$C,mfscreener.portfolio_holdings_v!$D:$D)</f>
        <v>Hybrid</v>
      </c>
      <c r="F105" s="1">
        <v>278.95</v>
      </c>
      <c r="G105" s="1">
        <v>1.4</v>
      </c>
      <c r="H105" s="1">
        <v>4.42</v>
      </c>
      <c r="I105" s="9" t="s">
        <v>214</v>
      </c>
      <c r="J105" s="1" t="s">
        <v>215</v>
      </c>
      <c r="K105" s="1"/>
    </row>
    <row r="106" spans="1:11" ht="12.5">
      <c r="A106" s="3">
        <v>46022</v>
      </c>
      <c r="B106" s="1" t="s">
        <v>162</v>
      </c>
      <c r="C106" s="1" t="s">
        <v>216</v>
      </c>
      <c r="D106" s="1" t="str">
        <f>_xlfn.XLOOKUP(C106,mfscreener.portfolio_holdings_v!$C:$C,mfscreener.portfolio_holdings_v!$E:$E)</f>
        <v>Retirement</v>
      </c>
      <c r="E106" s="1" t="str">
        <f>_xlfn.XLOOKUP(C106,mfscreener.portfolio_holdings_v!$C:$C,mfscreener.portfolio_holdings_v!$D:$D)</f>
        <v>Hybrid</v>
      </c>
      <c r="F106" s="1"/>
      <c r="G106" s="1"/>
      <c r="H106" s="1"/>
      <c r="I106" s="1"/>
      <c r="J106" s="1"/>
      <c r="K106" s="1"/>
    </row>
    <row r="107" spans="1:11" ht="14.5">
      <c r="A107" s="3">
        <v>46022</v>
      </c>
      <c r="B107" s="1" t="s">
        <v>217</v>
      </c>
      <c r="C107" s="1" t="s">
        <v>218</v>
      </c>
      <c r="D107" s="1" t="str">
        <f>_xlfn.XLOOKUP(C107,mfscreener.portfolio_holdings_v!$C:$C,mfscreener.portfolio_holdings_v!$E:$E)</f>
        <v>ELSS</v>
      </c>
      <c r="E107" s="1" t="str">
        <f>_xlfn.XLOOKUP(C107,mfscreener.portfolio_holdings_v!$C:$C,mfscreener.portfolio_holdings_v!$D:$D)</f>
        <v>Equity</v>
      </c>
      <c r="F107" s="4">
        <v>9010.77</v>
      </c>
      <c r="G107" s="4">
        <v>0.56000000000000005</v>
      </c>
      <c r="H107" s="4">
        <v>0.16</v>
      </c>
      <c r="I107" s="1" t="s">
        <v>219</v>
      </c>
      <c r="J107" s="2" t="s">
        <v>220</v>
      </c>
      <c r="K107" s="1"/>
    </row>
    <row r="108" spans="1:11" ht="14.5">
      <c r="A108" s="3">
        <v>46022</v>
      </c>
      <c r="B108" s="1" t="s">
        <v>217</v>
      </c>
      <c r="C108" s="1" t="s">
        <v>221</v>
      </c>
      <c r="D108" s="1" t="str">
        <f>_xlfn.XLOOKUP(C108,mfscreener.portfolio_holdings_v!$C:$C,mfscreener.portfolio_holdings_v!$E:$E)</f>
        <v>Flexi Cap</v>
      </c>
      <c r="E108" s="1" t="str">
        <f>_xlfn.XLOOKUP(C108,mfscreener.portfolio_holdings_v!$C:$C,mfscreener.portfolio_holdings_v!$D:$D)</f>
        <v>Equity</v>
      </c>
      <c r="F108" s="4">
        <v>13757.19</v>
      </c>
      <c r="G108" s="4">
        <v>0.55000000000000004</v>
      </c>
      <c r="H108" s="4">
        <v>0.24</v>
      </c>
      <c r="I108" s="1" t="s">
        <v>222</v>
      </c>
      <c r="J108" s="2" t="s">
        <v>223</v>
      </c>
      <c r="K108" s="1"/>
    </row>
    <row r="109" spans="1:11" ht="14.5">
      <c r="A109" s="3">
        <v>46022</v>
      </c>
      <c r="B109" s="1" t="s">
        <v>217</v>
      </c>
      <c r="C109" s="1" t="s">
        <v>224</v>
      </c>
      <c r="D109" s="1" t="str">
        <f>_xlfn.XLOOKUP(C109,mfscreener.portfolio_holdings_v!$C:$C,mfscreener.portfolio_holdings_v!$E:$E)</f>
        <v>Focused</v>
      </c>
      <c r="E109" s="1" t="str">
        <f>_xlfn.XLOOKUP(C109,mfscreener.portfolio_holdings_v!$C:$C,mfscreener.portfolio_holdings_v!$D:$D)</f>
        <v>Equity</v>
      </c>
      <c r="F109" s="4">
        <v>2861.48</v>
      </c>
      <c r="G109" s="4">
        <v>0.51</v>
      </c>
      <c r="H109" s="4">
        <v>0.36</v>
      </c>
      <c r="I109" s="1" t="s">
        <v>225</v>
      </c>
      <c r="J109" s="2" t="s">
        <v>226</v>
      </c>
      <c r="K109" s="1"/>
    </row>
    <row r="110" spans="1:11" ht="14.5">
      <c r="A110" s="3">
        <v>46022</v>
      </c>
      <c r="B110" s="1" t="s">
        <v>217</v>
      </c>
      <c r="C110" s="1" t="s">
        <v>227</v>
      </c>
      <c r="D110" s="1" t="str">
        <f>_xlfn.XLOOKUP(C110,mfscreener.portfolio_holdings_v!$C:$C,mfscreener.portfolio_holdings_v!$E:$E)</f>
        <v>Large Cap</v>
      </c>
      <c r="E110" s="1" t="str">
        <f>_xlfn.XLOOKUP(C110,mfscreener.portfolio_holdings_v!$C:$C,mfscreener.portfolio_holdings_v!$D:$D)</f>
        <v>Equity</v>
      </c>
      <c r="F110" s="4">
        <v>25689.8</v>
      </c>
      <c r="G110" s="4">
        <v>0.47</v>
      </c>
      <c r="H110" s="4">
        <v>0.14000000000000001</v>
      </c>
      <c r="I110" s="1" t="s">
        <v>225</v>
      </c>
      <c r="J110" s="2" t="s">
        <v>226</v>
      </c>
      <c r="K110" s="1"/>
    </row>
    <row r="111" spans="1:11" ht="14.5">
      <c r="A111" s="3">
        <v>46022</v>
      </c>
      <c r="B111" s="1" t="s">
        <v>217</v>
      </c>
      <c r="C111" s="1" t="s">
        <v>228</v>
      </c>
      <c r="D111" s="1" t="str">
        <f>_xlfn.XLOOKUP(C111,mfscreener.portfolio_holdings_v!$C:$C,mfscreener.portfolio_holdings_v!$E:$E)</f>
        <v>Large &amp; Mid Cap</v>
      </c>
      <c r="E111" s="1" t="str">
        <f>_xlfn.XLOOKUP(C111,mfscreener.portfolio_holdings_v!$C:$C,mfscreener.portfolio_holdings_v!$D:$D)</f>
        <v>Equity</v>
      </c>
      <c r="F111" s="4">
        <v>17427.8</v>
      </c>
      <c r="G111" s="4">
        <v>0.57999999999999996</v>
      </c>
      <c r="H111" s="4">
        <v>0.33</v>
      </c>
      <c r="I111" s="1" t="s">
        <v>225</v>
      </c>
      <c r="J111" s="2" t="s">
        <v>226</v>
      </c>
      <c r="K111" s="1"/>
    </row>
    <row r="112" spans="1:11" ht="14.5">
      <c r="A112" s="3">
        <v>46022</v>
      </c>
      <c r="B112" s="1" t="s">
        <v>217</v>
      </c>
      <c r="C112" s="1" t="s">
        <v>229</v>
      </c>
      <c r="D112" s="1" t="str">
        <f>_xlfn.XLOOKUP(C112,mfscreener.portfolio_holdings_v!$C:$C,mfscreener.portfolio_holdings_v!$E:$E)</f>
        <v>Mid Cap</v>
      </c>
      <c r="E112" s="1" t="str">
        <f>_xlfn.XLOOKUP(C112,mfscreener.portfolio_holdings_v!$C:$C,mfscreener.portfolio_holdings_v!$D:$D)</f>
        <v>Equity</v>
      </c>
      <c r="F112" s="4">
        <v>4005.3</v>
      </c>
      <c r="G112" s="4">
        <v>0.56999999999999995</v>
      </c>
      <c r="H112" s="4">
        <v>0.43</v>
      </c>
      <c r="I112" s="1" t="s">
        <v>219</v>
      </c>
      <c r="J112" s="2" t="s">
        <v>220</v>
      </c>
      <c r="K112" s="1"/>
    </row>
    <row r="113" spans="1:11" ht="14.5">
      <c r="A113" s="3">
        <v>46022</v>
      </c>
      <c r="B113" s="1" t="s">
        <v>217</v>
      </c>
      <c r="C113" s="1" t="s">
        <v>230</v>
      </c>
      <c r="D113" s="1" t="str">
        <f>_xlfn.XLOOKUP(C113,mfscreener.portfolio_holdings_v!$C:$C,mfscreener.portfolio_holdings_v!$E:$E)</f>
        <v>Multi Cap</v>
      </c>
      <c r="E113" s="1" t="str">
        <f>_xlfn.XLOOKUP(C113,mfscreener.portfolio_holdings_v!$C:$C,mfscreener.portfolio_holdings_v!$D:$D)</f>
        <v>Equity</v>
      </c>
      <c r="F113" s="4">
        <v>5078.72</v>
      </c>
      <c r="G113" s="4">
        <v>0.44</v>
      </c>
      <c r="H113" s="1">
        <v>0.31</v>
      </c>
      <c r="I113" s="1" t="s">
        <v>231</v>
      </c>
      <c r="J113" s="2" t="s">
        <v>220</v>
      </c>
      <c r="K113" s="1"/>
    </row>
    <row r="114" spans="1:11" ht="14.5">
      <c r="A114" s="3">
        <v>46022</v>
      </c>
      <c r="B114" s="1" t="s">
        <v>217</v>
      </c>
      <c r="C114" s="1" t="s">
        <v>232</v>
      </c>
      <c r="D114" s="1" t="str">
        <f>_xlfn.XLOOKUP(C114,mfscreener.portfolio_holdings_v!$C:$C,mfscreener.portfolio_holdings_v!$E:$E)</f>
        <v>Small Cap</v>
      </c>
      <c r="E114" s="1" t="str">
        <f>_xlfn.XLOOKUP(C114,mfscreener.portfolio_holdings_v!$C:$C,mfscreener.portfolio_holdings_v!$D:$D)</f>
        <v>Equity</v>
      </c>
      <c r="F114" s="4">
        <v>12980.01</v>
      </c>
      <c r="G114" s="4">
        <v>0.48</v>
      </c>
      <c r="H114" s="4">
        <v>0.28000000000000003</v>
      </c>
      <c r="I114" s="1" t="s">
        <v>233</v>
      </c>
      <c r="J114" s="2" t="s">
        <v>234</v>
      </c>
      <c r="K114" s="1"/>
    </row>
    <row r="115" spans="1:11" ht="14.5">
      <c r="A115" s="3">
        <v>46022</v>
      </c>
      <c r="B115" s="1" t="s">
        <v>217</v>
      </c>
      <c r="C115" s="1" t="s">
        <v>235</v>
      </c>
      <c r="D115" s="1" t="str">
        <f>_xlfn.XLOOKUP(C115,mfscreener.portfolio_holdings_v!$C:$C,mfscreener.portfolio_holdings_v!$E:$E)</f>
        <v>Value</v>
      </c>
      <c r="E115" s="1" t="str">
        <f>_xlfn.XLOOKUP(C115,mfscreener.portfolio_holdings_v!$C:$C,mfscreener.portfolio_holdings_v!$D:$D)</f>
        <v>Equity</v>
      </c>
      <c r="F115" s="4">
        <v>1327.12</v>
      </c>
      <c r="G115" s="4">
        <v>0.63</v>
      </c>
      <c r="H115" s="4">
        <v>0.17</v>
      </c>
      <c r="I115" s="1" t="s">
        <v>236</v>
      </c>
      <c r="J115" s="2" t="s">
        <v>237</v>
      </c>
      <c r="K115" s="1"/>
    </row>
    <row r="116" spans="1:11" ht="14.5">
      <c r="A116" s="3">
        <v>46022</v>
      </c>
      <c r="B116" s="1" t="s">
        <v>217</v>
      </c>
      <c r="C116" s="1" t="s">
        <v>238</v>
      </c>
      <c r="D116" s="1" t="s">
        <v>1445</v>
      </c>
      <c r="E116" s="1" t="str">
        <f>_xlfn.XLOOKUP(C116,mfscreener.portfolio_holdings_v!$C:$C,mfscreener.portfolio_holdings_v!$D:$D)</f>
        <v>Equity</v>
      </c>
      <c r="F116" s="4">
        <v>892.14</v>
      </c>
      <c r="G116" s="4">
        <v>1.01</v>
      </c>
      <c r="H116" s="4">
        <v>0.19</v>
      </c>
      <c r="I116" s="1" t="s">
        <v>231</v>
      </c>
      <c r="J116" s="2" t="s">
        <v>220</v>
      </c>
      <c r="K116" s="1"/>
    </row>
    <row r="117" spans="1:11" ht="14.5">
      <c r="A117" s="3">
        <v>46022</v>
      </c>
      <c r="B117" s="1" t="s">
        <v>217</v>
      </c>
      <c r="C117" s="1" t="s">
        <v>239</v>
      </c>
      <c r="D117" s="1" t="s">
        <v>1458</v>
      </c>
      <c r="E117" s="1" t="str">
        <f>_xlfn.XLOOKUP(C117,mfscreener.portfolio_holdings_v!$C:$C,mfscreener.portfolio_holdings_v!$D:$D)</f>
        <v>Equity</v>
      </c>
      <c r="F117" s="4">
        <v>1591.99</v>
      </c>
      <c r="G117" s="4">
        <v>0.79</v>
      </c>
      <c r="H117" s="1">
        <v>0.34</v>
      </c>
      <c r="I117" s="1" t="s">
        <v>225</v>
      </c>
      <c r="J117" s="2" t="s">
        <v>226</v>
      </c>
      <c r="K117" s="1"/>
    </row>
    <row r="118" spans="1:11" ht="12.5">
      <c r="A118" s="3">
        <v>46022</v>
      </c>
      <c r="B118" s="1" t="s">
        <v>217</v>
      </c>
      <c r="C118" s="1" t="s">
        <v>240</v>
      </c>
      <c r="D118" s="1" t="s">
        <v>1459</v>
      </c>
      <c r="E118" s="1" t="str">
        <f>_xlfn.XLOOKUP(C118,mfscreener.portfolio_holdings_v!$C:$C,mfscreener.portfolio_holdings_v!$D:$D)</f>
        <v>Equity</v>
      </c>
      <c r="F118" s="7">
        <v>2019.53</v>
      </c>
      <c r="G118" s="4">
        <v>0.79</v>
      </c>
      <c r="H118" s="4">
        <v>0.19</v>
      </c>
      <c r="I118" s="1" t="s">
        <v>241</v>
      </c>
      <c r="J118" s="1" t="s">
        <v>242</v>
      </c>
      <c r="K118" s="1"/>
    </row>
    <row r="119" spans="1:11" ht="14.5">
      <c r="A119" s="3">
        <v>46022</v>
      </c>
      <c r="B119" s="1" t="s">
        <v>217</v>
      </c>
      <c r="C119" s="1" t="s">
        <v>243</v>
      </c>
      <c r="D119" s="1" t="str">
        <f>_xlfn.XLOOKUP(C119,mfscreener.portfolio_holdings_v!$C:$C,mfscreener.portfolio_holdings_v!$E:$E)</f>
        <v>Balanced Advantage</v>
      </c>
      <c r="E119" s="1" t="str">
        <f>_xlfn.XLOOKUP(C119,mfscreener.portfolio_holdings_v!$C:$C,mfscreener.portfolio_holdings_v!$D:$D)</f>
        <v>Hybrid</v>
      </c>
      <c r="F119" s="7">
        <v>1348.02</v>
      </c>
      <c r="G119" s="4">
        <v>0.78</v>
      </c>
      <c r="H119" s="1">
        <v>1.1399999999999999</v>
      </c>
      <c r="I119" s="1" t="s">
        <v>244</v>
      </c>
      <c r="J119" s="2" t="s">
        <v>245</v>
      </c>
      <c r="K119" s="1"/>
    </row>
    <row r="120" spans="1:11" ht="14.5">
      <c r="A120" s="3">
        <v>46022</v>
      </c>
      <c r="B120" s="1" t="s">
        <v>217</v>
      </c>
      <c r="C120" s="1" t="s">
        <v>246</v>
      </c>
      <c r="D120" s="1" t="str">
        <f>_xlfn.XLOOKUP(C120,mfscreener.portfolio_holdings_v!$C:$C,mfscreener.portfolio_holdings_v!$E:$E)</f>
        <v>Conservative Hybrid</v>
      </c>
      <c r="E120" s="1" t="str">
        <f>_xlfn.XLOOKUP(C120,mfscreener.portfolio_holdings_v!$C:$C,mfscreener.portfolio_holdings_v!$D:$D)</f>
        <v>Hybrid</v>
      </c>
      <c r="F120" s="4">
        <v>924.11</v>
      </c>
      <c r="G120" s="4">
        <v>0.72</v>
      </c>
      <c r="H120" s="4">
        <v>1.23</v>
      </c>
      <c r="I120" s="1" t="s">
        <v>247</v>
      </c>
      <c r="J120" s="2" t="s">
        <v>248</v>
      </c>
      <c r="K120" s="1"/>
    </row>
    <row r="121" spans="1:11" ht="14.5">
      <c r="A121" s="3">
        <v>46022</v>
      </c>
      <c r="B121" s="1" t="s">
        <v>217</v>
      </c>
      <c r="C121" s="1" t="s">
        <v>249</v>
      </c>
      <c r="D121" s="1" t="str">
        <f>_xlfn.XLOOKUP(C121,mfscreener.portfolio_holdings_v!$C:$C,mfscreener.portfolio_holdings_v!$E:$E)</f>
        <v>Equity Savings</v>
      </c>
      <c r="E121" s="1" t="str">
        <f>_xlfn.XLOOKUP(C121,mfscreener.portfolio_holdings_v!$C:$C,mfscreener.portfolio_holdings_v!$D:$D)</f>
        <v>Hybrid</v>
      </c>
      <c r="F121" s="7">
        <v>11367.23</v>
      </c>
      <c r="G121" s="4">
        <v>0.59</v>
      </c>
      <c r="H121" s="4">
        <v>0.5</v>
      </c>
      <c r="I121" s="1" t="s">
        <v>250</v>
      </c>
      <c r="J121" s="2" t="s">
        <v>251</v>
      </c>
      <c r="K121" s="1"/>
    </row>
    <row r="122" spans="1:11" ht="12.5">
      <c r="A122" s="3">
        <v>46022</v>
      </c>
      <c r="B122" s="1" t="s">
        <v>252</v>
      </c>
      <c r="C122" s="1" t="s">
        <v>253</v>
      </c>
      <c r="D122" s="1" t="str">
        <f>_xlfn.XLOOKUP(C122,mfscreener.portfolio_holdings_v!$C:$C,mfscreener.portfolio_holdings_v!$E:$E)</f>
        <v>ELSS</v>
      </c>
      <c r="E122" s="1" t="str">
        <f>_xlfn.XLOOKUP(C122,mfscreener.portfolio_holdings_v!$C:$C,mfscreener.portfolio_holdings_v!$D:$D)</f>
        <v>Equity</v>
      </c>
      <c r="F122" s="4">
        <v>17491</v>
      </c>
      <c r="G122" s="4">
        <v>0.67</v>
      </c>
      <c r="H122" s="4">
        <v>0.34</v>
      </c>
      <c r="I122" s="1" t="s">
        <v>254</v>
      </c>
      <c r="J122" s="4">
        <v>24</v>
      </c>
      <c r="K122" s="1"/>
    </row>
    <row r="123" spans="1:11" ht="14.5">
      <c r="A123" s="3">
        <v>46022</v>
      </c>
      <c r="B123" s="1" t="s">
        <v>252</v>
      </c>
      <c r="C123" s="1" t="s">
        <v>255</v>
      </c>
      <c r="D123" s="1" t="str">
        <f>_xlfn.XLOOKUP(C123,mfscreener.portfolio_holdings_v!$C:$C,mfscreener.portfolio_holdings_v!$E:$E)</f>
        <v>Flexi Cap</v>
      </c>
      <c r="E123" s="1" t="str">
        <f>_xlfn.XLOOKUP(C123,mfscreener.portfolio_holdings_v!$C:$C,mfscreener.portfolio_holdings_v!$D:$D)</f>
        <v>Equity</v>
      </c>
      <c r="F123" s="4">
        <v>12308</v>
      </c>
      <c r="G123" s="4">
        <v>0.68</v>
      </c>
      <c r="H123" s="4">
        <v>0.19</v>
      </c>
      <c r="I123" s="1" t="s">
        <v>256</v>
      </c>
      <c r="J123" s="5">
        <v>21</v>
      </c>
      <c r="K123" s="1"/>
    </row>
    <row r="124" spans="1:11" ht="14.5">
      <c r="A124" s="3">
        <v>46022</v>
      </c>
      <c r="B124" s="1" t="s">
        <v>252</v>
      </c>
      <c r="C124" s="1" t="s">
        <v>257</v>
      </c>
      <c r="D124" s="1" t="str">
        <f>_xlfn.XLOOKUP(C124,mfscreener.portfolio_holdings_v!$C:$C,mfscreener.portfolio_holdings_v!$E:$E)</f>
        <v>Focused</v>
      </c>
      <c r="E124" s="1" t="str">
        <f>_xlfn.XLOOKUP(C124,mfscreener.portfolio_holdings_v!$C:$C,mfscreener.portfolio_holdings_v!$D:$D)</f>
        <v>Equity</v>
      </c>
      <c r="F124" s="4">
        <v>2693</v>
      </c>
      <c r="G124" s="4">
        <v>0.95</v>
      </c>
      <c r="H124" s="4">
        <v>0.27</v>
      </c>
      <c r="I124" s="1" t="s">
        <v>256</v>
      </c>
      <c r="J124" s="5">
        <v>21</v>
      </c>
      <c r="K124" s="1"/>
    </row>
    <row r="125" spans="1:11" ht="14.5">
      <c r="A125" s="3">
        <v>46022</v>
      </c>
      <c r="B125" s="1" t="s">
        <v>252</v>
      </c>
      <c r="C125" s="1" t="s">
        <v>258</v>
      </c>
      <c r="D125" s="1" t="str">
        <f>_xlfn.XLOOKUP(C125,mfscreener.portfolio_holdings_v!$C:$C,mfscreener.portfolio_holdings_v!$E:$E)</f>
        <v>Large Cap</v>
      </c>
      <c r="E125" s="1" t="str">
        <f>_xlfn.XLOOKUP(C125,mfscreener.portfolio_holdings_v!$C:$C,mfscreener.portfolio_holdings_v!$D:$D)</f>
        <v>Equity</v>
      </c>
      <c r="F125" s="4">
        <v>7222</v>
      </c>
      <c r="G125" s="4">
        <v>0.84</v>
      </c>
      <c r="H125" s="4">
        <v>0.18</v>
      </c>
      <c r="I125" s="1" t="s">
        <v>259</v>
      </c>
      <c r="J125" s="5">
        <v>18</v>
      </c>
      <c r="K125" s="1"/>
    </row>
    <row r="126" spans="1:11" ht="14.5">
      <c r="A126" s="3">
        <v>46022</v>
      </c>
      <c r="B126" s="1" t="s">
        <v>252</v>
      </c>
      <c r="C126" s="1" t="s">
        <v>260</v>
      </c>
      <c r="D126" s="1" t="str">
        <f>_xlfn.XLOOKUP(C126,mfscreener.portfolio_holdings_v!$C:$C,mfscreener.portfolio_holdings_v!$E:$E)</f>
        <v>Large &amp; Mid Cap</v>
      </c>
      <c r="E126" s="1" t="str">
        <f>_xlfn.XLOOKUP(C126,mfscreener.portfolio_holdings_v!$C:$C,mfscreener.portfolio_holdings_v!$D:$D)</f>
        <v>Equity</v>
      </c>
      <c r="F126" s="4">
        <v>17304</v>
      </c>
      <c r="G126" s="4">
        <v>0.61</v>
      </c>
      <c r="H126" s="4">
        <v>0.3</v>
      </c>
      <c r="I126" s="1" t="s">
        <v>261</v>
      </c>
      <c r="J126" s="2" t="s">
        <v>262</v>
      </c>
      <c r="K126" s="1"/>
    </row>
    <row r="127" spans="1:11" ht="14.5">
      <c r="A127" s="3">
        <v>46022</v>
      </c>
      <c r="B127" s="1" t="s">
        <v>252</v>
      </c>
      <c r="C127" s="1" t="s">
        <v>263</v>
      </c>
      <c r="D127" s="1" t="str">
        <f>_xlfn.XLOOKUP(C127,mfscreener.portfolio_holdings_v!$C:$C,mfscreener.portfolio_holdings_v!$E:$E)</f>
        <v>Mid Cap</v>
      </c>
      <c r="E127" s="1" t="str">
        <f>_xlfn.XLOOKUP(C127,mfscreener.portfolio_holdings_v!$C:$C,mfscreener.portfolio_holdings_v!$D:$D)</f>
        <v>Equity</v>
      </c>
      <c r="F127" s="4">
        <v>19572</v>
      </c>
      <c r="G127" s="4">
        <v>0.74</v>
      </c>
      <c r="H127" s="4">
        <v>0.25</v>
      </c>
      <c r="I127" s="1" t="s">
        <v>264</v>
      </c>
      <c r="J127" s="2" t="s">
        <v>265</v>
      </c>
      <c r="K127" s="1"/>
    </row>
    <row r="128" spans="1:11" ht="14.5">
      <c r="A128" s="3">
        <v>46022</v>
      </c>
      <c r="B128" s="1" t="s">
        <v>252</v>
      </c>
      <c r="C128" s="1" t="s">
        <v>266</v>
      </c>
      <c r="D128" s="1" t="str">
        <f>_xlfn.XLOOKUP(C128,mfscreener.portfolio_holdings_v!$C:$C,mfscreener.portfolio_holdings_v!$E:$E)</f>
        <v>Multi Cap</v>
      </c>
      <c r="E128" s="1" t="str">
        <f>_xlfn.XLOOKUP(C128,mfscreener.portfolio_holdings_v!$C:$C,mfscreener.portfolio_holdings_v!$D:$D)</f>
        <v>Equity</v>
      </c>
      <c r="F128" s="4">
        <v>2652</v>
      </c>
      <c r="G128" s="4">
        <v>0.52</v>
      </c>
      <c r="H128" s="4">
        <v>0.11</v>
      </c>
      <c r="I128" s="1" t="s">
        <v>267</v>
      </c>
      <c r="J128" s="5">
        <v>23</v>
      </c>
      <c r="K128" s="1"/>
    </row>
    <row r="129" spans="1:11" ht="14.5">
      <c r="A129" s="3">
        <v>46022</v>
      </c>
      <c r="B129" s="1" t="s">
        <v>252</v>
      </c>
      <c r="C129" s="1" t="s">
        <v>268</v>
      </c>
      <c r="D129" s="1" t="str">
        <f>_xlfn.XLOOKUP(C129,mfscreener.portfolio_holdings_v!$C:$C,mfscreener.portfolio_holdings_v!$E:$E)</f>
        <v>Small Cap</v>
      </c>
      <c r="E129" s="1" t="str">
        <f>_xlfn.XLOOKUP(C129,mfscreener.portfolio_holdings_v!$C:$C,mfscreener.portfolio_holdings_v!$D:$D)</f>
        <v>Equity</v>
      </c>
      <c r="F129" s="4">
        <v>16848</v>
      </c>
      <c r="G129" s="4">
        <v>0.8</v>
      </c>
      <c r="H129" s="4">
        <v>0.12</v>
      </c>
      <c r="I129" s="1" t="s">
        <v>269</v>
      </c>
      <c r="J129" s="5">
        <v>27</v>
      </c>
      <c r="K129" s="1"/>
    </row>
    <row r="130" spans="1:11" ht="14.5">
      <c r="A130" s="3">
        <v>46022</v>
      </c>
      <c r="B130" s="1" t="s">
        <v>252</v>
      </c>
      <c r="C130" s="1" t="s">
        <v>270</v>
      </c>
      <c r="D130" s="1" t="str">
        <f>_xlfn.XLOOKUP(C130,mfscreener.portfolio_holdings_v!$C:$C,mfscreener.portfolio_holdings_v!$E:$E)</f>
        <v>Value</v>
      </c>
      <c r="E130" s="1" t="str">
        <f>_xlfn.XLOOKUP(C130,mfscreener.portfolio_holdings_v!$C:$C,mfscreener.portfolio_holdings_v!$D:$D)</f>
        <v>Equity</v>
      </c>
      <c r="F130" s="4">
        <v>1280</v>
      </c>
      <c r="G130" s="4">
        <v>0.95</v>
      </c>
      <c r="H130" s="4">
        <v>0.13</v>
      </c>
      <c r="I130" s="1" t="s">
        <v>271</v>
      </c>
      <c r="J130" s="2" t="s">
        <v>272</v>
      </c>
      <c r="K130" s="1"/>
    </row>
    <row r="131" spans="1:11" ht="14.5">
      <c r="A131" s="3">
        <v>46022</v>
      </c>
      <c r="B131" s="1" t="s">
        <v>252</v>
      </c>
      <c r="C131" s="1" t="s">
        <v>273</v>
      </c>
      <c r="D131" s="1" t="str">
        <f>_xlfn.XLOOKUP(C131,mfscreener.portfolio_holdings_v!$C:$C,mfscreener.portfolio_holdings_v!$E:$E)</f>
        <v>Healthcare</v>
      </c>
      <c r="E131" s="1" t="str">
        <f>_xlfn.XLOOKUP(C131,mfscreener.portfolio_holdings_v!$C:$C,mfscreener.portfolio_holdings_v!$D:$D)</f>
        <v>Equity</v>
      </c>
      <c r="F131" s="4">
        <v>3125</v>
      </c>
      <c r="G131" s="4">
        <v>0.61</v>
      </c>
      <c r="H131" s="4">
        <v>0.08</v>
      </c>
      <c r="I131" s="1" t="s">
        <v>267</v>
      </c>
      <c r="J131" s="5">
        <v>23</v>
      </c>
      <c r="K131" s="1"/>
    </row>
    <row r="132" spans="1:11" ht="12.5">
      <c r="A132" s="3">
        <v>46022</v>
      </c>
      <c r="B132" s="1" t="s">
        <v>252</v>
      </c>
      <c r="C132" s="1" t="s">
        <v>274</v>
      </c>
      <c r="D132" s="1" t="str">
        <f>_xlfn.XLOOKUP(C132,mfscreener.portfolio_holdings_v!$C:$C,mfscreener.portfolio_holdings_v!$E:$E)</f>
        <v>Banking &amp; Financial Services</v>
      </c>
      <c r="E132" s="1" t="str">
        <f>_xlfn.XLOOKUP(C132,mfscreener.portfolio_holdings_v!$C:$C,mfscreener.portfolio_holdings_v!$D:$D)</f>
        <v>Equity</v>
      </c>
      <c r="F132" s="4">
        <v>1180</v>
      </c>
      <c r="G132" s="4">
        <v>0.66</v>
      </c>
      <c r="H132" s="4">
        <v>0.24</v>
      </c>
      <c r="I132" s="1" t="s">
        <v>275</v>
      </c>
      <c r="J132" s="4">
        <v>27</v>
      </c>
      <c r="K132" s="1"/>
    </row>
    <row r="133" spans="1:11" ht="12.5">
      <c r="A133" s="3">
        <v>46022</v>
      </c>
      <c r="B133" s="1" t="s">
        <v>252</v>
      </c>
      <c r="C133" s="1" t="s">
        <v>276</v>
      </c>
      <c r="D133" s="1" t="str">
        <f>_xlfn.XLOOKUP(C133,mfscreener.portfolio_holdings_v!$C:$C,mfscreener.portfolio_holdings_v!$E:$E)</f>
        <v>Business Cycle</v>
      </c>
      <c r="E133" s="1" t="str">
        <f>_xlfn.XLOOKUP(C133,mfscreener.portfolio_holdings_v!$C:$C,mfscreener.portfolio_holdings_v!$D:$D)</f>
        <v>Equity</v>
      </c>
      <c r="F133" s="4">
        <v>1180</v>
      </c>
      <c r="G133" s="4">
        <v>0.66</v>
      </c>
      <c r="H133" s="4">
        <v>0.24</v>
      </c>
      <c r="I133" s="1" t="s">
        <v>275</v>
      </c>
      <c r="J133" s="4">
        <v>27</v>
      </c>
      <c r="K133" s="1"/>
    </row>
    <row r="134" spans="1:11" ht="12.5">
      <c r="A134" s="3">
        <v>46022</v>
      </c>
      <c r="B134" s="1" t="s">
        <v>252</v>
      </c>
      <c r="C134" s="1" t="s">
        <v>277</v>
      </c>
      <c r="D134" s="1" t="s">
        <v>1445</v>
      </c>
      <c r="E134" s="1" t="str">
        <f>_xlfn.XLOOKUP(C134,mfscreener.portfolio_holdings_v!$C:$C,mfscreener.portfolio_holdings_v!$D:$D)</f>
        <v>Equity</v>
      </c>
      <c r="F134" s="4">
        <v>5314</v>
      </c>
      <c r="G134" s="4">
        <v>0.75</v>
      </c>
      <c r="H134" s="4">
        <v>0.31</v>
      </c>
      <c r="I134" s="1" t="s">
        <v>254</v>
      </c>
      <c r="J134" s="4">
        <v>24</v>
      </c>
      <c r="K134" s="1"/>
    </row>
    <row r="135" spans="1:11" ht="12.5">
      <c r="A135" s="3">
        <v>46022</v>
      </c>
      <c r="B135" s="1" t="s">
        <v>252</v>
      </c>
      <c r="C135" s="1" t="s">
        <v>278</v>
      </c>
      <c r="D135" s="1" t="s">
        <v>1586</v>
      </c>
      <c r="E135" s="1" t="str">
        <f>_xlfn.XLOOKUP(C135,mfscreener.portfolio_holdings_v!$C:$C,mfscreener.portfolio_holdings_v!$D:$D)</f>
        <v>Equity</v>
      </c>
      <c r="F135" s="4">
        <v>1499</v>
      </c>
      <c r="G135" s="4">
        <v>0.88</v>
      </c>
      <c r="H135" s="4">
        <v>0.27</v>
      </c>
      <c r="I135" s="1" t="s">
        <v>254</v>
      </c>
      <c r="J135" s="4">
        <v>24</v>
      </c>
      <c r="K135" s="1"/>
    </row>
    <row r="136" spans="1:11" ht="12.5">
      <c r="A136" s="3">
        <v>46022</v>
      </c>
      <c r="B136" s="1" t="s">
        <v>252</v>
      </c>
      <c r="C136" s="13" t="s">
        <v>279</v>
      </c>
      <c r="D136" s="1" t="str">
        <f>_xlfn.XLOOKUP(C136,mfscreener.portfolio_holdings_v!$C:$C,mfscreener.portfolio_holdings_v!$E:$E)</f>
        <v>Aggressive Hybrid</v>
      </c>
      <c r="E136" s="1" t="str">
        <f>_xlfn.XLOOKUP(C136,mfscreener.portfolio_holdings_v!$C:$C,mfscreener.portfolio_holdings_v!$D:$D)</f>
        <v>Hybrid</v>
      </c>
      <c r="F136" s="14">
        <v>12102</v>
      </c>
      <c r="G136" s="4">
        <v>0.65</v>
      </c>
      <c r="H136" s="1"/>
      <c r="I136" s="1" t="s">
        <v>280</v>
      </c>
      <c r="J136" s="1" t="s">
        <v>281</v>
      </c>
      <c r="K136" s="1"/>
    </row>
    <row r="137" spans="1:11" ht="12.5">
      <c r="A137" s="3">
        <v>46022</v>
      </c>
      <c r="B137" s="1" t="s">
        <v>252</v>
      </c>
      <c r="C137" s="13" t="s">
        <v>282</v>
      </c>
      <c r="D137" s="1" t="str">
        <f>_xlfn.XLOOKUP(C137,mfscreener.portfolio_holdings_v!$C:$C,mfscreener.portfolio_holdings_v!$E:$E)</f>
        <v>Dynamic Asset Allocation</v>
      </c>
      <c r="E137" s="1" t="str">
        <f>_xlfn.XLOOKUP(C137,mfscreener.portfolio_holdings_v!$C:$C,mfscreener.portfolio_holdings_v!$D:$D)</f>
        <v>Hybrid</v>
      </c>
      <c r="F137" s="4">
        <v>3695</v>
      </c>
      <c r="G137" s="4">
        <v>0.67</v>
      </c>
      <c r="H137" s="1"/>
      <c r="I137" s="1" t="s">
        <v>283</v>
      </c>
      <c r="J137" s="1" t="s">
        <v>284</v>
      </c>
      <c r="K137" s="1"/>
    </row>
    <row r="138" spans="1:11" ht="12.5">
      <c r="A138" s="3">
        <v>46022</v>
      </c>
      <c r="B138" s="1" t="s">
        <v>252</v>
      </c>
      <c r="C138" s="1" t="s">
        <v>285</v>
      </c>
      <c r="D138" s="1" t="str">
        <f>_xlfn.XLOOKUP(C138,mfscreener.portfolio_holdings_v!$C:$C,mfscreener.portfolio_holdings_v!$E:$E)</f>
        <v>Multi Asset Allocation</v>
      </c>
      <c r="E138" s="1" t="str">
        <f>_xlfn.XLOOKUP(C138,mfscreener.portfolio_holdings_v!$C:$C,mfscreener.portfolio_holdings_v!$D:$D)</f>
        <v>Hybrid</v>
      </c>
      <c r="F138" s="14">
        <v>6030</v>
      </c>
      <c r="G138" s="4">
        <v>0.27</v>
      </c>
      <c r="H138" s="4">
        <v>0.83</v>
      </c>
      <c r="I138" s="1" t="s">
        <v>286</v>
      </c>
      <c r="J138" s="1" t="s">
        <v>287</v>
      </c>
      <c r="K138" s="1"/>
    </row>
    <row r="139" spans="1:11" ht="12.5">
      <c r="A139" s="3">
        <v>46022</v>
      </c>
      <c r="B139" s="1" t="s">
        <v>252</v>
      </c>
      <c r="C139" s="1" t="s">
        <v>288</v>
      </c>
      <c r="D139" s="1" t="str">
        <f>_xlfn.XLOOKUP(C139,mfscreener.portfolio_holdings_v!$C:$C,mfscreener.portfolio_holdings_v!$E:$E)</f>
        <v>Equity Savings</v>
      </c>
      <c r="E139" s="1" t="str">
        <f>_xlfn.XLOOKUP(C139,mfscreener.portfolio_holdings_v!$C:$C,mfscreener.portfolio_holdings_v!$D:$D)</f>
        <v>Equity</v>
      </c>
      <c r="F139" s="14">
        <v>3919</v>
      </c>
      <c r="G139" s="4">
        <v>0.62</v>
      </c>
      <c r="H139" s="4">
        <v>5.32</v>
      </c>
      <c r="I139" s="1" t="s">
        <v>289</v>
      </c>
      <c r="J139" s="1" t="s">
        <v>290</v>
      </c>
      <c r="K139" s="1"/>
    </row>
    <row r="140" spans="1:11" ht="12.5">
      <c r="A140" s="3">
        <v>46022</v>
      </c>
      <c r="B140" s="1" t="s">
        <v>252</v>
      </c>
      <c r="C140" s="1" t="s">
        <v>291</v>
      </c>
      <c r="D140" s="1" t="str">
        <f>_xlfn.XLOOKUP(C140,mfscreener.portfolio_holdings_v!$C:$C,mfscreener.portfolio_holdings_v!$E:$E)</f>
        <v>Arbitrage</v>
      </c>
      <c r="E140" s="1" t="str">
        <f>_xlfn.XLOOKUP(C140,mfscreener.portfolio_holdings_v!$C:$C,mfscreener.portfolio_holdings_v!$D:$D)</f>
        <v>Equity</v>
      </c>
      <c r="F140" s="14">
        <v>6861</v>
      </c>
      <c r="G140" s="4">
        <v>0.35</v>
      </c>
      <c r="H140" s="4">
        <v>10.37</v>
      </c>
      <c r="I140" s="1" t="s">
        <v>292</v>
      </c>
      <c r="J140" s="1" t="s">
        <v>293</v>
      </c>
      <c r="K140" s="1"/>
    </row>
    <row r="141" spans="1:11" ht="12.5">
      <c r="A141" s="3"/>
      <c r="B141" s="1" t="s">
        <v>252</v>
      </c>
      <c r="C141" s="15" t="s">
        <v>294</v>
      </c>
      <c r="D141" s="1" t="str">
        <f>_xlfn.XLOOKUP(C141,mfscreener.portfolio_holdings_v!$C:$C,mfscreener.portfolio_holdings_v!$E:$E)</f>
        <v>Quant</v>
      </c>
      <c r="E141" s="1" t="str">
        <f>_xlfn.XLOOKUP(C141,mfscreener.portfolio_holdings_v!$C:$C,mfscreener.portfolio_holdings_v!$D:$D)</f>
        <v>Equity</v>
      </c>
      <c r="F141" s="4">
        <v>903</v>
      </c>
      <c r="G141" s="4">
        <v>0.55000000000000004</v>
      </c>
      <c r="H141" s="4">
        <v>1.41</v>
      </c>
      <c r="I141" s="1" t="s">
        <v>295</v>
      </c>
      <c r="J141" s="4">
        <v>21</v>
      </c>
      <c r="K141" s="1"/>
    </row>
    <row r="142" spans="1:11" ht="14.5">
      <c r="A142" s="3">
        <v>46022</v>
      </c>
      <c r="B142" s="1" t="s">
        <v>296</v>
      </c>
      <c r="C142" s="1" t="s">
        <v>297</v>
      </c>
      <c r="D142" s="1" t="str">
        <f>_xlfn.XLOOKUP(C142,mfscreener.portfolio_holdings_v!$C:$C,mfscreener.portfolio_holdings_v!$E:$E)</f>
        <v>ELSS</v>
      </c>
      <c r="E142" s="1" t="str">
        <f>_xlfn.XLOOKUP(C142,mfscreener.portfolio_holdings_v!$C:$C,mfscreener.portfolio_holdings_v!$D:$D)</f>
        <v>Equity</v>
      </c>
      <c r="F142" s="4">
        <v>443.24</v>
      </c>
      <c r="G142" s="4">
        <v>0.69</v>
      </c>
      <c r="H142" s="4">
        <v>0.31</v>
      </c>
      <c r="I142" s="1" t="s">
        <v>298</v>
      </c>
      <c r="J142" s="2" t="s">
        <v>299</v>
      </c>
      <c r="K142" s="1"/>
    </row>
    <row r="143" spans="1:11" ht="14.5">
      <c r="A143" s="3">
        <v>46022</v>
      </c>
      <c r="B143" s="1" t="s">
        <v>296</v>
      </c>
      <c r="C143" s="1" t="s">
        <v>300</v>
      </c>
      <c r="D143" s="1" t="str">
        <f>_xlfn.XLOOKUP(C143,mfscreener.portfolio_holdings_v!$C:$C,mfscreener.portfolio_holdings_v!$E:$E)</f>
        <v>Flexi Cap</v>
      </c>
      <c r="E143" s="1" t="str">
        <f>_xlfn.XLOOKUP(C143,mfscreener.portfolio_holdings_v!$C:$C,mfscreener.portfolio_holdings_v!$D:$D)</f>
        <v>Equity</v>
      </c>
      <c r="F143" s="4">
        <v>3039.78</v>
      </c>
      <c r="G143" s="4">
        <v>0.43</v>
      </c>
      <c r="H143" s="4">
        <v>0.45</v>
      </c>
      <c r="I143" s="1" t="s">
        <v>298</v>
      </c>
      <c r="J143" s="2" t="s">
        <v>299</v>
      </c>
      <c r="K143" s="1"/>
    </row>
    <row r="144" spans="1:11" ht="14.5">
      <c r="A144" s="3">
        <v>46022</v>
      </c>
      <c r="B144" s="1" t="s">
        <v>296</v>
      </c>
      <c r="C144" s="1" t="s">
        <v>301</v>
      </c>
      <c r="D144" s="1" t="str">
        <f>_xlfn.XLOOKUP(C144,mfscreener.portfolio_holdings_v!$C:$C,mfscreener.portfolio_holdings_v!$E:$E)</f>
        <v>Focused</v>
      </c>
      <c r="E144" s="1" t="str">
        <f>_xlfn.XLOOKUP(C144,mfscreener.portfolio_holdings_v!$C:$C,mfscreener.portfolio_holdings_v!$D:$D)</f>
        <v>Equity</v>
      </c>
      <c r="F144" s="4">
        <v>1031.8800000000001</v>
      </c>
      <c r="G144" s="4">
        <v>0.64</v>
      </c>
      <c r="H144" s="4">
        <v>0.33</v>
      </c>
      <c r="I144" s="1" t="s">
        <v>302</v>
      </c>
      <c r="J144" s="2" t="s">
        <v>303</v>
      </c>
      <c r="K144" s="1"/>
    </row>
    <row r="145" spans="1:11" ht="14.5">
      <c r="A145" s="3">
        <v>46022</v>
      </c>
      <c r="B145" s="1" t="s">
        <v>296</v>
      </c>
      <c r="C145" s="1" t="s">
        <v>304</v>
      </c>
      <c r="D145" s="1" t="str">
        <f>_xlfn.XLOOKUP(C145,mfscreener.portfolio_holdings_v!$C:$C,mfscreener.portfolio_holdings_v!$E:$E)</f>
        <v>Large Cap</v>
      </c>
      <c r="E145" s="1" t="str">
        <f>_xlfn.XLOOKUP(C145,mfscreener.portfolio_holdings_v!$C:$C,mfscreener.portfolio_holdings_v!$D:$D)</f>
        <v>Equity</v>
      </c>
      <c r="F145" s="4">
        <v>1424.03</v>
      </c>
      <c r="G145" s="4">
        <v>0.61</v>
      </c>
      <c r="H145" s="4">
        <v>1.33</v>
      </c>
      <c r="I145" s="1" t="s">
        <v>305</v>
      </c>
      <c r="J145" s="2" t="s">
        <v>306</v>
      </c>
      <c r="K145" s="1"/>
    </row>
    <row r="146" spans="1:11" ht="14.5">
      <c r="A146" s="3">
        <v>46022</v>
      </c>
      <c r="B146" s="1" t="s">
        <v>296</v>
      </c>
      <c r="C146" s="1" t="s">
        <v>307</v>
      </c>
      <c r="D146" s="1" t="str">
        <f>_xlfn.XLOOKUP(C146,mfscreener.portfolio_holdings_v!$C:$C,mfscreener.portfolio_holdings_v!$E:$E)</f>
        <v>Large &amp; Mid Cap</v>
      </c>
      <c r="E146" s="1" t="str">
        <f>_xlfn.XLOOKUP(C146,mfscreener.portfolio_holdings_v!$C:$C,mfscreener.portfolio_holdings_v!$D:$D)</f>
        <v>Equity</v>
      </c>
      <c r="F146" s="4">
        <v>4390.8</v>
      </c>
      <c r="G146" s="4">
        <v>0.42</v>
      </c>
      <c r="H146" s="4">
        <v>0.23</v>
      </c>
      <c r="I146" s="1" t="s">
        <v>308</v>
      </c>
      <c r="J146" s="2" t="s">
        <v>309</v>
      </c>
      <c r="K146" s="1"/>
    </row>
    <row r="147" spans="1:11" ht="14.5">
      <c r="A147" s="3">
        <v>46022</v>
      </c>
      <c r="B147" s="1" t="s">
        <v>296</v>
      </c>
      <c r="C147" s="1" t="s">
        <v>310</v>
      </c>
      <c r="D147" s="1" t="str">
        <f>_xlfn.XLOOKUP(C147,mfscreener.portfolio_holdings_v!$C:$C,mfscreener.portfolio_holdings_v!$E:$E)</f>
        <v>Mid Cap</v>
      </c>
      <c r="E147" s="1" t="str">
        <f>_xlfn.XLOOKUP(C147,mfscreener.portfolio_holdings_v!$C:$C,mfscreener.portfolio_holdings_v!$D:$D)</f>
        <v>Equity</v>
      </c>
      <c r="F147" s="4">
        <v>12938.98</v>
      </c>
      <c r="G147" s="4">
        <v>0.4</v>
      </c>
      <c r="H147" s="4">
        <v>0.42</v>
      </c>
      <c r="I147" s="1" t="s">
        <v>311</v>
      </c>
      <c r="J147" s="2" t="s">
        <v>312</v>
      </c>
      <c r="K147" s="1"/>
    </row>
    <row r="148" spans="1:11" ht="14.5">
      <c r="A148" s="3">
        <v>46022</v>
      </c>
      <c r="B148" s="1" t="s">
        <v>296</v>
      </c>
      <c r="C148" s="1" t="s">
        <v>313</v>
      </c>
      <c r="D148" s="1" t="str">
        <f>_xlfn.XLOOKUP(C148,mfscreener.portfolio_holdings_v!$C:$C,mfscreener.portfolio_holdings_v!$E:$E)</f>
        <v>Multi Cap</v>
      </c>
      <c r="E148" s="1" t="str">
        <f>_xlfn.XLOOKUP(C148,mfscreener.portfolio_holdings_v!$C:$C,mfscreener.portfolio_holdings_v!$D:$D)</f>
        <v>Equity</v>
      </c>
      <c r="F148" s="4">
        <v>3128.89</v>
      </c>
      <c r="G148" s="4">
        <v>0.4</v>
      </c>
      <c r="H148" s="4">
        <v>0.45</v>
      </c>
      <c r="I148" s="1" t="s">
        <v>314</v>
      </c>
      <c r="J148" s="2" t="s">
        <v>303</v>
      </c>
      <c r="K148" s="1"/>
    </row>
    <row r="149" spans="1:11" ht="14.5">
      <c r="A149" s="3">
        <v>46022</v>
      </c>
      <c r="B149" s="1" t="s">
        <v>296</v>
      </c>
      <c r="C149" s="1" t="s">
        <v>315</v>
      </c>
      <c r="D149" s="1" t="str">
        <f>_xlfn.XLOOKUP(C149,mfscreener.portfolio_holdings_v!$C:$C,mfscreener.portfolio_holdings_v!$E:$E)</f>
        <v>Small Cap</v>
      </c>
      <c r="E149" s="1" t="str">
        <f>_xlfn.XLOOKUP(C149,mfscreener.portfolio_holdings_v!$C:$C,mfscreener.portfolio_holdings_v!$D:$D)</f>
        <v>Equity</v>
      </c>
      <c r="F149" s="4">
        <v>5318.29</v>
      </c>
      <c r="G149" s="4">
        <v>0.43</v>
      </c>
      <c r="H149" s="4">
        <v>0.25</v>
      </c>
      <c r="I149" s="1" t="s">
        <v>311</v>
      </c>
      <c r="J149" s="2" t="s">
        <v>312</v>
      </c>
      <c r="K149" s="1"/>
    </row>
    <row r="150" spans="1:11" ht="14.5">
      <c r="A150" s="3">
        <v>46022</v>
      </c>
      <c r="B150" s="1" t="s">
        <v>296</v>
      </c>
      <c r="C150" s="1" t="s">
        <v>316</v>
      </c>
      <c r="D150" s="1" t="s">
        <v>1444</v>
      </c>
      <c r="E150" s="1" t="str">
        <f>_xlfn.XLOOKUP(C150,mfscreener.portfolio_holdings_v!$C:$C,mfscreener.portfolio_holdings_v!$D:$D)</f>
        <v>Equity</v>
      </c>
      <c r="F150" s="7">
        <v>1747.89</v>
      </c>
      <c r="G150" s="4">
        <v>0.48</v>
      </c>
      <c r="H150" s="4">
        <v>2.19</v>
      </c>
      <c r="I150" s="1" t="s">
        <v>317</v>
      </c>
      <c r="J150" s="2" t="s">
        <v>318</v>
      </c>
      <c r="K150" s="1"/>
    </row>
    <row r="151" spans="1:11" ht="14.5">
      <c r="A151" s="3">
        <v>46022</v>
      </c>
      <c r="B151" s="1" t="s">
        <v>296</v>
      </c>
      <c r="C151" s="1" t="s">
        <v>319</v>
      </c>
      <c r="D151" s="1" t="s">
        <v>1459</v>
      </c>
      <c r="E151" s="1" t="str">
        <f>_xlfn.XLOOKUP(C151,mfscreener.portfolio_holdings_v!$C:$C,mfscreener.portfolio_holdings_v!$D:$D)</f>
        <v>Equity</v>
      </c>
      <c r="F151" s="4">
        <v>489.51</v>
      </c>
      <c r="G151" s="4">
        <v>0.74</v>
      </c>
      <c r="H151" s="1"/>
      <c r="I151" s="1" t="s">
        <v>320</v>
      </c>
      <c r="J151" s="2" t="s">
        <v>321</v>
      </c>
      <c r="K151" s="1"/>
    </row>
    <row r="152" spans="1:11" ht="14.5">
      <c r="A152" s="3">
        <v>46022</v>
      </c>
      <c r="B152" s="1" t="s">
        <v>296</v>
      </c>
      <c r="C152" s="1" t="s">
        <v>322</v>
      </c>
      <c r="D152" s="1" t="s">
        <v>1491</v>
      </c>
      <c r="E152" s="1" t="str">
        <f>_xlfn.XLOOKUP(C152,mfscreener.portfolio_holdings_v!$C:$C,mfscreener.portfolio_holdings_v!$D:$D)</f>
        <v>Equity</v>
      </c>
      <c r="F152" s="4">
        <v>722.86</v>
      </c>
      <c r="G152" s="4">
        <v>0.6</v>
      </c>
      <c r="H152" s="4">
        <v>0.09</v>
      </c>
      <c r="I152" s="1" t="s">
        <v>314</v>
      </c>
      <c r="J152" s="2" t="s">
        <v>303</v>
      </c>
      <c r="K152" s="1"/>
    </row>
    <row r="153" spans="1:11" ht="14.5">
      <c r="A153" s="3">
        <v>46022</v>
      </c>
      <c r="B153" s="1" t="s">
        <v>296</v>
      </c>
      <c r="C153" s="1" t="s">
        <v>323</v>
      </c>
      <c r="D153" s="1" t="s">
        <v>1587</v>
      </c>
      <c r="E153" s="1" t="str">
        <f>_xlfn.XLOOKUP(C153,mfscreener.portfolio_holdings_v!$C:$C,mfscreener.portfolio_holdings_v!$D:$D)</f>
        <v>Equity</v>
      </c>
      <c r="F153" s="4">
        <v>955.71</v>
      </c>
      <c r="G153" s="4">
        <v>0.99</v>
      </c>
      <c r="H153" s="4">
        <v>1.41</v>
      </c>
      <c r="I153" s="1" t="s">
        <v>305</v>
      </c>
      <c r="J153" s="2" t="s">
        <v>306</v>
      </c>
      <c r="K153" s="1"/>
    </row>
    <row r="154" spans="1:11" ht="12.5">
      <c r="A154" s="3">
        <v>46022</v>
      </c>
      <c r="B154" s="1" t="s">
        <v>296</v>
      </c>
      <c r="C154" s="1" t="s">
        <v>324</v>
      </c>
      <c r="D154" s="1" t="str">
        <f>_xlfn.XLOOKUP(C154,mfscreener.portfolio_holdings_v!$C:$C,mfscreener.portfolio_holdings_v!$E:$E)</f>
        <v>Aggressive Hybrid</v>
      </c>
      <c r="E154" s="1" t="str">
        <f>_xlfn.XLOOKUP(C154,mfscreener.portfolio_holdings_v!$C:$C,mfscreener.portfolio_holdings_v!$D:$D)</f>
        <v>Hybrid</v>
      </c>
      <c r="F154" s="7">
        <v>3365.93</v>
      </c>
      <c r="G154" s="4">
        <v>0.38</v>
      </c>
      <c r="H154" s="4">
        <v>0.89</v>
      </c>
      <c r="I154" s="1" t="s">
        <v>325</v>
      </c>
      <c r="J154" s="4" t="s">
        <v>326</v>
      </c>
      <c r="K154" s="1"/>
    </row>
    <row r="155" spans="1:11" ht="12.5">
      <c r="A155" s="3">
        <v>46022</v>
      </c>
      <c r="B155" s="1" t="s">
        <v>296</v>
      </c>
      <c r="C155" s="1" t="s">
        <v>327</v>
      </c>
      <c r="D155" s="1" t="str">
        <f>_xlfn.XLOOKUP(C155,mfscreener.portfolio_holdings_v!$C:$C,mfscreener.portfolio_holdings_v!$E:$E)</f>
        <v>Balanced Advantage</v>
      </c>
      <c r="E155" s="1" t="str">
        <f>_xlfn.XLOOKUP(C155,mfscreener.portfolio_holdings_v!$C:$C,mfscreener.portfolio_holdings_v!$D:$D)</f>
        <v>Hybrid</v>
      </c>
      <c r="F155" s="7">
        <v>13293.33</v>
      </c>
      <c r="G155" s="4">
        <v>0.51</v>
      </c>
      <c r="H155" s="4">
        <v>0.67</v>
      </c>
      <c r="I155" s="1" t="s">
        <v>325</v>
      </c>
      <c r="J155" s="4" t="s">
        <v>326</v>
      </c>
      <c r="K155" s="1"/>
    </row>
    <row r="156" spans="1:11" ht="12.5">
      <c r="A156" s="3">
        <v>46022</v>
      </c>
      <c r="B156" s="1" t="s">
        <v>296</v>
      </c>
      <c r="C156" s="1" t="s">
        <v>328</v>
      </c>
      <c r="D156" s="1" t="str">
        <f>_xlfn.XLOOKUP(C156,mfscreener.portfolio_holdings_v!$C:$C,mfscreener.portfolio_holdings_v!$E:$E)</f>
        <v>Arbitrage</v>
      </c>
      <c r="E156" s="1" t="str">
        <f>_xlfn.XLOOKUP(C156,mfscreener.portfolio_holdings_v!$C:$C,mfscreener.portfolio_holdings_v!$D:$D)</f>
        <v>Hybrid</v>
      </c>
      <c r="F156" s="7">
        <v>16774.830000000002</v>
      </c>
      <c r="G156" s="4">
        <v>0.39</v>
      </c>
      <c r="H156" s="4">
        <v>2.2200000000000002</v>
      </c>
      <c r="I156" s="1" t="s">
        <v>329</v>
      </c>
      <c r="J156" s="1" t="s">
        <v>330</v>
      </c>
      <c r="K156" s="1"/>
    </row>
    <row r="157" spans="1:11" ht="12.5">
      <c r="A157" s="3">
        <v>46022</v>
      </c>
      <c r="B157" s="1" t="s">
        <v>296</v>
      </c>
      <c r="C157" s="1" t="s">
        <v>331</v>
      </c>
      <c r="D157" s="1" t="str">
        <f>_xlfn.XLOOKUP(C157,mfscreener.portfolio_holdings_v!$C:$C,mfscreener.portfolio_holdings_v!$E:$E)</f>
        <v>Equity Savings</v>
      </c>
      <c r="E157" s="1" t="str">
        <f>_xlfn.XLOOKUP(C157,mfscreener.portfolio_holdings_v!$C:$C,mfscreener.portfolio_holdings_v!$D:$D)</f>
        <v>Hybrid</v>
      </c>
      <c r="F157" s="7">
        <v>1074.4100000000001</v>
      </c>
      <c r="G157" s="4">
        <v>0.61</v>
      </c>
      <c r="H157" s="4">
        <v>0.8</v>
      </c>
      <c r="I157" s="1" t="s">
        <v>325</v>
      </c>
      <c r="J157" s="4" t="s">
        <v>326</v>
      </c>
      <c r="K157" s="1"/>
    </row>
    <row r="158" spans="1:11" ht="12.5">
      <c r="A158" s="3">
        <v>46022</v>
      </c>
      <c r="B158" s="1" t="s">
        <v>296</v>
      </c>
      <c r="C158" s="1" t="s">
        <v>332</v>
      </c>
      <c r="D158" s="1" t="str">
        <f>_xlfn.XLOOKUP(C158,mfscreener.portfolio_holdings_v!$C:$C,mfscreener.portfolio_holdings_v!$E:$E)</f>
        <v>Multi Asset Allocation</v>
      </c>
      <c r="E158" s="1" t="str">
        <f>_xlfn.XLOOKUP(C158,mfscreener.portfolio_holdings_v!$C:$C,mfscreener.portfolio_holdings_v!$D:$D)</f>
        <v>Hybrid</v>
      </c>
      <c r="F158" s="7">
        <v>2421.25</v>
      </c>
      <c r="G158" s="4">
        <v>0.4</v>
      </c>
      <c r="H158" s="4">
        <v>0.66</v>
      </c>
      <c r="I158" s="1" t="s">
        <v>325</v>
      </c>
      <c r="J158" s="4" t="s">
        <v>326</v>
      </c>
      <c r="K158" s="1"/>
    </row>
    <row r="159" spans="1:11" ht="14.5">
      <c r="A159" s="3">
        <v>46022</v>
      </c>
      <c r="B159" s="1" t="s">
        <v>333</v>
      </c>
      <c r="C159" s="1" t="s">
        <v>334</v>
      </c>
      <c r="D159" s="1" t="str">
        <f>_xlfn.XLOOKUP(C159,mfscreener.portfolio_holdings_v!$C:$C,mfscreener.portfolio_holdings_v!$E:$E)</f>
        <v>Value</v>
      </c>
      <c r="E159" s="1" t="str">
        <f>_xlfn.XLOOKUP(C159,mfscreener.portfolio_holdings_v!$C:$C,mfscreener.portfolio_holdings_v!$D:$D)</f>
        <v>Equity</v>
      </c>
      <c r="F159" s="5">
        <v>2314.9</v>
      </c>
      <c r="G159" s="5">
        <v>0.89</v>
      </c>
      <c r="H159" s="5">
        <v>0.28100000000000003</v>
      </c>
      <c r="I159" s="1" t="s">
        <v>335</v>
      </c>
      <c r="J159" s="2" t="s">
        <v>336</v>
      </c>
      <c r="K159" s="1"/>
    </row>
    <row r="160" spans="1:11" ht="14.5">
      <c r="A160" s="3">
        <v>46022</v>
      </c>
      <c r="B160" s="1" t="s">
        <v>333</v>
      </c>
      <c r="C160" s="1" t="s">
        <v>337</v>
      </c>
      <c r="D160" s="1" t="str">
        <f>_xlfn.XLOOKUP(C160,mfscreener.portfolio_holdings_v!$C:$C,mfscreener.portfolio_holdings_v!$E:$E)</f>
        <v>Flexi Cap</v>
      </c>
      <c r="E160" s="1" t="str">
        <f>_xlfn.XLOOKUP(C160,mfscreener.portfolio_holdings_v!$C:$C,mfscreener.portfolio_holdings_v!$D:$D)</f>
        <v>Equity</v>
      </c>
      <c r="F160" s="5">
        <v>19899.46</v>
      </c>
      <c r="G160" s="5">
        <v>0.89</v>
      </c>
      <c r="H160" s="5">
        <v>0.2361</v>
      </c>
      <c r="I160" s="1" t="s">
        <v>338</v>
      </c>
      <c r="J160" s="6" t="s">
        <v>339</v>
      </c>
      <c r="K160" s="1"/>
    </row>
    <row r="161" spans="1:11" ht="14.5">
      <c r="A161" s="3">
        <v>46022</v>
      </c>
      <c r="B161" s="1" t="s">
        <v>333</v>
      </c>
      <c r="C161" s="1" t="s">
        <v>340</v>
      </c>
      <c r="D161" s="1" t="str">
        <f>_xlfn.XLOOKUP(C161,mfscreener.portfolio_holdings_v!$C:$C,mfscreener.portfolio_holdings_v!$E:$E)</f>
        <v>Large Cap</v>
      </c>
      <c r="E161" s="1" t="str">
        <f>_xlfn.XLOOKUP(C161,mfscreener.portfolio_holdings_v!$C:$C,mfscreener.portfolio_holdings_v!$D:$D)</f>
        <v>Equity</v>
      </c>
      <c r="F161" s="16">
        <v>8000.35</v>
      </c>
      <c r="G161" s="16">
        <v>1.1100000000000001</v>
      </c>
      <c r="H161" s="16">
        <v>0.76049999999999995</v>
      </c>
      <c r="I161" s="15" t="s">
        <v>341</v>
      </c>
      <c r="J161" s="6" t="s">
        <v>342</v>
      </c>
      <c r="K161" s="1"/>
    </row>
    <row r="162" spans="1:11" ht="14.5">
      <c r="A162" s="3">
        <v>46022</v>
      </c>
      <c r="B162" s="1" t="s">
        <v>333</v>
      </c>
      <c r="C162" s="1" t="s">
        <v>343</v>
      </c>
      <c r="D162" s="1" t="str">
        <f>_xlfn.XLOOKUP(C162,mfscreener.portfolio_holdings_v!$C:$C,mfscreener.portfolio_holdings_v!$E:$E)</f>
        <v>Large &amp; Mid Cap</v>
      </c>
      <c r="E162" s="1" t="str">
        <f>_xlfn.XLOOKUP(C162,mfscreener.portfolio_holdings_v!$C:$C,mfscreener.portfolio_holdings_v!$D:$D)</f>
        <v>Equity</v>
      </c>
      <c r="F162" s="5">
        <v>3680.37</v>
      </c>
      <c r="G162" s="5">
        <v>1.31</v>
      </c>
      <c r="H162" s="5">
        <v>0.98380000000000001</v>
      </c>
      <c r="I162" s="1" t="s">
        <v>1619</v>
      </c>
      <c r="J162" s="6" t="s">
        <v>344</v>
      </c>
      <c r="K162" s="1"/>
    </row>
    <row r="163" spans="1:11" ht="14.5">
      <c r="A163" s="3">
        <v>46022</v>
      </c>
      <c r="B163" s="1" t="s">
        <v>333</v>
      </c>
      <c r="C163" s="1" t="s">
        <v>345</v>
      </c>
      <c r="D163" s="1" t="str">
        <f>_xlfn.XLOOKUP(C163,mfscreener.portfolio_holdings_v!$C:$C,mfscreener.portfolio_holdings_v!$E:$E)</f>
        <v>Mid Cap</v>
      </c>
      <c r="E163" s="1" t="str">
        <f>_xlfn.XLOOKUP(C163,mfscreener.portfolio_holdings_v!$C:$C,mfscreener.portfolio_holdings_v!$D:$D)</f>
        <v>Equity</v>
      </c>
      <c r="F163" s="5">
        <v>12767.62</v>
      </c>
      <c r="G163" s="5">
        <v>0.98</v>
      </c>
      <c r="H163" s="5">
        <v>0.28939999999999999</v>
      </c>
      <c r="I163" s="1" t="s">
        <v>346</v>
      </c>
      <c r="J163" s="6" t="s">
        <v>347</v>
      </c>
      <c r="K163" s="1"/>
    </row>
    <row r="164" spans="1:11" ht="14.5">
      <c r="A164" s="3">
        <v>46022</v>
      </c>
      <c r="B164" s="1" t="s">
        <v>333</v>
      </c>
      <c r="C164" s="1" t="s">
        <v>348</v>
      </c>
      <c r="D164" s="1" t="str">
        <f>_xlfn.XLOOKUP(C164,mfscreener.portfolio_holdings_v!$C:$C,mfscreener.portfolio_holdings_v!$E:$E)</f>
        <v>Small Cap</v>
      </c>
      <c r="E164" s="1" t="str">
        <f>_xlfn.XLOOKUP(C164,mfscreener.portfolio_holdings_v!$C:$C,mfscreener.portfolio_holdings_v!$D:$D)</f>
        <v>Equity</v>
      </c>
      <c r="F164" s="5">
        <v>13242.63</v>
      </c>
      <c r="G164" s="5">
        <v>0.94</v>
      </c>
      <c r="H164" s="5">
        <v>0.25919999999999999</v>
      </c>
      <c r="I164" s="1" t="s">
        <v>346</v>
      </c>
      <c r="J164" s="6" t="s">
        <v>347</v>
      </c>
      <c r="K164" s="1"/>
    </row>
    <row r="165" spans="1:11" ht="14.5">
      <c r="A165" s="3">
        <v>46022</v>
      </c>
      <c r="B165" s="1" t="s">
        <v>333</v>
      </c>
      <c r="C165" s="1" t="s">
        <v>349</v>
      </c>
      <c r="D165" s="1" t="str">
        <f>_xlfn.XLOOKUP(C165,mfscreener.portfolio_holdings_v!$C:$C,mfscreener.portfolio_holdings_v!$E:$E)</f>
        <v>Multi Cap</v>
      </c>
      <c r="E165" s="1" t="str">
        <f>_xlfn.XLOOKUP(C165,mfscreener.portfolio_holdings_v!$C:$C,mfscreener.portfolio_holdings_v!$D:$D)</f>
        <v>Equity</v>
      </c>
      <c r="F165" s="5">
        <v>5066.24</v>
      </c>
      <c r="G165" s="5">
        <v>0.47</v>
      </c>
      <c r="H165" s="5">
        <v>0.68030000000000002</v>
      </c>
      <c r="I165" s="1" t="s">
        <v>350</v>
      </c>
      <c r="J165" s="6" t="s">
        <v>351</v>
      </c>
      <c r="K165" s="1"/>
    </row>
    <row r="166" spans="1:11" ht="14.5">
      <c r="A166" s="3">
        <v>46022</v>
      </c>
      <c r="B166" s="1" t="s">
        <v>333</v>
      </c>
      <c r="C166" s="1" t="s">
        <v>352</v>
      </c>
      <c r="D166" s="1" t="str">
        <f>_xlfn.XLOOKUP(C166,mfscreener.portfolio_holdings_v!$C:$C,mfscreener.portfolio_holdings_v!$E:$E)</f>
        <v>Focused</v>
      </c>
      <c r="E166" s="1" t="str">
        <f>_xlfn.XLOOKUP(C166,mfscreener.portfolio_holdings_v!$C:$C,mfscreener.portfolio_holdings_v!$D:$D)</f>
        <v>Equity</v>
      </c>
      <c r="F166" s="5">
        <v>12660.79</v>
      </c>
      <c r="G166" s="5">
        <v>0.98</v>
      </c>
      <c r="H166" s="5">
        <v>0.20330000000000001</v>
      </c>
      <c r="I166" s="2" t="s">
        <v>353</v>
      </c>
      <c r="J166" s="2" t="s">
        <v>354</v>
      </c>
      <c r="K166" s="1"/>
    </row>
    <row r="167" spans="1:11" ht="14.5">
      <c r="A167" s="3">
        <v>46022</v>
      </c>
      <c r="B167" s="1" t="s">
        <v>333</v>
      </c>
      <c r="C167" s="1" t="s">
        <v>355</v>
      </c>
      <c r="D167" s="1" t="str">
        <f>_xlfn.XLOOKUP(C167,mfscreener.portfolio_holdings_v!$C:$C,mfscreener.portfolio_holdings_v!$E:$E)</f>
        <v>ELSS</v>
      </c>
      <c r="E167" s="1" t="str">
        <f>_xlfn.XLOOKUP(C167,mfscreener.portfolio_holdings_v!$C:$C,mfscreener.portfolio_holdings_v!$D:$D)</f>
        <v>Equity</v>
      </c>
      <c r="F167" s="5">
        <v>6709.67</v>
      </c>
      <c r="G167" s="5">
        <v>1.05</v>
      </c>
      <c r="H167" s="5">
        <v>14.35</v>
      </c>
      <c r="I167" s="1" t="s">
        <v>356</v>
      </c>
      <c r="J167" s="6" t="s">
        <v>339</v>
      </c>
      <c r="K167" s="1"/>
    </row>
    <row r="168" spans="1:11" ht="12.5">
      <c r="A168" s="3">
        <v>46022</v>
      </c>
      <c r="B168" s="1" t="s">
        <v>333</v>
      </c>
      <c r="C168" s="1" t="s">
        <v>357</v>
      </c>
      <c r="D168" s="1" t="s">
        <v>1448</v>
      </c>
      <c r="E168" s="1" t="str">
        <f>_xlfn.XLOOKUP(C168,mfscreener.portfolio_holdings_v!$C:$C,mfscreener.portfolio_holdings_v!$D:$D)</f>
        <v>Equity</v>
      </c>
      <c r="F168" s="1">
        <v>429.48</v>
      </c>
      <c r="G168" s="1">
        <v>0.67</v>
      </c>
      <c r="H168" s="1">
        <v>1.8100000000000002E-2</v>
      </c>
      <c r="I168" s="9" t="s">
        <v>358</v>
      </c>
      <c r="J168" s="1">
        <v>8</v>
      </c>
      <c r="K168" s="1"/>
    </row>
    <row r="169" spans="1:11" ht="12.5">
      <c r="A169" s="3">
        <v>46022</v>
      </c>
      <c r="B169" s="1" t="s">
        <v>333</v>
      </c>
      <c r="C169" s="1" t="s">
        <v>359</v>
      </c>
      <c r="D169" s="1" t="s">
        <v>1588</v>
      </c>
      <c r="E169" s="1" t="str">
        <f>_xlfn.XLOOKUP(C169,mfscreener.portfolio_holdings_v!$C:$C,mfscreener.portfolio_holdings_v!$D:$D)</f>
        <v>Equity</v>
      </c>
      <c r="F169" s="9">
        <v>8279.4599999999991</v>
      </c>
      <c r="G169" s="1">
        <v>0.54</v>
      </c>
      <c r="H169" s="1">
        <v>0.50860000000000005</v>
      </c>
      <c r="I169" s="9" t="s">
        <v>360</v>
      </c>
      <c r="J169" s="1" t="s">
        <v>361</v>
      </c>
      <c r="K169" s="1"/>
    </row>
    <row r="170" spans="1:11" ht="12.5">
      <c r="A170" s="3">
        <v>46022</v>
      </c>
      <c r="B170" s="1" t="s">
        <v>333</v>
      </c>
      <c r="C170" s="1" t="s">
        <v>362</v>
      </c>
      <c r="D170" s="1" t="s">
        <v>1491</v>
      </c>
      <c r="E170" s="1" t="str">
        <f>_xlfn.XLOOKUP(C170,mfscreener.portfolio_holdings_v!$C:$C,mfscreener.portfolio_holdings_v!$D:$D)</f>
        <v>Equity</v>
      </c>
      <c r="F170" s="9">
        <v>2009.8</v>
      </c>
      <c r="G170" s="1">
        <v>1.03</v>
      </c>
      <c r="H170" s="1">
        <v>0.29360000000000003</v>
      </c>
      <c r="I170" s="9" t="s">
        <v>363</v>
      </c>
      <c r="J170" s="1" t="s">
        <v>364</v>
      </c>
      <c r="K170" s="1"/>
    </row>
    <row r="171" spans="1:11" ht="12.5">
      <c r="A171" s="3">
        <v>46022</v>
      </c>
      <c r="B171" s="1" t="s">
        <v>333</v>
      </c>
      <c r="C171" s="1" t="s">
        <v>365</v>
      </c>
      <c r="D171" s="1" t="str">
        <f>_xlfn.XLOOKUP(C171,mfscreener.portfolio_holdings_v!$C:$C,mfscreener.portfolio_holdings_v!$E:$E)</f>
        <v>Aggressive Hybrid</v>
      </c>
      <c r="E171" s="1" t="str">
        <f>_xlfn.XLOOKUP(C171,mfscreener.portfolio_holdings_v!$C:$C,mfscreener.portfolio_holdings_v!$D:$D)</f>
        <v>Hybrid</v>
      </c>
      <c r="F171" s="9">
        <v>2373.87</v>
      </c>
      <c r="G171" s="1">
        <v>0.92</v>
      </c>
      <c r="H171" s="1">
        <v>0.9244</v>
      </c>
      <c r="I171" s="9" t="s">
        <v>366</v>
      </c>
      <c r="J171" s="1" t="s">
        <v>367</v>
      </c>
      <c r="K171" s="1"/>
    </row>
    <row r="172" spans="1:11" ht="12.5">
      <c r="A172" s="3">
        <v>46022</v>
      </c>
      <c r="B172" s="1" t="s">
        <v>333</v>
      </c>
      <c r="C172" s="1" t="s">
        <v>368</v>
      </c>
      <c r="D172" s="1" t="str">
        <f>_xlfn.XLOOKUP(C172,mfscreener.portfolio_holdings_v!$C:$C,mfscreener.portfolio_holdings_v!$E:$E)</f>
        <v>Balanced Advantage</v>
      </c>
      <c r="E172" s="1" t="str">
        <f>_xlfn.XLOOKUP(C172,mfscreener.portfolio_holdings_v!$C:$C,mfscreener.portfolio_holdings_v!$D:$D)</f>
        <v>Hybrid</v>
      </c>
      <c r="F172" s="9">
        <v>2874.94</v>
      </c>
      <c r="G172" s="1">
        <v>0.49</v>
      </c>
      <c r="H172" s="1">
        <v>3.0074000000000001</v>
      </c>
      <c r="I172" s="9" t="s">
        <v>369</v>
      </c>
      <c r="J172" s="1" t="s">
        <v>370</v>
      </c>
      <c r="K172" s="1"/>
    </row>
    <row r="173" spans="1:11" ht="12.5">
      <c r="A173" s="3">
        <v>46022</v>
      </c>
      <c r="B173" s="1" t="s">
        <v>333</v>
      </c>
      <c r="C173" s="1" t="s">
        <v>371</v>
      </c>
      <c r="D173" s="1" t="str">
        <f>_xlfn.XLOOKUP(C173,mfscreener.portfolio_holdings_v!$C:$C,mfscreener.portfolio_holdings_v!$E:$E)</f>
        <v>Equity Savings</v>
      </c>
      <c r="E173" s="1" t="str">
        <f>_xlfn.XLOOKUP(C173,mfscreener.portfolio_holdings_v!$C:$C,mfscreener.portfolio_holdings_v!$D:$D)</f>
        <v>Hybrid</v>
      </c>
      <c r="F173" s="9">
        <v>692.87</v>
      </c>
      <c r="G173" s="1">
        <v>0.33</v>
      </c>
      <c r="H173" s="1">
        <v>6.8376000000000001</v>
      </c>
      <c r="I173" s="9" t="s">
        <v>372</v>
      </c>
      <c r="J173" s="1" t="s">
        <v>370</v>
      </c>
      <c r="K173" s="1"/>
    </row>
    <row r="174" spans="1:11" ht="12.5">
      <c r="A174" s="3">
        <v>46022</v>
      </c>
      <c r="B174" s="1" t="s">
        <v>333</v>
      </c>
      <c r="C174" s="1" t="s">
        <v>373</v>
      </c>
      <c r="D174" s="1" t="str">
        <f>_xlfn.XLOOKUP(C174,mfscreener.portfolio_holdings_v!$C:$C,mfscreener.portfolio_holdings_v!$E:$E)</f>
        <v>Multi Asset Allocation</v>
      </c>
      <c r="E174" s="1" t="str">
        <f>_xlfn.XLOOKUP(C174,mfscreener.portfolio_holdings_v!$C:$C,mfscreener.portfolio_holdings_v!$D:$D)</f>
        <v>Hybrid</v>
      </c>
      <c r="F174" s="9">
        <v>2378.0300000000002</v>
      </c>
      <c r="G174" s="1">
        <v>0.25</v>
      </c>
      <c r="H174" s="1">
        <v>0.22209999999999999</v>
      </c>
      <c r="I174" s="9" t="s">
        <v>374</v>
      </c>
      <c r="J174" s="1" t="s">
        <v>375</v>
      </c>
      <c r="K174" s="1"/>
    </row>
    <row r="175" spans="1:11" ht="12.5">
      <c r="A175" s="3">
        <v>46022</v>
      </c>
      <c r="B175" s="1" t="s">
        <v>333</v>
      </c>
      <c r="C175" s="1" t="s">
        <v>376</v>
      </c>
      <c r="D175" s="1" t="str">
        <f>_xlfn.XLOOKUP(C175,mfscreener.portfolio_holdings_v!$C:$C,mfscreener.portfolio_holdings_v!$E:$E)</f>
        <v>Conservative Hybrid</v>
      </c>
      <c r="E175" s="1" t="str">
        <f>_xlfn.XLOOKUP(C175,mfscreener.portfolio_holdings_v!$C:$C,mfscreener.portfolio_holdings_v!$D:$D)</f>
        <v>Hybrid</v>
      </c>
      <c r="F175" s="9">
        <v>211.28</v>
      </c>
      <c r="G175" s="1">
        <v>0.77</v>
      </c>
      <c r="H175" s="10"/>
      <c r="I175" s="9" t="s">
        <v>377</v>
      </c>
      <c r="J175" s="1" t="s">
        <v>378</v>
      </c>
      <c r="K175" s="1"/>
    </row>
    <row r="176" spans="1:11" ht="12.5">
      <c r="A176" s="3">
        <v>46022</v>
      </c>
      <c r="B176" s="1" t="s">
        <v>333</v>
      </c>
      <c r="C176" s="1" t="s">
        <v>379</v>
      </c>
      <c r="D176" s="1" t="str">
        <f>_xlfn.XLOOKUP(C176,mfscreener.portfolio_holdings_v!$C:$C,mfscreener.portfolio_holdings_v!$E:$E)</f>
        <v>Arbitrage</v>
      </c>
      <c r="E176" s="1" t="str">
        <f>_xlfn.XLOOKUP(C176,mfscreener.portfolio_holdings_v!$C:$C,mfscreener.portfolio_holdings_v!$D:$D)</f>
        <v>Hybrid</v>
      </c>
      <c r="F176" s="9">
        <v>654.78</v>
      </c>
      <c r="G176" s="1">
        <v>0.28999999999999998</v>
      </c>
      <c r="H176" s="1">
        <v>11.2126</v>
      </c>
      <c r="I176" s="9" t="s">
        <v>380</v>
      </c>
      <c r="J176" s="1" t="s">
        <v>381</v>
      </c>
      <c r="K176" s="1"/>
    </row>
    <row r="177" spans="1:11" ht="12.5">
      <c r="A177" s="3">
        <v>46022</v>
      </c>
      <c r="B177" s="1" t="s">
        <v>333</v>
      </c>
      <c r="C177" s="1" t="s">
        <v>382</v>
      </c>
      <c r="D177" s="1" t="str">
        <f>_xlfn.XLOOKUP(C177,mfscreener.portfolio_holdings_v!$C:$C,mfscreener.portfolio_holdings_v!$E:$E)</f>
        <v>Retirement</v>
      </c>
      <c r="E177" s="1" t="str">
        <f>_xlfn.XLOOKUP(C177,mfscreener.portfolio_holdings_v!$C:$C,mfscreener.portfolio_holdings_v!$D:$D)</f>
        <v>Hybrid</v>
      </c>
      <c r="F177" s="9">
        <v>518.11</v>
      </c>
      <c r="G177" s="1">
        <v>1.49</v>
      </c>
      <c r="H177" s="1"/>
      <c r="I177" s="9" t="s">
        <v>383</v>
      </c>
      <c r="J177" s="1" t="s">
        <v>384</v>
      </c>
      <c r="K177" s="1"/>
    </row>
    <row r="178" spans="1:11" ht="12.5">
      <c r="A178" s="3">
        <v>46022</v>
      </c>
      <c r="B178" s="1" t="s">
        <v>333</v>
      </c>
      <c r="C178" s="1" t="s">
        <v>385</v>
      </c>
      <c r="D178" s="1" t="s">
        <v>1445</v>
      </c>
      <c r="E178" s="1" t="str">
        <f>_xlfn.XLOOKUP(C178,mfscreener.portfolio_holdings_v!$C:$C,mfscreener.portfolio_holdings_v!$D:$D)</f>
        <v>Equity</v>
      </c>
      <c r="F178" s="9">
        <v>3009.28</v>
      </c>
      <c r="G178" s="1">
        <v>0.99</v>
      </c>
      <c r="H178" s="1">
        <v>0.19639999999999999</v>
      </c>
      <c r="I178" s="9" t="s">
        <v>386</v>
      </c>
      <c r="J178" s="1" t="s">
        <v>387</v>
      </c>
      <c r="K178" s="1"/>
    </row>
    <row r="179" spans="1:11" ht="12.5">
      <c r="A179" s="3">
        <v>46022</v>
      </c>
      <c r="B179" s="1" t="s">
        <v>333</v>
      </c>
      <c r="C179" s="1" t="s">
        <v>388</v>
      </c>
      <c r="D179" s="1" t="str">
        <f>_xlfn.XLOOKUP(C179,mfscreener.portfolio_holdings_v!$C:$C,mfscreener.portfolio_holdings_v!$E:$E)</f>
        <v>Asian Equity</v>
      </c>
      <c r="E179" s="1" t="str">
        <f>_xlfn.XLOOKUP(C179,mfscreener.portfolio_holdings_v!$C:$C,mfscreener.portfolio_holdings_v!$D:$D)</f>
        <v>Equity</v>
      </c>
      <c r="F179" s="1">
        <v>308.04000000000002</v>
      </c>
      <c r="G179" s="1">
        <v>0.56530000000000002</v>
      </c>
      <c r="H179" s="1">
        <v>1.7</v>
      </c>
      <c r="I179" s="9" t="s">
        <v>389</v>
      </c>
      <c r="J179" s="1" t="s">
        <v>390</v>
      </c>
      <c r="K179" s="1"/>
    </row>
    <row r="180" spans="1:11" ht="14.5">
      <c r="A180" s="3">
        <v>46022</v>
      </c>
      <c r="B180" s="1" t="s">
        <v>391</v>
      </c>
      <c r="C180" s="1" t="s">
        <v>392</v>
      </c>
      <c r="D180" s="1" t="str">
        <f>_xlfn.XLOOKUP(C180,mfscreener.portfolio_holdings_v!$C:$C,mfscreener.portfolio_holdings_v!$E:$E)</f>
        <v>Large Cap</v>
      </c>
      <c r="E180" s="1" t="str">
        <f>_xlfn.XLOOKUP(C180,mfscreener.portfolio_holdings_v!$C:$C,mfscreener.portfolio_holdings_v!$D:$D)</f>
        <v>Equity</v>
      </c>
      <c r="F180" s="4">
        <v>132.13999999999999</v>
      </c>
      <c r="G180" s="5">
        <v>1.26</v>
      </c>
      <c r="H180" s="5">
        <v>1.44E-2</v>
      </c>
      <c r="I180" s="2" t="s">
        <v>393</v>
      </c>
      <c r="J180" s="2" t="s">
        <v>394</v>
      </c>
      <c r="K180" s="1"/>
    </row>
    <row r="181" spans="1:11" ht="14.5">
      <c r="A181" s="3">
        <v>46022</v>
      </c>
      <c r="B181" s="1" t="s">
        <v>391</v>
      </c>
      <c r="C181" s="1" t="s">
        <v>395</v>
      </c>
      <c r="D181" s="1" t="str">
        <f>_xlfn.XLOOKUP(C181,mfscreener.portfolio_holdings_v!$C:$C,mfscreener.portfolio_holdings_v!$E:$E)</f>
        <v>Value</v>
      </c>
      <c r="E181" s="1" t="str">
        <f>_xlfn.XLOOKUP(C181,mfscreener.portfolio_holdings_v!$C:$C,mfscreener.portfolio_holdings_v!$D:$D)</f>
        <v>Equity</v>
      </c>
      <c r="F181" s="4">
        <v>67.41</v>
      </c>
      <c r="G181" s="5">
        <v>0.9</v>
      </c>
      <c r="H181" s="5">
        <v>1.46E-2</v>
      </c>
      <c r="I181" s="2" t="s">
        <v>393</v>
      </c>
      <c r="J181" s="2" t="s">
        <v>394</v>
      </c>
      <c r="K181" s="1"/>
    </row>
    <row r="182" spans="1:11" ht="14.5">
      <c r="A182" s="3">
        <v>46022</v>
      </c>
      <c r="B182" s="1" t="s">
        <v>391</v>
      </c>
      <c r="C182" s="1" t="s">
        <v>396</v>
      </c>
      <c r="D182" s="1" t="str">
        <f>_xlfn.XLOOKUP(C182,mfscreener.portfolio_holdings_v!$C:$C,mfscreener.portfolio_holdings_v!$E:$E)</f>
        <v>Multi Cap</v>
      </c>
      <c r="E182" s="1" t="str">
        <f>_xlfn.XLOOKUP(C182,mfscreener.portfolio_holdings_v!$C:$C,mfscreener.portfolio_holdings_v!$D:$D)</f>
        <v>Equity</v>
      </c>
      <c r="F182" s="4">
        <v>299.08</v>
      </c>
      <c r="G182" s="5">
        <v>0.45</v>
      </c>
      <c r="H182" s="5">
        <v>1.01</v>
      </c>
      <c r="I182" s="2" t="s">
        <v>393</v>
      </c>
      <c r="J182" s="2" t="s">
        <v>394</v>
      </c>
      <c r="K182" s="1"/>
    </row>
    <row r="183" spans="1:11" ht="14.5">
      <c r="A183" s="3">
        <v>46022</v>
      </c>
      <c r="B183" s="1" t="s">
        <v>391</v>
      </c>
      <c r="C183" s="1" t="s">
        <v>397</v>
      </c>
      <c r="D183" s="1" t="str">
        <f>_xlfn.XLOOKUP(C183,mfscreener.portfolio_holdings_v!$C:$C,mfscreener.portfolio_holdings_v!$E:$E)</f>
        <v>ELSS</v>
      </c>
      <c r="E183" s="1" t="str">
        <f>_xlfn.XLOOKUP(C183,mfscreener.portfolio_holdings_v!$C:$C,mfscreener.portfolio_holdings_v!$D:$D)</f>
        <v>Equity</v>
      </c>
      <c r="F183" s="4">
        <v>52.78</v>
      </c>
      <c r="G183" s="5">
        <v>0.85</v>
      </c>
      <c r="H183" s="5">
        <v>2.0199999999999999E-2</v>
      </c>
      <c r="I183" s="2" t="s">
        <v>398</v>
      </c>
      <c r="J183" s="2" t="s">
        <v>399</v>
      </c>
      <c r="K183" s="1"/>
    </row>
    <row r="184" spans="1:11" ht="12.5">
      <c r="A184" s="3">
        <v>46022</v>
      </c>
      <c r="B184" s="1" t="s">
        <v>391</v>
      </c>
      <c r="C184" s="1" t="s">
        <v>400</v>
      </c>
      <c r="D184" s="1" t="str">
        <f>_xlfn.XLOOKUP(C184,mfscreener.portfolio_holdings_v!$C:$C,mfscreener.portfolio_holdings_v!$E:$E)</f>
        <v>Banking &amp; Financial Services</v>
      </c>
      <c r="E184" s="1" t="str">
        <f>_xlfn.XLOOKUP(C184,mfscreener.portfolio_holdings_v!$C:$C,mfscreener.portfolio_holdings_v!$D:$D)</f>
        <v>Equity</v>
      </c>
      <c r="F184" s="9">
        <v>61.4</v>
      </c>
      <c r="G184" s="1">
        <v>0.36</v>
      </c>
      <c r="H184" s="1"/>
      <c r="I184" s="9" t="s">
        <v>401</v>
      </c>
      <c r="J184" s="1" t="s">
        <v>394</v>
      </c>
      <c r="K184" s="1"/>
    </row>
    <row r="185" spans="1:11" ht="12.5">
      <c r="A185" s="3">
        <v>46022</v>
      </c>
      <c r="B185" s="1" t="s">
        <v>391</v>
      </c>
      <c r="C185" s="1" t="s">
        <v>402</v>
      </c>
      <c r="D185" s="1" t="str">
        <f>_xlfn.XLOOKUP(C185,mfscreener.portfolio_holdings_v!$C:$C,mfscreener.portfolio_holdings_v!$E:$E)</f>
        <v>Aggressive Hybrid</v>
      </c>
      <c r="E185" s="1" t="str">
        <f>_xlfn.XLOOKUP(C185,mfscreener.portfolio_holdings_v!$C:$C,mfscreener.portfolio_holdings_v!$D:$D)</f>
        <v>Hybrid</v>
      </c>
      <c r="F185" s="9">
        <v>50.57</v>
      </c>
      <c r="G185" s="1">
        <v>1.33</v>
      </c>
      <c r="H185" s="1">
        <v>1.61E-2</v>
      </c>
      <c r="I185" s="9" t="s">
        <v>403</v>
      </c>
      <c r="J185" s="1" t="s">
        <v>404</v>
      </c>
      <c r="K185" s="1"/>
    </row>
    <row r="186" spans="1:11" ht="12.5">
      <c r="A186" s="3">
        <v>46022</v>
      </c>
      <c r="B186" s="1" t="s">
        <v>391</v>
      </c>
      <c r="C186" s="1" t="s">
        <v>405</v>
      </c>
      <c r="D186" s="1" t="str">
        <f>_xlfn.XLOOKUP(C186,mfscreener.portfolio_holdings_v!$C:$C,mfscreener.portfolio_holdings_v!$E:$E)</f>
        <v>Multi Asset Allocation</v>
      </c>
      <c r="E186" s="1" t="str">
        <f>_xlfn.XLOOKUP(C186,mfscreener.portfolio_holdings_v!$C:$C,mfscreener.portfolio_holdings_v!$D:$D)</f>
        <v>Hybrid</v>
      </c>
      <c r="F186" s="9">
        <v>340.8</v>
      </c>
      <c r="G186" s="1">
        <v>0.45</v>
      </c>
      <c r="H186" s="1"/>
      <c r="I186" s="9" t="s">
        <v>406</v>
      </c>
      <c r="J186" s="1" t="s">
        <v>407</v>
      </c>
      <c r="K186" s="1"/>
    </row>
    <row r="187" spans="1:11" ht="14.5">
      <c r="A187" s="3">
        <v>46022</v>
      </c>
      <c r="B187" s="1" t="s">
        <v>408</v>
      </c>
      <c r="C187" s="1" t="s">
        <v>409</v>
      </c>
      <c r="D187" s="1" t="str">
        <f>_xlfn.XLOOKUP(C187,mfscreener.portfolio_holdings_v!$C:$C,mfscreener.portfolio_holdings_v!$E:$E)</f>
        <v>ELSS</v>
      </c>
      <c r="E187" s="1" t="str">
        <f>_xlfn.XLOOKUP(C187,mfscreener.portfolio_holdings_v!$C:$C,mfscreener.portfolio_holdings_v!$D:$D)</f>
        <v>Equity</v>
      </c>
      <c r="F187" s="7">
        <v>17119.060000000001</v>
      </c>
      <c r="G187" s="4">
        <v>1.08</v>
      </c>
      <c r="H187" s="4">
        <v>0.16</v>
      </c>
      <c r="I187" s="1" t="s">
        <v>410</v>
      </c>
      <c r="J187" s="5">
        <v>23</v>
      </c>
      <c r="K187" s="1"/>
    </row>
    <row r="188" spans="1:11" ht="14.5">
      <c r="A188" s="3">
        <v>46022</v>
      </c>
      <c r="B188" s="1" t="s">
        <v>408</v>
      </c>
      <c r="C188" s="1" t="s">
        <v>411</v>
      </c>
      <c r="D188" s="1" t="str">
        <f>_xlfn.XLOOKUP(C188,mfscreener.portfolio_holdings_v!$C:$C,mfscreener.portfolio_holdings_v!$E:$E)</f>
        <v>Flexi Cap</v>
      </c>
      <c r="E188" s="1" t="str">
        <f>_xlfn.XLOOKUP(C188,mfscreener.portfolio_holdings_v!$C:$C,mfscreener.portfolio_holdings_v!$D:$D)</f>
        <v>Equity</v>
      </c>
      <c r="F188" s="7">
        <v>94919.8</v>
      </c>
      <c r="G188" s="4">
        <v>0.65</v>
      </c>
      <c r="H188" s="4">
        <v>0.1</v>
      </c>
      <c r="I188" s="2" t="s">
        <v>412</v>
      </c>
      <c r="J188" s="5">
        <v>28</v>
      </c>
      <c r="K188" s="1"/>
    </row>
    <row r="189" spans="1:11" ht="14.5">
      <c r="A189" s="3">
        <v>46022</v>
      </c>
      <c r="B189" s="1" t="s">
        <v>408</v>
      </c>
      <c r="C189" s="1" t="s">
        <v>413</v>
      </c>
      <c r="D189" s="1" t="str">
        <f>_xlfn.XLOOKUP(C189,mfscreener.portfolio_holdings_v!$C:$C,mfscreener.portfolio_holdings_v!$E:$E)</f>
        <v>Focused</v>
      </c>
      <c r="E189" s="1" t="str">
        <f>_xlfn.XLOOKUP(C189,mfscreener.portfolio_holdings_v!$C:$C,mfscreener.portfolio_holdings_v!$D:$D)</f>
        <v>Equity</v>
      </c>
      <c r="F189" s="7">
        <v>26267.55</v>
      </c>
      <c r="G189" s="4">
        <v>0.61</v>
      </c>
      <c r="H189" s="4">
        <v>0.11</v>
      </c>
      <c r="I189" s="2" t="s">
        <v>414</v>
      </c>
      <c r="J189" s="5">
        <v>21</v>
      </c>
      <c r="K189" s="1"/>
    </row>
    <row r="190" spans="1:11" ht="14.5">
      <c r="A190" s="3">
        <v>46022</v>
      </c>
      <c r="B190" s="1" t="s">
        <v>408</v>
      </c>
      <c r="C190" s="1" t="s">
        <v>415</v>
      </c>
      <c r="D190" s="1" t="str">
        <f>_xlfn.XLOOKUP(C190,mfscreener.portfolio_holdings_v!$C:$C,mfscreener.portfolio_holdings_v!$E:$E)</f>
        <v>Large Cap</v>
      </c>
      <c r="E190" s="1" t="str">
        <f>_xlfn.XLOOKUP(C190,mfscreener.portfolio_holdings_v!$C:$C,mfscreener.portfolio_holdings_v!$D:$D)</f>
        <v>Equity</v>
      </c>
      <c r="F190" s="7">
        <v>40350.1</v>
      </c>
      <c r="G190" s="4">
        <v>0.95</v>
      </c>
      <c r="H190" s="4">
        <v>0.24</v>
      </c>
      <c r="I190" s="1" t="s">
        <v>416</v>
      </c>
      <c r="J190" s="5">
        <v>24</v>
      </c>
      <c r="K190" s="1"/>
    </row>
    <row r="191" spans="1:11" ht="14.5">
      <c r="A191" s="3">
        <v>46022</v>
      </c>
      <c r="B191" s="1" t="s">
        <v>408</v>
      </c>
      <c r="C191" s="1" t="s">
        <v>417</v>
      </c>
      <c r="D191" s="1" t="str">
        <f>_xlfn.XLOOKUP(C191,mfscreener.portfolio_holdings_v!$C:$C,mfscreener.portfolio_holdings_v!$E:$E)</f>
        <v>Large &amp; Mid Cap</v>
      </c>
      <c r="E191" s="1" t="str">
        <f>_xlfn.XLOOKUP(C191,mfscreener.portfolio_holdings_v!$C:$C,mfscreener.portfolio_holdings_v!$D:$D)</f>
        <v>Equity</v>
      </c>
      <c r="F191" s="7">
        <v>28711.88</v>
      </c>
      <c r="G191" s="4">
        <v>0.83</v>
      </c>
      <c r="H191" s="4">
        <v>0.03</v>
      </c>
      <c r="I191" s="2" t="s">
        <v>414</v>
      </c>
      <c r="J191" s="5">
        <v>21</v>
      </c>
      <c r="K191" s="1"/>
    </row>
    <row r="192" spans="1:11" ht="14.5">
      <c r="A192" s="3">
        <v>46022</v>
      </c>
      <c r="B192" s="1" t="s">
        <v>408</v>
      </c>
      <c r="C192" s="1" t="s">
        <v>418</v>
      </c>
      <c r="D192" s="1" t="str">
        <f>_xlfn.XLOOKUP(C192,mfscreener.portfolio_holdings_v!$C:$C,mfscreener.portfolio_holdings_v!$E:$E)</f>
        <v>Mid Cap</v>
      </c>
      <c r="E192" s="1" t="str">
        <f>_xlfn.XLOOKUP(C192,mfscreener.portfolio_holdings_v!$C:$C,mfscreener.portfolio_holdings_v!$D:$D)</f>
        <v>Equity</v>
      </c>
      <c r="F192" s="7">
        <v>91724.6</v>
      </c>
      <c r="G192" s="4">
        <v>0.71</v>
      </c>
      <c r="H192" s="4">
        <v>0.1</v>
      </c>
      <c r="I192" s="2" t="s">
        <v>412</v>
      </c>
      <c r="J192" s="5">
        <v>28</v>
      </c>
      <c r="K192" s="1"/>
    </row>
    <row r="193" spans="1:11" ht="14.5">
      <c r="A193" s="3">
        <v>46022</v>
      </c>
      <c r="B193" s="1" t="s">
        <v>408</v>
      </c>
      <c r="C193" s="1" t="s">
        <v>419</v>
      </c>
      <c r="D193" s="1" t="str">
        <f>_xlfn.XLOOKUP(C193,mfscreener.portfolio_holdings_v!$C:$C,mfscreener.portfolio_holdings_v!$E:$E)</f>
        <v>Multi Cap</v>
      </c>
      <c r="E193" s="1" t="str">
        <f>_xlfn.XLOOKUP(C193,mfscreener.portfolio_holdings_v!$C:$C,mfscreener.portfolio_holdings_v!$D:$D)</f>
        <v>Equity</v>
      </c>
      <c r="F193" s="7">
        <v>19789.57</v>
      </c>
      <c r="G193" s="4">
        <v>0.77</v>
      </c>
      <c r="H193" s="4">
        <v>0.28000000000000003</v>
      </c>
      <c r="I193" s="2" t="s">
        <v>410</v>
      </c>
      <c r="J193" s="5">
        <v>23</v>
      </c>
      <c r="K193" s="1"/>
    </row>
    <row r="194" spans="1:11" ht="14.5">
      <c r="A194" s="3">
        <v>46022</v>
      </c>
      <c r="B194" s="1" t="s">
        <v>408</v>
      </c>
      <c r="C194" s="1" t="s">
        <v>420</v>
      </c>
      <c r="D194" s="1" t="str">
        <f>_xlfn.XLOOKUP(C194,mfscreener.portfolio_holdings_v!$C:$C,mfscreener.portfolio_holdings_v!$E:$E)</f>
        <v>Small Cap</v>
      </c>
      <c r="E194" s="1" t="str">
        <f>_xlfn.XLOOKUP(C194,mfscreener.portfolio_holdings_v!$C:$C,mfscreener.portfolio_holdings_v!$D:$D)</f>
        <v>Equity</v>
      </c>
      <c r="F194" s="7">
        <v>37610.57</v>
      </c>
      <c r="G194" s="4">
        <v>0.67</v>
      </c>
      <c r="H194" s="4">
        <v>0.09</v>
      </c>
      <c r="I194" s="2" t="s">
        <v>412</v>
      </c>
      <c r="J194" s="5">
        <v>28</v>
      </c>
      <c r="K194" s="1"/>
    </row>
    <row r="195" spans="1:11" ht="14.5">
      <c r="A195" s="3">
        <v>46022</v>
      </c>
      <c r="B195" s="1" t="s">
        <v>408</v>
      </c>
      <c r="C195" s="1" t="s">
        <v>421</v>
      </c>
      <c r="D195" s="1" t="str">
        <f>_xlfn.XLOOKUP(C195,mfscreener.portfolio_holdings_v!$C:$C,mfscreener.portfolio_holdings_v!$E:$E)</f>
        <v>Value</v>
      </c>
      <c r="E195" s="1" t="str">
        <f>_xlfn.XLOOKUP(C195,mfscreener.portfolio_holdings_v!$C:$C,mfscreener.portfolio_holdings_v!$D:$D)</f>
        <v>Equity</v>
      </c>
      <c r="F195" s="7">
        <v>7622.46</v>
      </c>
      <c r="G195" s="4">
        <v>0.99</v>
      </c>
      <c r="H195" s="4">
        <v>0.27</v>
      </c>
      <c r="I195" s="2" t="s">
        <v>422</v>
      </c>
      <c r="J195" s="5">
        <v>21</v>
      </c>
      <c r="K195" s="1"/>
    </row>
    <row r="196" spans="1:11" ht="14.5">
      <c r="A196" s="3">
        <v>46022</v>
      </c>
      <c r="B196" s="1" t="s">
        <v>408</v>
      </c>
      <c r="C196" s="1" t="s">
        <v>423</v>
      </c>
      <c r="D196" s="1" t="str">
        <f>_xlfn.XLOOKUP(C196,mfscreener.portfolio_holdings_v!$C:$C,mfscreener.portfolio_holdings_v!$E:$E)</f>
        <v>Banking &amp; Financial Services</v>
      </c>
      <c r="E196" s="1" t="str">
        <f>_xlfn.XLOOKUP(C196,mfscreener.portfolio_holdings_v!$C:$C,mfscreener.portfolio_holdings_v!$D:$D)</f>
        <v>Equity</v>
      </c>
      <c r="F196" s="7">
        <v>4480.91</v>
      </c>
      <c r="G196" s="4">
        <v>0.8</v>
      </c>
      <c r="H196" s="4">
        <v>0.25</v>
      </c>
      <c r="I196" s="2" t="s">
        <v>422</v>
      </c>
      <c r="J196" s="5">
        <v>21</v>
      </c>
      <c r="K196" s="1"/>
    </row>
    <row r="197" spans="1:11" ht="12.5">
      <c r="A197" s="3">
        <v>46022</v>
      </c>
      <c r="B197" s="1" t="s">
        <v>408</v>
      </c>
      <c r="C197" s="1" t="s">
        <v>424</v>
      </c>
      <c r="D197" s="1" t="str">
        <f>_xlfn.XLOOKUP(C197,mfscreener.portfolio_holdings_v!$C:$C,mfscreener.portfolio_holdings_v!$E:$E)</f>
        <v>Defence</v>
      </c>
      <c r="E197" s="1" t="str">
        <f>_xlfn.XLOOKUP(C197,mfscreener.portfolio_holdings_v!$C:$C,mfscreener.portfolio_holdings_v!$D:$D)</f>
        <v>Equity</v>
      </c>
      <c r="F197" s="7">
        <v>7224.14</v>
      </c>
      <c r="G197" s="4">
        <v>0.8</v>
      </c>
      <c r="H197" s="4">
        <v>0.14000000000000001</v>
      </c>
      <c r="I197" s="1" t="s">
        <v>425</v>
      </c>
      <c r="J197" s="1" t="s">
        <v>426</v>
      </c>
      <c r="K197" s="1"/>
    </row>
    <row r="198" spans="1:11" ht="14.5">
      <c r="A198" s="3">
        <v>46022</v>
      </c>
      <c r="B198" s="1" t="s">
        <v>408</v>
      </c>
      <c r="C198" s="1" t="s">
        <v>427</v>
      </c>
      <c r="D198" s="1" t="str">
        <f>_xlfn.XLOOKUP(C198,mfscreener.portfolio_holdings_v!$C:$C,mfscreener.portfolio_holdings_v!$E:$E)</f>
        <v>Technology</v>
      </c>
      <c r="E198" s="1" t="str">
        <f>_xlfn.XLOOKUP(C198,mfscreener.portfolio_holdings_v!$C:$C,mfscreener.portfolio_holdings_v!$D:$D)</f>
        <v>Equity</v>
      </c>
      <c r="F198" s="7">
        <v>1635.05</v>
      </c>
      <c r="G198" s="4">
        <v>0.93</v>
      </c>
      <c r="H198" s="4">
        <v>0.08</v>
      </c>
      <c r="I198" s="2" t="s">
        <v>428</v>
      </c>
      <c r="J198" s="5">
        <v>15</v>
      </c>
      <c r="K198" s="1"/>
    </row>
    <row r="199" spans="1:11" ht="14.5">
      <c r="A199" s="3">
        <v>46022</v>
      </c>
      <c r="B199" s="1" t="s">
        <v>408</v>
      </c>
      <c r="C199" s="1" t="s">
        <v>429</v>
      </c>
      <c r="D199" s="1" t="str">
        <f>_xlfn.XLOOKUP(C199,mfscreener.portfolio_holdings_v!$C:$C,mfscreener.portfolio_holdings_v!$E:$E)</f>
        <v>Infrastructure</v>
      </c>
      <c r="E199" s="1" t="str">
        <f>_xlfn.XLOOKUP(C199,mfscreener.portfolio_holdings_v!$C:$C,mfscreener.portfolio_holdings_v!$D:$D)</f>
        <v>Equity</v>
      </c>
      <c r="F199" s="7">
        <v>2450.67</v>
      </c>
      <c r="G199" s="4">
        <v>1.1499999999999999</v>
      </c>
      <c r="H199" s="4">
        <v>0.09</v>
      </c>
      <c r="I199" s="1" t="s">
        <v>430</v>
      </c>
      <c r="J199" s="5">
        <v>19</v>
      </c>
      <c r="K199" s="1"/>
    </row>
    <row r="200" spans="1:11" ht="14.5">
      <c r="A200" s="3">
        <v>46022</v>
      </c>
      <c r="B200" s="1" t="s">
        <v>408</v>
      </c>
      <c r="C200" s="1" t="s">
        <v>431</v>
      </c>
      <c r="D200" s="1" t="str">
        <f>_xlfn.XLOOKUP(C200,mfscreener.portfolio_holdings_v!$C:$C,mfscreener.portfolio_holdings_v!$E:$E)</f>
        <v>Manufacturing</v>
      </c>
      <c r="E200" s="1" t="str">
        <f>_xlfn.XLOOKUP(C200,mfscreener.portfolio_holdings_v!$C:$C,mfscreener.portfolio_holdings_v!$D:$D)</f>
        <v>Equity</v>
      </c>
      <c r="F200" s="7">
        <v>11037.21</v>
      </c>
      <c r="G200" s="4">
        <v>0.82</v>
      </c>
      <c r="H200" s="4">
        <v>0.3</v>
      </c>
      <c r="I200" s="1" t="s">
        <v>432</v>
      </c>
      <c r="J200" s="5">
        <v>17</v>
      </c>
      <c r="K200" s="1"/>
    </row>
    <row r="201" spans="1:11" ht="14.5">
      <c r="A201" s="3">
        <v>46022</v>
      </c>
      <c r="B201" s="1" t="s">
        <v>408</v>
      </c>
      <c r="C201" s="1" t="s">
        <v>433</v>
      </c>
      <c r="D201" s="1" t="s">
        <v>1480</v>
      </c>
      <c r="E201" s="1" t="str">
        <f>_xlfn.XLOOKUP(C201,mfscreener.portfolio_holdings_v!$C:$C,mfscreener.portfolio_holdings_v!$D:$D)</f>
        <v>Equity</v>
      </c>
      <c r="F201" s="7">
        <v>1988.09</v>
      </c>
      <c r="G201" s="4">
        <v>0.94</v>
      </c>
      <c r="H201" s="4">
        <v>0.39</v>
      </c>
      <c r="I201" s="2" t="s">
        <v>434</v>
      </c>
      <c r="J201" s="5">
        <v>15</v>
      </c>
      <c r="K201" s="1"/>
    </row>
    <row r="202" spans="1:11" ht="14.5">
      <c r="A202" s="3">
        <v>46022</v>
      </c>
      <c r="B202" s="1" t="s">
        <v>408</v>
      </c>
      <c r="C202" s="1" t="s">
        <v>435</v>
      </c>
      <c r="D202" s="1" t="str">
        <f>_xlfn.XLOOKUP(C202,mfscreener.portfolio_holdings_v!$C:$C,mfscreener.portfolio_holdings_v!$E:$E)</f>
        <v>MNC</v>
      </c>
      <c r="E202" s="1" t="str">
        <f>_xlfn.XLOOKUP(C202,mfscreener.portfolio_holdings_v!$C:$C,mfscreener.portfolio_holdings_v!$D:$D)</f>
        <v>Equity</v>
      </c>
      <c r="F202" s="4">
        <v>572</v>
      </c>
      <c r="G202" s="4">
        <v>1.25</v>
      </c>
      <c r="H202" s="4">
        <v>0.64</v>
      </c>
      <c r="I202" s="2" t="s">
        <v>416</v>
      </c>
      <c r="J202" s="5">
        <v>24</v>
      </c>
      <c r="K202" s="1"/>
    </row>
    <row r="203" spans="1:11" ht="14.5">
      <c r="A203" s="3">
        <v>46022</v>
      </c>
      <c r="B203" s="1" t="s">
        <v>408</v>
      </c>
      <c r="C203" s="1" t="s">
        <v>436</v>
      </c>
      <c r="D203" s="1" t="s">
        <v>1459</v>
      </c>
      <c r="E203" s="1" t="str">
        <f>_xlfn.XLOOKUP(C203,mfscreener.portfolio_holdings_v!$C:$C,mfscreener.portfolio_holdings_v!$D:$D)</f>
        <v>Equity</v>
      </c>
      <c r="F203" s="7">
        <v>1068.8499999999999</v>
      </c>
      <c r="G203" s="4">
        <v>1.04</v>
      </c>
      <c r="H203" s="4">
        <v>0.32</v>
      </c>
      <c r="I203" s="2" t="s">
        <v>437</v>
      </c>
      <c r="J203" s="5">
        <v>21</v>
      </c>
      <c r="K203" s="1"/>
    </row>
    <row r="204" spans="1:11" ht="12.5">
      <c r="A204" s="3">
        <v>46022</v>
      </c>
      <c r="B204" s="1" t="s">
        <v>408</v>
      </c>
      <c r="C204" s="1" t="s">
        <v>438</v>
      </c>
      <c r="D204" s="1" t="str">
        <f>_xlfn.XLOOKUP(C204,mfscreener.portfolio_holdings_v!$C:$C,mfscreener.portfolio_holdings_v!$E:$E)</f>
        <v>Transportation &amp; Logistics</v>
      </c>
      <c r="E204" s="1" t="str">
        <f>_xlfn.XLOOKUP(C204,mfscreener.portfolio_holdings_v!$C:$C,mfscreener.portfolio_holdings_v!$D:$D)</f>
        <v>Equity</v>
      </c>
      <c r="F204" s="7">
        <v>1749.33</v>
      </c>
      <c r="G204" s="4">
        <v>0.97</v>
      </c>
      <c r="H204" s="4">
        <v>0.28000000000000003</v>
      </c>
      <c r="I204" s="1" t="s">
        <v>439</v>
      </c>
      <c r="J204" s="4">
        <v>17</v>
      </c>
      <c r="K204" s="1"/>
    </row>
    <row r="205" spans="1:11" ht="12.5">
      <c r="A205" s="3">
        <v>46022</v>
      </c>
      <c r="B205" s="1" t="s">
        <v>408</v>
      </c>
      <c r="C205" s="1" t="s">
        <v>440</v>
      </c>
      <c r="D205" s="1" t="str">
        <f>_xlfn.XLOOKUP(C205,mfscreener.portfolio_holdings_v!$C:$C,mfscreener.portfolio_holdings_v!$E:$E)</f>
        <v>Business Cycle</v>
      </c>
      <c r="E205" s="1" t="str">
        <f>_xlfn.XLOOKUP(C205,mfscreener.portfolio_holdings_v!$C:$C,mfscreener.portfolio_holdings_v!$D:$D)</f>
        <v>Equity</v>
      </c>
      <c r="F205" s="4">
        <v>2848.1</v>
      </c>
      <c r="G205" s="4">
        <v>0.85</v>
      </c>
      <c r="H205" s="4">
        <v>0.68</v>
      </c>
      <c r="I205" s="1" t="s">
        <v>416</v>
      </c>
      <c r="J205" s="4">
        <v>24</v>
      </c>
      <c r="K205" s="1"/>
    </row>
    <row r="206" spans="1:11" ht="14.5">
      <c r="A206" s="3">
        <v>46022</v>
      </c>
      <c r="B206" s="1" t="s">
        <v>408</v>
      </c>
      <c r="C206" s="1" t="s">
        <v>441</v>
      </c>
      <c r="D206" s="1" t="str">
        <f>_xlfn.XLOOKUP(C206,mfscreener.portfolio_holdings_v!$C:$C,mfscreener.portfolio_holdings_v!$E:$E)</f>
        <v>Innovation</v>
      </c>
      <c r="E206" s="1" t="str">
        <f>_xlfn.XLOOKUP(C206,mfscreener.portfolio_holdings_v!$C:$C,mfscreener.portfolio_holdings_v!$D:$D)</f>
        <v>Equity</v>
      </c>
      <c r="F206" s="7">
        <v>2730.45</v>
      </c>
      <c r="G206" s="4">
        <v>0.72</v>
      </c>
      <c r="H206" s="1"/>
      <c r="I206" s="2" t="s">
        <v>437</v>
      </c>
      <c r="J206" s="5">
        <v>21</v>
      </c>
      <c r="K206" s="1"/>
    </row>
    <row r="207" spans="1:11" ht="12.5">
      <c r="A207" s="3">
        <v>46022</v>
      </c>
      <c r="B207" s="1" t="s">
        <v>408</v>
      </c>
      <c r="C207" s="1" t="s">
        <v>442</v>
      </c>
      <c r="D207" s="1" t="str">
        <f>_xlfn.XLOOKUP(C207,mfscreener.portfolio_holdings_v!$C:$C,mfscreener.portfolio_holdings_v!$E:$E)</f>
        <v>Housing Opportunities</v>
      </c>
      <c r="E207" s="1" t="str">
        <f>_xlfn.XLOOKUP(C207,mfscreener.portfolio_holdings_v!$C:$C,mfscreener.portfolio_holdings_v!$D:$D)</f>
        <v>Equity</v>
      </c>
      <c r="F207" s="1"/>
      <c r="G207" s="1"/>
      <c r="H207" s="1"/>
      <c r="I207" s="1"/>
      <c r="J207" s="1"/>
      <c r="K207" s="1"/>
    </row>
    <row r="208" spans="1:11" ht="14.5">
      <c r="A208" s="3">
        <v>46022</v>
      </c>
      <c r="B208" s="1" t="s">
        <v>408</v>
      </c>
      <c r="C208" s="1" t="s">
        <v>443</v>
      </c>
      <c r="D208" s="1" t="str">
        <f>_xlfn.XLOOKUP(C208,mfscreener.portfolio_holdings_v!$C:$C,mfscreener.portfolio_holdings_v!$E:$E)</f>
        <v>Dividend Yield</v>
      </c>
      <c r="E208" s="1" t="str">
        <f>_xlfn.XLOOKUP(C208,mfscreener.portfolio_holdings_v!$C:$C,mfscreener.portfolio_holdings_v!$D:$D)</f>
        <v>Equity</v>
      </c>
      <c r="F208" s="7">
        <v>6114.73</v>
      </c>
      <c r="G208" s="4">
        <v>0.7</v>
      </c>
      <c r="H208" s="4">
        <v>8.6999999999999994E-2</v>
      </c>
      <c r="I208" s="2" t="s">
        <v>414</v>
      </c>
      <c r="J208" s="5">
        <v>21</v>
      </c>
      <c r="K208" s="1"/>
    </row>
    <row r="209" spans="1:11" ht="14.5">
      <c r="A209" s="3">
        <v>46022</v>
      </c>
      <c r="B209" s="1" t="s">
        <v>408</v>
      </c>
      <c r="C209" s="1" t="s">
        <v>444</v>
      </c>
      <c r="D209" s="1" t="str">
        <f>_xlfn.XLOOKUP(C209,mfscreener.portfolio_holdings_v!$C:$C,mfscreener.portfolio_holdings_v!$E:$E)</f>
        <v>Balanced Advantage</v>
      </c>
      <c r="E209" s="1" t="str">
        <f>_xlfn.XLOOKUP(C209,mfscreener.portfolio_holdings_v!$C:$C,mfscreener.portfolio_holdings_v!$D:$D)</f>
        <v>Hybrid</v>
      </c>
      <c r="F209" s="4" t="s">
        <v>445</v>
      </c>
      <c r="G209" s="4">
        <v>0.73</v>
      </c>
      <c r="H209" s="4">
        <v>0.16</v>
      </c>
      <c r="I209" s="2" t="s">
        <v>446</v>
      </c>
      <c r="J209" s="1" t="s">
        <v>447</v>
      </c>
      <c r="K209" s="1"/>
    </row>
    <row r="210" spans="1:11" ht="14.5">
      <c r="A210" s="3">
        <v>46022</v>
      </c>
      <c r="B210" s="1" t="s">
        <v>408</v>
      </c>
      <c r="C210" s="1" t="s">
        <v>448</v>
      </c>
      <c r="D210" s="1" t="str">
        <f>_xlfn.XLOOKUP(C210,mfscreener.portfolio_holdings_v!$C:$C,mfscreener.portfolio_holdings_v!$E:$E)</f>
        <v>Equity Savings</v>
      </c>
      <c r="E210" s="1" t="str">
        <f>_xlfn.XLOOKUP(C210,mfscreener.portfolio_holdings_v!$C:$C,mfscreener.portfolio_holdings_v!$D:$D)</f>
        <v>Hybrid</v>
      </c>
      <c r="F210" s="7">
        <v>5896.97</v>
      </c>
      <c r="G210" s="4">
        <v>0.94</v>
      </c>
      <c r="H210" s="1">
        <v>0.2467</v>
      </c>
      <c r="I210" s="2" t="s">
        <v>449</v>
      </c>
      <c r="J210" s="1" t="s">
        <v>450</v>
      </c>
      <c r="K210" s="1"/>
    </row>
    <row r="211" spans="1:11" ht="14.5">
      <c r="A211" s="3">
        <v>46022</v>
      </c>
      <c r="B211" s="1" t="s">
        <v>408</v>
      </c>
      <c r="C211" s="1" t="s">
        <v>451</v>
      </c>
      <c r="D211" s="1" t="str">
        <f>_xlfn.XLOOKUP(C211,mfscreener.portfolio_holdings_v!$C:$C,mfscreener.portfolio_holdings_v!$E:$E)</f>
        <v>Hybrid Equity</v>
      </c>
      <c r="E211" s="1" t="str">
        <f>_xlfn.XLOOKUP(C211,mfscreener.portfolio_holdings_v!$C:$C,mfscreener.portfolio_holdings_v!$D:$D)</f>
        <v>Hybrid</v>
      </c>
      <c r="F211" s="7">
        <v>24539.02</v>
      </c>
      <c r="G211" s="4">
        <v>1.02</v>
      </c>
      <c r="H211" s="4">
        <v>0.18</v>
      </c>
      <c r="I211" s="2" t="s">
        <v>452</v>
      </c>
      <c r="J211" s="1" t="s">
        <v>453</v>
      </c>
      <c r="K211" s="1"/>
    </row>
    <row r="212" spans="1:11" ht="14.5">
      <c r="A212" s="3">
        <v>46022</v>
      </c>
      <c r="B212" s="1" t="s">
        <v>408</v>
      </c>
      <c r="C212" s="1" t="s">
        <v>454</v>
      </c>
      <c r="D212" s="1" t="str">
        <f>_xlfn.XLOOKUP(C212,mfscreener.portfolio_holdings_v!$C:$C,mfscreener.portfolio_holdings_v!$E:$E)</f>
        <v>Multi Asset Allocation</v>
      </c>
      <c r="E212" s="1" t="str">
        <f>_xlfn.XLOOKUP(C212,mfscreener.portfolio_holdings_v!$C:$C,mfscreener.portfolio_holdings_v!$D:$D)</f>
        <v>Hybrid</v>
      </c>
      <c r="F212" s="7">
        <v>5378.33</v>
      </c>
      <c r="G212" s="4">
        <v>0.8</v>
      </c>
      <c r="H212" s="4">
        <v>0.2</v>
      </c>
      <c r="I212" s="2" t="s">
        <v>455</v>
      </c>
      <c r="J212" s="1" t="s">
        <v>456</v>
      </c>
      <c r="K212" s="1"/>
    </row>
    <row r="213" spans="1:11" ht="12.5">
      <c r="A213" s="3">
        <v>46022</v>
      </c>
      <c r="B213" s="1" t="s">
        <v>408</v>
      </c>
      <c r="C213" s="1" t="s">
        <v>457</v>
      </c>
      <c r="D213" s="1" t="str">
        <f>_xlfn.XLOOKUP(C213,mfscreener.portfolio_holdings_v!$C:$C,mfscreener.portfolio_holdings_v!$E:$E)</f>
        <v>Retirement Savings Equity</v>
      </c>
      <c r="E213" s="1" t="str">
        <f>_xlfn.XLOOKUP(C213,mfscreener.portfolio_holdings_v!$C:$C,mfscreener.portfolio_holdings_v!$D:$D)</f>
        <v>Equity</v>
      </c>
      <c r="F213" s="7">
        <v>7030.37</v>
      </c>
      <c r="G213" s="4">
        <v>0.71</v>
      </c>
      <c r="H213" s="4">
        <v>0.14000000000000001</v>
      </c>
      <c r="I213" s="1" t="s">
        <v>458</v>
      </c>
      <c r="J213" s="1" t="s">
        <v>459</v>
      </c>
      <c r="K213" s="1"/>
    </row>
    <row r="214" spans="1:11" ht="12.5">
      <c r="A214" s="3">
        <v>46022</v>
      </c>
      <c r="B214" s="1" t="s">
        <v>408</v>
      </c>
      <c r="C214" s="1" t="s">
        <v>460</v>
      </c>
      <c r="D214" s="1" t="str">
        <f>_xlfn.XLOOKUP(C214,mfscreener.portfolio_holdings_v!$C:$C,mfscreener.portfolio_holdings_v!$E:$E)</f>
        <v>Retirement Savings Hybrid Equity</v>
      </c>
      <c r="E214" s="1" t="str">
        <f>_xlfn.XLOOKUP(C214,mfscreener.portfolio_holdings_v!$C:$C,mfscreener.portfolio_holdings_v!$D:$D)</f>
        <v>Hybrid</v>
      </c>
      <c r="F214" s="7">
        <v>1738.83</v>
      </c>
      <c r="G214" s="4">
        <v>0.94</v>
      </c>
      <c r="H214" s="4">
        <v>0.11</v>
      </c>
      <c r="I214" s="1" t="s">
        <v>458</v>
      </c>
      <c r="J214" s="1" t="s">
        <v>459</v>
      </c>
      <c r="K214" s="1"/>
    </row>
    <row r="215" spans="1:11" ht="14.5">
      <c r="A215" s="3">
        <v>46022</v>
      </c>
      <c r="B215" s="1" t="s">
        <v>461</v>
      </c>
      <c r="C215" s="1" t="s">
        <v>462</v>
      </c>
      <c r="D215" s="1" t="str">
        <f>_xlfn.XLOOKUP(C215,mfscreener.portfolio_holdings_v!$C:$C,mfscreener.portfolio_holdings_v!$E:$E)</f>
        <v>ELSS</v>
      </c>
      <c r="E215" s="1" t="str">
        <f>_xlfn.XLOOKUP(C215,mfscreener.portfolio_holdings_v!$C:$C,mfscreener.portfolio_holdings_v!$D:$D)</f>
        <v>Equity</v>
      </c>
      <c r="F215" s="4">
        <v>14770.95</v>
      </c>
      <c r="G215" s="4">
        <v>1.08</v>
      </c>
      <c r="H215" s="4">
        <v>0.28000000000000003</v>
      </c>
      <c r="I215" s="1" t="s">
        <v>463</v>
      </c>
      <c r="J215" s="5">
        <v>19</v>
      </c>
      <c r="K215" s="1"/>
    </row>
    <row r="216" spans="1:11" ht="14.5">
      <c r="A216" s="3">
        <v>46022</v>
      </c>
      <c r="B216" s="1" t="s">
        <v>461</v>
      </c>
      <c r="C216" s="1" t="s">
        <v>464</v>
      </c>
      <c r="D216" s="1" t="str">
        <f>_xlfn.XLOOKUP(C216,mfscreener.portfolio_holdings_v!$C:$C,mfscreener.portfolio_holdings_v!$E:$E)</f>
        <v>Flexi Cap</v>
      </c>
      <c r="E216" s="1" t="str">
        <f>_xlfn.XLOOKUP(C216,mfscreener.portfolio_holdings_v!$C:$C,mfscreener.portfolio_holdings_v!$D:$D)</f>
        <v>Equity</v>
      </c>
      <c r="F216" s="4">
        <v>20052.46</v>
      </c>
      <c r="G216" s="4">
        <v>0.79</v>
      </c>
      <c r="H216" s="4">
        <v>0.23</v>
      </c>
      <c r="I216" s="2" t="s">
        <v>465</v>
      </c>
      <c r="J216" s="5">
        <v>14</v>
      </c>
      <c r="K216" s="1"/>
    </row>
    <row r="217" spans="1:11" ht="14.5">
      <c r="A217" s="3">
        <v>46022</v>
      </c>
      <c r="B217" s="1" t="s">
        <v>461</v>
      </c>
      <c r="C217" s="1" t="s">
        <v>466</v>
      </c>
      <c r="D217" s="1" t="str">
        <f>_xlfn.XLOOKUP(C217,mfscreener.portfolio_holdings_v!$C:$C,mfscreener.portfolio_holdings_v!$E:$E)</f>
        <v>Focused</v>
      </c>
      <c r="E217" s="1" t="str">
        <f>_xlfn.XLOOKUP(C217,mfscreener.portfolio_holdings_v!$C:$C,mfscreener.portfolio_holdings_v!$D:$D)</f>
        <v>Equity</v>
      </c>
      <c r="F217" s="4">
        <v>14385.42</v>
      </c>
      <c r="G217" s="4">
        <v>0.59</v>
      </c>
      <c r="H217" s="4">
        <v>1.03</v>
      </c>
      <c r="I217" s="2" t="s">
        <v>467</v>
      </c>
      <c r="J217" s="5">
        <v>13</v>
      </c>
      <c r="K217" s="1"/>
    </row>
    <row r="218" spans="1:11" ht="14.5">
      <c r="A218" s="3">
        <v>46022</v>
      </c>
      <c r="B218" s="1" t="s">
        <v>461</v>
      </c>
      <c r="C218" s="1" t="s">
        <v>468</v>
      </c>
      <c r="D218" s="1" t="str">
        <f>_xlfn.XLOOKUP(C218,mfscreener.portfolio_holdings_v!$C:$C,mfscreener.portfolio_holdings_v!$E:$E)</f>
        <v>Large Cap</v>
      </c>
      <c r="E218" s="1" t="str">
        <f>_xlfn.XLOOKUP(C218,mfscreener.portfolio_holdings_v!$C:$C,mfscreener.portfolio_holdings_v!$D:$D)</f>
        <v>Equity</v>
      </c>
      <c r="F218" s="4">
        <v>78020.009999999995</v>
      </c>
      <c r="G218" s="4">
        <v>0.86</v>
      </c>
      <c r="H218" s="4">
        <v>0.15</v>
      </c>
      <c r="I218" s="1" t="s">
        <v>469</v>
      </c>
      <c r="J218" s="2" t="s">
        <v>470</v>
      </c>
      <c r="K218" s="1"/>
    </row>
    <row r="219" spans="1:11" ht="14.5">
      <c r="A219" s="3">
        <v>46022</v>
      </c>
      <c r="B219" s="1" t="s">
        <v>461</v>
      </c>
      <c r="C219" s="1" t="s">
        <v>471</v>
      </c>
      <c r="D219" s="1" t="str">
        <f>_xlfn.XLOOKUP(C219,mfscreener.portfolio_holdings_v!$C:$C,mfscreener.portfolio_holdings_v!$E:$E)</f>
        <v>Large &amp; Mid Cap</v>
      </c>
      <c r="E219" s="1" t="str">
        <f>_xlfn.XLOOKUP(C219,mfscreener.portfolio_holdings_v!$C:$C,mfscreener.portfolio_holdings_v!$D:$D)</f>
        <v>Equity</v>
      </c>
      <c r="F219" s="4">
        <v>27150.34</v>
      </c>
      <c r="G219" s="4">
        <v>0.76</v>
      </c>
      <c r="H219" s="4">
        <v>0.57999999999999996</v>
      </c>
      <c r="I219" s="2" t="s">
        <v>472</v>
      </c>
      <c r="J219" s="5">
        <v>13</v>
      </c>
      <c r="K219" s="1"/>
    </row>
    <row r="220" spans="1:11" ht="14.5">
      <c r="A220" s="3">
        <v>46022</v>
      </c>
      <c r="B220" s="1" t="s">
        <v>461</v>
      </c>
      <c r="C220" s="1" t="s">
        <v>473</v>
      </c>
      <c r="D220" s="1" t="str">
        <f>_xlfn.XLOOKUP(C220,mfscreener.portfolio_holdings_v!$C:$C,mfscreener.portfolio_holdings_v!$E:$E)</f>
        <v>Mid Cap</v>
      </c>
      <c r="E220" s="1" t="str">
        <f>_xlfn.XLOOKUP(C220,mfscreener.portfolio_holdings_v!$C:$C,mfscreener.portfolio_holdings_v!$D:$D)</f>
        <v>Equity</v>
      </c>
      <c r="F220" s="4">
        <v>7016.81</v>
      </c>
      <c r="G220" s="4">
        <v>1.03</v>
      </c>
      <c r="H220" s="4">
        <v>0.33</v>
      </c>
      <c r="I220" s="2" t="s">
        <v>474</v>
      </c>
      <c r="J220" s="5">
        <v>14</v>
      </c>
      <c r="K220" s="1"/>
    </row>
    <row r="221" spans="1:11" ht="14.5">
      <c r="A221" s="3">
        <v>46022</v>
      </c>
      <c r="B221" s="1" t="s">
        <v>461</v>
      </c>
      <c r="C221" s="1" t="s">
        <v>475</v>
      </c>
      <c r="D221" s="1" t="str">
        <f>_xlfn.XLOOKUP(C221,mfscreener.portfolio_holdings_v!$C:$C,mfscreener.portfolio_holdings_v!$E:$E)</f>
        <v>Multi Cap</v>
      </c>
      <c r="E221" s="1" t="str">
        <f>_xlfn.XLOOKUP(C221,mfscreener.portfolio_holdings_v!$C:$C,mfscreener.portfolio_holdings_v!$D:$D)</f>
        <v>Equity</v>
      </c>
      <c r="F221" s="4">
        <v>16010.63</v>
      </c>
      <c r="G221" s="4">
        <v>0.93</v>
      </c>
      <c r="H221" s="4">
        <v>0.95</v>
      </c>
      <c r="I221" s="2" t="s">
        <v>474</v>
      </c>
      <c r="J221" s="5">
        <v>14</v>
      </c>
      <c r="K221" s="1"/>
    </row>
    <row r="222" spans="1:11" ht="14.5">
      <c r="A222" s="3">
        <v>46022</v>
      </c>
      <c r="B222" s="1" t="s">
        <v>461</v>
      </c>
      <c r="C222" s="1" t="s">
        <v>476</v>
      </c>
      <c r="D222" s="1" t="str">
        <f>_xlfn.XLOOKUP(C222,mfscreener.portfolio_holdings_v!$C:$C,mfscreener.portfolio_holdings_v!$E:$E)</f>
        <v>Small Cap</v>
      </c>
      <c r="E222" s="1" t="str">
        <f>_xlfn.XLOOKUP(C222,mfscreener.portfolio_holdings_v!$C:$C,mfscreener.portfolio_holdings_v!$D:$D)</f>
        <v>Equity</v>
      </c>
      <c r="F222" s="4">
        <v>8401.83</v>
      </c>
      <c r="G222" s="4">
        <v>0.77</v>
      </c>
      <c r="H222" s="4">
        <v>0.45</v>
      </c>
      <c r="I222" s="2" t="s">
        <v>477</v>
      </c>
      <c r="J222" s="2" t="s">
        <v>478</v>
      </c>
      <c r="K222" s="1"/>
    </row>
    <row r="223" spans="1:11" ht="14.5">
      <c r="A223" s="3">
        <v>46022</v>
      </c>
      <c r="B223" s="1" t="s">
        <v>461</v>
      </c>
      <c r="C223" s="1" t="s">
        <v>479</v>
      </c>
      <c r="D223" s="1" t="str">
        <f>_xlfn.XLOOKUP(C223,mfscreener.portfolio_holdings_v!$C:$C,mfscreener.portfolio_holdings_v!$E:$E)</f>
        <v>Value</v>
      </c>
      <c r="E223" s="1" t="str">
        <f>_xlfn.XLOOKUP(C223,mfscreener.portfolio_holdings_v!$C:$C,mfscreener.portfolio_holdings_v!$D:$D)</f>
        <v>Equity</v>
      </c>
      <c r="F223" s="4">
        <v>60608.78</v>
      </c>
      <c r="G223" s="4">
        <v>0.96</v>
      </c>
      <c r="H223" s="4">
        <v>0.47</v>
      </c>
      <c r="I223" s="1" t="s">
        <v>480</v>
      </c>
      <c r="J223" s="2" t="s">
        <v>481</v>
      </c>
      <c r="K223" s="1"/>
    </row>
    <row r="224" spans="1:11" ht="12.5">
      <c r="A224" s="3">
        <v>46022</v>
      </c>
      <c r="B224" s="1" t="s">
        <v>461</v>
      </c>
      <c r="C224" s="1" t="s">
        <v>482</v>
      </c>
      <c r="D224" s="1" t="str">
        <f>_xlfn.XLOOKUP(C224,mfscreener.portfolio_holdings_v!$C:$C,mfscreener.portfolio_holdings_v!$E:$E)</f>
        <v>Balanced Advantage</v>
      </c>
      <c r="E224" s="1" t="str">
        <f>_xlfn.XLOOKUP(C224,mfscreener.portfolio_holdings_v!$C:$C,mfscreener.portfolio_holdings_v!$D:$D)</f>
        <v>Hybrid</v>
      </c>
      <c r="F224" s="7">
        <v>70160.36</v>
      </c>
      <c r="G224" s="4">
        <v>0.86</v>
      </c>
      <c r="H224" s="4">
        <v>0.28999999999999998</v>
      </c>
      <c r="I224" s="1" t="s">
        <v>483</v>
      </c>
      <c r="J224" s="1" t="s">
        <v>484</v>
      </c>
      <c r="K224" s="1"/>
    </row>
    <row r="225" spans="1:11" ht="12.5">
      <c r="A225" s="3">
        <v>46022</v>
      </c>
      <c r="B225" s="1" t="s">
        <v>461</v>
      </c>
      <c r="C225" s="1" t="s">
        <v>485</v>
      </c>
      <c r="D225" s="1" t="str">
        <f>_xlfn.XLOOKUP(C225,mfscreener.portfolio_holdings_v!$C:$C,mfscreener.portfolio_holdings_v!$E:$E)</f>
        <v>Equity Savings</v>
      </c>
      <c r="E225" s="1" t="str">
        <f>_xlfn.XLOOKUP(C225,mfscreener.portfolio_holdings_v!$C:$C,mfscreener.portfolio_holdings_v!$D:$D)</f>
        <v>Hybrid</v>
      </c>
      <c r="F225" s="7">
        <v>17854.89</v>
      </c>
      <c r="G225" s="4">
        <v>0.5</v>
      </c>
      <c r="H225" s="4">
        <v>0.46</v>
      </c>
      <c r="I225" s="1" t="s">
        <v>486</v>
      </c>
      <c r="J225" s="1" t="s">
        <v>487</v>
      </c>
      <c r="K225" s="1"/>
    </row>
    <row r="226" spans="1:11" ht="12.5">
      <c r="A226" s="3">
        <v>46022</v>
      </c>
      <c r="B226" s="1" t="s">
        <v>461</v>
      </c>
      <c r="C226" s="1" t="s">
        <v>488</v>
      </c>
      <c r="D226" s="1" t="str">
        <f>_xlfn.XLOOKUP(C226,mfscreener.portfolio_holdings_v!$C:$C,mfscreener.portfolio_holdings_v!$E:$E)</f>
        <v>Aggressive Hybrid</v>
      </c>
      <c r="E226" s="1" t="str">
        <f>_xlfn.XLOOKUP(C226,mfscreener.portfolio_holdings_v!$C:$C,mfscreener.portfolio_holdings_v!$D:$D)</f>
        <v>Hybrid</v>
      </c>
      <c r="F226" s="7">
        <v>49254.51</v>
      </c>
      <c r="G226" s="4">
        <v>0.92</v>
      </c>
      <c r="H226" s="1"/>
      <c r="I226" s="1" t="s">
        <v>489</v>
      </c>
      <c r="J226" s="1" t="s">
        <v>490</v>
      </c>
      <c r="K226" s="1"/>
    </row>
    <row r="227" spans="1:11" ht="12.5">
      <c r="A227" s="3">
        <v>46022</v>
      </c>
      <c r="B227" s="1" t="s">
        <v>461</v>
      </c>
      <c r="C227" s="1" t="s">
        <v>491</v>
      </c>
      <c r="D227" s="1" t="str">
        <f>_xlfn.XLOOKUP(C227,mfscreener.portfolio_holdings_v!$C:$C,mfscreener.portfolio_holdings_v!$E:$E)</f>
        <v>Multi Asset Allocation</v>
      </c>
      <c r="E227" s="1" t="str">
        <f>_xlfn.XLOOKUP(C227,mfscreener.portfolio_holdings_v!$C:$C,mfscreener.portfolio_holdings_v!$D:$D)</f>
        <v>Hybrid</v>
      </c>
      <c r="F227" s="7">
        <v>76515.97</v>
      </c>
      <c r="G227" s="4">
        <v>0.64</v>
      </c>
      <c r="H227" s="4">
        <v>0.27</v>
      </c>
      <c r="I227" s="1" t="s">
        <v>492</v>
      </c>
      <c r="J227" s="1" t="s">
        <v>493</v>
      </c>
      <c r="K227" s="1"/>
    </row>
    <row r="228" spans="1:11" ht="12.5">
      <c r="A228" s="3">
        <v>46022</v>
      </c>
      <c r="B228" s="1" t="s">
        <v>461</v>
      </c>
      <c r="C228" s="1" t="s">
        <v>494</v>
      </c>
      <c r="D228" s="1" t="str">
        <f>_xlfn.XLOOKUP(C228,mfscreener.portfolio_holdings_v!$C:$C,mfscreener.portfolio_holdings_v!$E:$E)</f>
        <v>Dynamic Asset Allocation FoF</v>
      </c>
      <c r="E228" s="1" t="str">
        <f>_xlfn.XLOOKUP(C228,mfscreener.portfolio_holdings_v!$C:$C,mfscreener.portfolio_holdings_v!$D:$D)</f>
        <v>Hybrid</v>
      </c>
      <c r="F228" s="7">
        <v>29020.32</v>
      </c>
      <c r="G228" s="4">
        <v>0.22</v>
      </c>
      <c r="H228" s="1"/>
      <c r="I228" s="1" t="s">
        <v>495</v>
      </c>
      <c r="J228" s="1" t="s">
        <v>496</v>
      </c>
      <c r="K228" s="1"/>
    </row>
    <row r="229" spans="1:11" ht="12.5">
      <c r="A229" s="3">
        <v>46022</v>
      </c>
      <c r="B229" s="1" t="s">
        <v>461</v>
      </c>
      <c r="C229" s="1" t="s">
        <v>497</v>
      </c>
      <c r="D229" s="1" t="str">
        <f>_xlfn.XLOOKUP(C229,mfscreener.portfolio_holdings_v!$C:$C,mfscreener.portfolio_holdings_v!$E:$E)</f>
        <v>Equity Minimum Variance</v>
      </c>
      <c r="E229" s="1" t="str">
        <f>_xlfn.XLOOKUP(C229,mfscreener.portfolio_holdings_v!$C:$C,mfscreener.portfolio_holdings_v!$D:$D)</f>
        <v>Equity</v>
      </c>
      <c r="F229" s="7">
        <v>3852.15</v>
      </c>
      <c r="G229" s="4">
        <v>0.76</v>
      </c>
      <c r="H229" s="4">
        <v>0.79</v>
      </c>
      <c r="I229" s="1" t="s">
        <v>498</v>
      </c>
      <c r="J229" s="1" t="s">
        <v>499</v>
      </c>
      <c r="K229" s="1"/>
    </row>
    <row r="230" spans="1:11" ht="12.5">
      <c r="A230" s="3">
        <v>46022</v>
      </c>
      <c r="B230" s="1" t="s">
        <v>461</v>
      </c>
      <c r="C230" s="1" t="s">
        <v>500</v>
      </c>
      <c r="D230" s="1" t="str">
        <f>_xlfn.XLOOKUP(C230,mfscreener.portfolio_holdings_v!$C:$C,mfscreener.portfolio_holdings_v!$E:$E)</f>
        <v>Active Momentum</v>
      </c>
      <c r="E230" s="1" t="str">
        <f>_xlfn.XLOOKUP(C230,mfscreener.portfolio_holdings_v!$C:$C,mfscreener.portfolio_holdings_v!$D:$D)</f>
        <v>Equity</v>
      </c>
      <c r="F230" s="7">
        <v>1400.7</v>
      </c>
      <c r="G230" s="4">
        <v>0.95</v>
      </c>
      <c r="H230" s="4">
        <v>0.45</v>
      </c>
      <c r="I230" s="1" t="s">
        <v>501</v>
      </c>
      <c r="J230" s="4">
        <v>9</v>
      </c>
      <c r="K230" s="1"/>
    </row>
    <row r="231" spans="1:11" ht="12.5">
      <c r="A231" s="3">
        <v>46022</v>
      </c>
      <c r="B231" s="1" t="s">
        <v>461</v>
      </c>
      <c r="C231" s="1" t="s">
        <v>502</v>
      </c>
      <c r="D231" s="1" t="str">
        <f>_xlfn.XLOOKUP(C231,mfscreener.portfolio_holdings_v!$C:$C,mfscreener.portfolio_holdings_v!$E:$E)</f>
        <v>Quality</v>
      </c>
      <c r="E231" s="1" t="str">
        <f>_xlfn.XLOOKUP(C231,mfscreener.portfolio_holdings_v!$C:$C,mfscreener.portfolio_holdings_v!$D:$D)</f>
        <v>Equity</v>
      </c>
      <c r="F231" s="7">
        <v>2319.9</v>
      </c>
      <c r="G231" s="4">
        <v>0.85</v>
      </c>
      <c r="H231" s="4">
        <v>0.61</v>
      </c>
      <c r="I231" s="1" t="s">
        <v>503</v>
      </c>
      <c r="J231" s="1" t="s">
        <v>504</v>
      </c>
      <c r="K231" s="1"/>
    </row>
    <row r="232" spans="1:11" ht="12.5">
      <c r="A232" s="3">
        <v>46022</v>
      </c>
      <c r="B232" s="1" t="s">
        <v>461</v>
      </c>
      <c r="C232" s="1" t="s">
        <v>505</v>
      </c>
      <c r="D232" s="1" t="str">
        <f>_xlfn.XLOOKUP(C232,mfscreener.portfolio_holdings_v!$C:$C,mfscreener.portfolio_holdings_v!$E:$E)</f>
        <v>Quant</v>
      </c>
      <c r="E232" s="1" t="str">
        <f>_xlfn.XLOOKUP(C232,mfscreener.portfolio_holdings_v!$C:$C,mfscreener.portfolio_holdings_v!$D:$D)</f>
        <v>Equity</v>
      </c>
      <c r="F232" s="4">
        <v>164.79</v>
      </c>
      <c r="G232" s="4">
        <v>1.97</v>
      </c>
      <c r="H232" s="4">
        <v>1.52</v>
      </c>
      <c r="I232" s="1" t="s">
        <v>506</v>
      </c>
      <c r="J232" s="4">
        <v>18</v>
      </c>
      <c r="K232" s="1"/>
    </row>
    <row r="233" spans="1:11" ht="12.5">
      <c r="A233" s="3">
        <v>46022</v>
      </c>
      <c r="B233" s="1" t="s">
        <v>461</v>
      </c>
      <c r="C233" s="1" t="s">
        <v>507</v>
      </c>
      <c r="D233" s="1" t="str">
        <f>_xlfn.XLOOKUP(C233,mfscreener.portfolio_holdings_v!$C:$C,mfscreener.portfolio_holdings_v!$E:$E)</f>
        <v>Business Cycle</v>
      </c>
      <c r="E233" s="1" t="str">
        <f>_xlfn.XLOOKUP(C233,mfscreener.portfolio_holdings_v!$C:$C,mfscreener.portfolio_holdings_v!$D:$D)</f>
        <v>Equity</v>
      </c>
      <c r="F233" s="7">
        <v>15762.01</v>
      </c>
      <c r="G233" s="4">
        <v>0.75</v>
      </c>
      <c r="H233" s="4">
        <v>0.35</v>
      </c>
      <c r="I233" s="1" t="s">
        <v>508</v>
      </c>
      <c r="J233" s="1" t="s">
        <v>509</v>
      </c>
      <c r="K233" s="1"/>
    </row>
    <row r="234" spans="1:11" ht="12.5">
      <c r="A234" s="3">
        <v>46022</v>
      </c>
      <c r="B234" s="1" t="s">
        <v>461</v>
      </c>
      <c r="C234" s="1" t="s">
        <v>510</v>
      </c>
      <c r="D234" s="1" t="str">
        <f>_xlfn.XLOOKUP(C234,mfscreener.portfolio_holdings_v!$C:$C,mfscreener.portfolio_holdings_v!$E:$E)</f>
        <v>Banking &amp; Financial Services</v>
      </c>
      <c r="E234" s="1" t="str">
        <f>_xlfn.XLOOKUP(C234,mfscreener.portfolio_holdings_v!$C:$C,mfscreener.portfolio_holdings_v!$D:$D)</f>
        <v>Equity</v>
      </c>
      <c r="F234" s="7">
        <v>11104.79</v>
      </c>
      <c r="G234" s="4">
        <v>1</v>
      </c>
      <c r="H234" s="4">
        <v>0.53</v>
      </c>
      <c r="I234" s="1" t="s">
        <v>506</v>
      </c>
      <c r="J234" s="4">
        <v>18</v>
      </c>
      <c r="K234" s="1"/>
    </row>
    <row r="235" spans="1:11" ht="14.5">
      <c r="A235" s="3">
        <v>46022</v>
      </c>
      <c r="B235" s="1" t="s">
        <v>461</v>
      </c>
      <c r="C235" s="1" t="s">
        <v>511</v>
      </c>
      <c r="D235" s="1" t="str">
        <f>_xlfn.XLOOKUP(C235,mfscreener.portfolio_holdings_v!$C:$C,mfscreener.portfolio_holdings_v!$E:$E)</f>
        <v>Technology</v>
      </c>
      <c r="E235" s="1" t="str">
        <f>_xlfn.XLOOKUP(C235,mfscreener.portfolio_holdings_v!$C:$C,mfscreener.portfolio_holdings_v!$D:$D)</f>
        <v>Equity</v>
      </c>
      <c r="F235" s="7">
        <v>15990.02</v>
      </c>
      <c r="G235" s="4">
        <v>0.99</v>
      </c>
      <c r="H235" s="4">
        <v>0.47</v>
      </c>
      <c r="I235" s="2" t="s">
        <v>467</v>
      </c>
      <c r="J235" s="5">
        <v>13</v>
      </c>
      <c r="K235" s="1"/>
    </row>
    <row r="236" spans="1:11" ht="12.5">
      <c r="A236" s="3">
        <v>46022</v>
      </c>
      <c r="B236" s="1" t="s">
        <v>461</v>
      </c>
      <c r="C236" s="1" t="s">
        <v>512</v>
      </c>
      <c r="D236" s="1" t="s">
        <v>1480</v>
      </c>
      <c r="E236" s="1" t="str">
        <f>_xlfn.XLOOKUP(C236,mfscreener.portfolio_holdings_v!$C:$C,mfscreener.portfolio_holdings_v!$D:$D)</f>
        <v>Equity</v>
      </c>
      <c r="F236" s="7">
        <v>6384.05</v>
      </c>
      <c r="G236" s="4">
        <v>1.02</v>
      </c>
      <c r="H236" s="4">
        <v>0.56999999999999995</v>
      </c>
      <c r="I236" s="1" t="s">
        <v>513</v>
      </c>
      <c r="J236" s="4">
        <v>14</v>
      </c>
      <c r="K236" s="1"/>
    </row>
    <row r="237" spans="1:11" ht="12.5">
      <c r="A237" s="3">
        <v>46022</v>
      </c>
      <c r="B237" s="1" t="s">
        <v>461</v>
      </c>
      <c r="C237" s="1" t="s">
        <v>514</v>
      </c>
      <c r="D237" s="1" t="str">
        <f>_xlfn.XLOOKUP(C237,mfscreener.portfolio_holdings_v!$C:$C,mfscreener.portfolio_holdings_v!$E:$E)</f>
        <v>PSU Equity</v>
      </c>
      <c r="E237" s="1" t="str">
        <f>_xlfn.XLOOKUP(C237,mfscreener.portfolio_holdings_v!$C:$C,mfscreener.portfolio_holdings_v!$D:$D)</f>
        <v>Equity</v>
      </c>
      <c r="F237" s="7">
        <v>1889.06</v>
      </c>
      <c r="G237" s="4">
        <v>0.87</v>
      </c>
      <c r="H237" s="4">
        <v>0.48</v>
      </c>
      <c r="I237" s="1" t="s">
        <v>515</v>
      </c>
      <c r="J237" s="4">
        <v>8</v>
      </c>
      <c r="K237" s="1"/>
    </row>
    <row r="238" spans="1:11" ht="12.5">
      <c r="A238" s="3">
        <v>46022</v>
      </c>
      <c r="B238" s="1" t="s">
        <v>461</v>
      </c>
      <c r="C238" s="1" t="s">
        <v>516</v>
      </c>
      <c r="D238" s="1" t="str">
        <f>_xlfn.XLOOKUP(C238,mfscreener.portfolio_holdings_v!$C:$C,mfscreener.portfolio_holdings_v!$E:$E)</f>
        <v>Infrastructure</v>
      </c>
      <c r="E238" s="1" t="str">
        <f>_xlfn.XLOOKUP(C238,mfscreener.portfolio_holdings_v!$C:$C,mfscreener.portfolio_holdings_v!$D:$D)</f>
        <v>Equity</v>
      </c>
      <c r="F238" s="7">
        <v>8055.42</v>
      </c>
      <c r="G238" s="4">
        <v>1.1499999999999999</v>
      </c>
      <c r="H238" s="4">
        <v>0.56000000000000005</v>
      </c>
      <c r="I238" s="1" t="s">
        <v>472</v>
      </c>
      <c r="J238" s="4">
        <v>13</v>
      </c>
      <c r="K238" s="1"/>
    </row>
    <row r="239" spans="1:11" ht="12.5">
      <c r="A239" s="3">
        <v>46022</v>
      </c>
      <c r="B239" s="1" t="s">
        <v>461</v>
      </c>
      <c r="C239" s="1" t="s">
        <v>517</v>
      </c>
      <c r="D239" s="1" t="str">
        <f>_xlfn.XLOOKUP(C239,mfscreener.portfolio_holdings_v!$C:$C,mfscreener.portfolio_holdings_v!$E:$E)</f>
        <v>Manufacturing</v>
      </c>
      <c r="E239" s="1" t="str">
        <f>_xlfn.XLOOKUP(C239,mfscreener.portfolio_holdings_v!$C:$C,mfscreener.portfolio_holdings_v!$D:$D)</f>
        <v>Equity</v>
      </c>
      <c r="F239" s="7">
        <v>6519.72</v>
      </c>
      <c r="G239" s="4">
        <v>0.78</v>
      </c>
      <c r="H239" s="4">
        <v>0.28000000000000003</v>
      </c>
      <c r="I239" s="1" t="s">
        <v>515</v>
      </c>
      <c r="J239" s="4">
        <v>8</v>
      </c>
      <c r="K239" s="1"/>
    </row>
    <row r="240" spans="1:11" ht="12.5">
      <c r="A240" s="3">
        <v>46022</v>
      </c>
      <c r="B240" s="1" t="s">
        <v>461</v>
      </c>
      <c r="C240" s="1" t="s">
        <v>518</v>
      </c>
      <c r="D240" s="1" t="str">
        <f>_xlfn.XLOOKUP(C240,mfscreener.portfolio_holdings_v!$C:$C,mfscreener.portfolio_holdings_v!$E:$E)</f>
        <v>MNC</v>
      </c>
      <c r="E240" s="1" t="str">
        <f>_xlfn.XLOOKUP(C240,mfscreener.portfolio_holdings_v!$C:$C,mfscreener.portfolio_holdings_v!$D:$D)</f>
        <v>Equity</v>
      </c>
      <c r="F240" s="7">
        <v>1743.63</v>
      </c>
      <c r="G240" s="4">
        <v>1.08</v>
      </c>
      <c r="H240" s="4">
        <v>0.52</v>
      </c>
      <c r="I240" s="1" t="s">
        <v>506</v>
      </c>
      <c r="J240" s="4">
        <v>18</v>
      </c>
      <c r="K240" s="1"/>
    </row>
    <row r="241" spans="1:11" ht="12.5">
      <c r="A241" s="3">
        <v>46022</v>
      </c>
      <c r="B241" s="1" t="s">
        <v>461</v>
      </c>
      <c r="C241" s="1" t="s">
        <v>519</v>
      </c>
      <c r="D241" s="1" t="str">
        <f>_xlfn.XLOOKUP(C241,mfscreener.portfolio_holdings_v!$C:$C,mfscreener.portfolio_holdings_v!$E:$E)</f>
        <v>Transportation &amp; Logistics</v>
      </c>
      <c r="E241" s="1" t="str">
        <f>_xlfn.XLOOKUP(C241,mfscreener.portfolio_holdings_v!$C:$C,mfscreener.portfolio_holdings_v!$D:$D)</f>
        <v>Equity</v>
      </c>
      <c r="F241" s="7">
        <v>3058.81</v>
      </c>
      <c r="G241" s="4">
        <v>0.96</v>
      </c>
      <c r="H241" s="4">
        <v>0.43</v>
      </c>
      <c r="I241" s="1" t="s">
        <v>520</v>
      </c>
      <c r="J241" s="1" t="s">
        <v>521</v>
      </c>
      <c r="K241" s="1"/>
    </row>
    <row r="242" spans="1:11" ht="12.5">
      <c r="A242" s="3">
        <v>46022</v>
      </c>
      <c r="B242" s="1" t="s">
        <v>461</v>
      </c>
      <c r="C242" s="1" t="s">
        <v>522</v>
      </c>
      <c r="D242" s="1" t="str">
        <f>_xlfn.XLOOKUP(C242,mfscreener.portfolio_holdings_v!$C:$C,mfscreener.portfolio_holdings_v!$E:$E)</f>
        <v>FMCG</v>
      </c>
      <c r="E242" s="1" t="str">
        <f>_xlfn.XLOOKUP(C242,mfscreener.portfolio_holdings_v!$C:$C,mfscreener.portfolio_holdings_v!$D:$D)</f>
        <v>Equity</v>
      </c>
      <c r="F242" s="7">
        <v>1913.46</v>
      </c>
      <c r="G242" s="4">
        <v>1.32</v>
      </c>
      <c r="H242" s="4">
        <v>0.31</v>
      </c>
      <c r="I242" s="1" t="s">
        <v>523</v>
      </c>
      <c r="J242" s="4">
        <v>10</v>
      </c>
      <c r="K242" s="1"/>
    </row>
    <row r="243" spans="1:11" ht="14.5">
      <c r="A243" s="3">
        <v>46022</v>
      </c>
      <c r="B243" s="1" t="s">
        <v>461</v>
      </c>
      <c r="C243" s="1" t="s">
        <v>524</v>
      </c>
      <c r="D243" s="1" t="str">
        <f>_xlfn.XLOOKUP(C243,mfscreener.portfolio_holdings_v!$C:$C,mfscreener.portfolio_holdings_v!$E:$E)</f>
        <v>Conglomerate</v>
      </c>
      <c r="E243" s="1" t="str">
        <f>_xlfn.XLOOKUP(C243,mfscreener.portfolio_holdings_v!$C:$C,mfscreener.portfolio_holdings_v!$D:$D)</f>
        <v>Equity</v>
      </c>
      <c r="F243" s="4">
        <v>866.75</v>
      </c>
      <c r="G243" s="4">
        <v>1.19</v>
      </c>
      <c r="H243" s="4">
        <v>0.04</v>
      </c>
      <c r="I243" s="2" t="s">
        <v>474</v>
      </c>
      <c r="J243" s="5">
        <v>14</v>
      </c>
      <c r="K243" s="1"/>
    </row>
    <row r="244" spans="1:11" ht="12.5">
      <c r="A244" s="3">
        <v>46022</v>
      </c>
      <c r="B244" s="1" t="s">
        <v>461</v>
      </c>
      <c r="C244" s="1" t="s">
        <v>525</v>
      </c>
      <c r="D244" s="1" t="s">
        <v>1459</v>
      </c>
      <c r="E244" s="1" t="str">
        <f>_xlfn.XLOOKUP(C244,mfscreener.portfolio_holdings_v!$C:$C,mfscreener.portfolio_holdings_v!$D:$D)</f>
        <v>Equity</v>
      </c>
      <c r="F244" s="7">
        <v>3217.62</v>
      </c>
      <c r="G244" s="4">
        <v>1.1000000000000001</v>
      </c>
      <c r="H244" s="4">
        <v>0.73</v>
      </c>
      <c r="I244" s="1" t="s">
        <v>523</v>
      </c>
      <c r="J244" s="4">
        <v>10</v>
      </c>
      <c r="K244" s="1"/>
    </row>
    <row r="245" spans="1:11" ht="12.5">
      <c r="A245" s="3">
        <v>46022</v>
      </c>
      <c r="B245" s="1" t="s">
        <v>461</v>
      </c>
      <c r="C245" s="1" t="s">
        <v>526</v>
      </c>
      <c r="D245" s="1" t="str">
        <f>_xlfn.XLOOKUP(C245,mfscreener.portfolio_holdings_v!$C:$C,mfscreener.portfolio_holdings_v!$E:$E)</f>
        <v>Rural Opportunities</v>
      </c>
      <c r="E245" s="1" t="str">
        <f>_xlfn.XLOOKUP(C245,mfscreener.portfolio_holdings_v!$C:$C,mfscreener.portfolio_holdings_v!$D:$D)</f>
        <v>Equity</v>
      </c>
      <c r="F245" s="7">
        <v>2252.25</v>
      </c>
      <c r="G245" s="4">
        <v>0.93</v>
      </c>
      <c r="H245" s="4">
        <v>0.7</v>
      </c>
      <c r="I245" s="1" t="s">
        <v>523</v>
      </c>
      <c r="J245" s="4">
        <v>10</v>
      </c>
      <c r="K245" s="1"/>
    </row>
    <row r="246" spans="1:11" ht="12.5">
      <c r="A246" s="3">
        <v>46022</v>
      </c>
      <c r="B246" s="1" t="s">
        <v>461</v>
      </c>
      <c r="C246" s="1" t="s">
        <v>527</v>
      </c>
      <c r="D246" s="1" t="str">
        <f>_xlfn.XLOOKUP(C246,mfscreener.portfolio_holdings_v!$C:$C,mfscreener.portfolio_holdings_v!$E:$E)</f>
        <v>Housing Opportunities</v>
      </c>
      <c r="E246" s="1" t="str">
        <f>_xlfn.XLOOKUP(C246,mfscreener.portfolio_holdings_v!$C:$C,mfscreener.portfolio_holdings_v!$D:$D)</f>
        <v>Equity</v>
      </c>
      <c r="F246" s="7">
        <v>2254.84</v>
      </c>
      <c r="G246" s="4">
        <v>1.1599999999999999</v>
      </c>
      <c r="H246" s="4">
        <v>0.57999999999999996</v>
      </c>
      <c r="I246" s="1" t="s">
        <v>528</v>
      </c>
      <c r="J246" s="4">
        <v>9</v>
      </c>
      <c r="K246" s="1"/>
    </row>
    <row r="247" spans="1:11" ht="14.5">
      <c r="A247" s="3">
        <v>46022</v>
      </c>
      <c r="B247" s="1" t="s">
        <v>461</v>
      </c>
      <c r="C247" s="1" t="s">
        <v>529</v>
      </c>
      <c r="D247" s="1" t="str">
        <f>_xlfn.XLOOKUP(C247,mfscreener.portfolio_holdings_v!$C:$C,mfscreener.portfolio_holdings_v!$E:$E)</f>
        <v>Innovation</v>
      </c>
      <c r="E247" s="1" t="str">
        <f>_xlfn.XLOOKUP(C247,mfscreener.portfolio_holdings_v!$C:$C,mfscreener.portfolio_holdings_v!$D:$D)</f>
        <v>Equity</v>
      </c>
      <c r="F247" s="7">
        <v>7510.29</v>
      </c>
      <c r="G247" s="4">
        <v>0.72</v>
      </c>
      <c r="H247" s="4">
        <v>1.24</v>
      </c>
      <c r="I247" s="2" t="s">
        <v>467</v>
      </c>
      <c r="J247" s="5">
        <v>13</v>
      </c>
      <c r="K247" s="1"/>
    </row>
    <row r="248" spans="1:11" ht="12.5">
      <c r="A248" s="3">
        <v>46022</v>
      </c>
      <c r="B248" s="1" t="s">
        <v>461</v>
      </c>
      <c r="C248" s="1" t="s">
        <v>530</v>
      </c>
      <c r="D248" s="1" t="str">
        <f>_xlfn.XLOOKUP(C248,mfscreener.portfolio_holdings_v!$C:$C,mfscreener.portfolio_holdings_v!$E:$E)</f>
        <v>India Opportunities</v>
      </c>
      <c r="E248" s="1" t="str">
        <f>_xlfn.XLOOKUP(C248,mfscreener.portfolio_holdings_v!$C:$C,mfscreener.portfolio_holdings_v!$D:$D)</f>
        <v>Equity</v>
      </c>
      <c r="F248" s="7">
        <v>34243.39</v>
      </c>
      <c r="G248" s="4">
        <v>0.66</v>
      </c>
      <c r="H248" s="4">
        <v>0.64</v>
      </c>
      <c r="I248" s="1" t="s">
        <v>531</v>
      </c>
      <c r="J248" s="1" t="s">
        <v>532</v>
      </c>
      <c r="K248" s="1"/>
    </row>
    <row r="249" spans="1:11" ht="12.5">
      <c r="A249" s="3">
        <v>46022</v>
      </c>
      <c r="B249" s="1" t="s">
        <v>461</v>
      </c>
      <c r="C249" s="1" t="s">
        <v>533</v>
      </c>
      <c r="D249" s="1" t="str">
        <f>_xlfn.XLOOKUP(C249,mfscreener.portfolio_holdings_v!$C:$C,mfscreener.portfolio_holdings_v!$E:$E)</f>
        <v>Energy Opportunities</v>
      </c>
      <c r="E249" s="1" t="str">
        <f>_xlfn.XLOOKUP(C249,mfscreener.portfolio_holdings_v!$C:$C,mfscreener.portfolio_holdings_v!$D:$D)</f>
        <v>Equity</v>
      </c>
      <c r="F249" s="7">
        <v>9608.2199999999993</v>
      </c>
      <c r="G249" s="4">
        <v>0.57999999999999996</v>
      </c>
      <c r="H249" s="4">
        <v>0.95</v>
      </c>
      <c r="I249" s="1" t="s">
        <v>534</v>
      </c>
      <c r="J249" s="4">
        <v>13</v>
      </c>
      <c r="K249" s="1"/>
    </row>
    <row r="250" spans="1:11" ht="12.5">
      <c r="A250" s="3">
        <v>46022</v>
      </c>
      <c r="B250" s="1" t="s">
        <v>461</v>
      </c>
      <c r="C250" s="1" t="s">
        <v>535</v>
      </c>
      <c r="D250" s="1" t="s">
        <v>1457</v>
      </c>
      <c r="E250" s="1" t="str">
        <f>_xlfn.XLOOKUP(C250,mfscreener.portfolio_holdings_v!$C:$C,mfscreener.portfolio_holdings_v!$D:$D)</f>
        <v>Equity</v>
      </c>
      <c r="F250" s="7">
        <v>1498.24</v>
      </c>
      <c r="G250" s="4">
        <v>1.01</v>
      </c>
      <c r="H250" s="4">
        <v>0.33</v>
      </c>
      <c r="I250" s="1" t="s">
        <v>536</v>
      </c>
      <c r="J250" s="4">
        <v>19</v>
      </c>
      <c r="K250" s="1"/>
    </row>
    <row r="251" spans="1:11" ht="12.5">
      <c r="A251" s="17"/>
      <c r="B251" s="18" t="s">
        <v>461</v>
      </c>
      <c r="C251" s="18" t="s">
        <v>537</v>
      </c>
      <c r="D251" s="1" t="e">
        <f>_xlfn.XLOOKUP(C251,mfscreener.portfolio_holdings_v!$C:$C,mfscreener.portfolio_holdings_v!$E:$E)</f>
        <v>#N/A</v>
      </c>
      <c r="E251" s="1" t="e">
        <f>_xlfn.XLOOKUP(C251,mfscreener.portfolio_holdings_v!$C:$C,mfscreener.portfolio_holdings_v!$D:$D)</f>
        <v>#N/A</v>
      </c>
      <c r="F251" s="7">
        <v>32362.400000000001</v>
      </c>
      <c r="G251" s="4">
        <v>0.4</v>
      </c>
      <c r="H251" s="1"/>
      <c r="I251" s="1" t="s">
        <v>538</v>
      </c>
      <c r="J251" s="1" t="s">
        <v>539</v>
      </c>
      <c r="K251" s="1"/>
    </row>
    <row r="252" spans="1:11" ht="14.5">
      <c r="A252" s="3">
        <v>46022</v>
      </c>
      <c r="B252" s="1" t="s">
        <v>540</v>
      </c>
      <c r="C252" s="1" t="s">
        <v>541</v>
      </c>
      <c r="D252" s="1" t="str">
        <f>_xlfn.XLOOKUP(C252,mfscreener.portfolio_holdings_v!$C:$C,mfscreener.portfolio_holdings_v!$E:$E)</f>
        <v>Contra</v>
      </c>
      <c r="E252" s="1" t="str">
        <f>_xlfn.XLOOKUP(C252,mfscreener.portfolio_holdings_v!$C:$C,mfscreener.portfolio_holdings_v!$D:$D)</f>
        <v>Equity</v>
      </c>
      <c r="F252" s="4">
        <v>20447.740000000002</v>
      </c>
      <c r="G252" s="4">
        <v>0.53</v>
      </c>
      <c r="H252" s="4">
        <v>0.52</v>
      </c>
      <c r="I252" s="2" t="s">
        <v>542</v>
      </c>
      <c r="J252" s="5">
        <v>17</v>
      </c>
      <c r="K252" s="1"/>
    </row>
    <row r="253" spans="1:11" ht="14.5">
      <c r="A253" s="3">
        <v>46022</v>
      </c>
      <c r="B253" s="1" t="s">
        <v>540</v>
      </c>
      <c r="C253" s="1" t="s">
        <v>543</v>
      </c>
      <c r="D253" s="1" t="str">
        <f>_xlfn.XLOOKUP(C253,mfscreener.portfolio_holdings_v!$C:$C,mfscreener.portfolio_holdings_v!$E:$E)</f>
        <v>ELSS</v>
      </c>
      <c r="E253" s="1" t="str">
        <f>_xlfn.XLOOKUP(C253,mfscreener.portfolio_holdings_v!$C:$C,mfscreener.portfolio_holdings_v!$D:$D)</f>
        <v>Equity</v>
      </c>
      <c r="F253" s="4">
        <v>2786.24</v>
      </c>
      <c r="G253" s="4">
        <v>0.78</v>
      </c>
      <c r="H253" s="4">
        <v>0.8</v>
      </c>
      <c r="I253" s="2" t="s">
        <v>544</v>
      </c>
      <c r="J253" s="2" t="s">
        <v>545</v>
      </c>
      <c r="K253" s="1"/>
    </row>
    <row r="254" spans="1:11" ht="14.5">
      <c r="A254" s="3">
        <v>46022</v>
      </c>
      <c r="B254" s="1" t="s">
        <v>540</v>
      </c>
      <c r="C254" s="1" t="s">
        <v>546</v>
      </c>
      <c r="D254" s="1" t="str">
        <f>_xlfn.XLOOKUP(C254,mfscreener.portfolio_holdings_v!$C:$C,mfscreener.portfolio_holdings_v!$E:$E)</f>
        <v>Flexi Cap</v>
      </c>
      <c r="E254" s="1" t="str">
        <f>_xlfn.XLOOKUP(C254,mfscreener.portfolio_holdings_v!$C:$C,mfscreener.portfolio_holdings_v!$D:$D)</f>
        <v>Equity</v>
      </c>
      <c r="F254" s="4">
        <v>4666.6000000000004</v>
      </c>
      <c r="G254" s="4">
        <v>0.56000000000000005</v>
      </c>
      <c r="H254" s="4">
        <v>0.62</v>
      </c>
      <c r="I254" s="2" t="s">
        <v>544</v>
      </c>
      <c r="J254" s="2" t="s">
        <v>545</v>
      </c>
      <c r="K254" s="1"/>
    </row>
    <row r="255" spans="1:11" ht="14.5">
      <c r="A255" s="3">
        <v>46022</v>
      </c>
      <c r="B255" s="1" t="s">
        <v>540</v>
      </c>
      <c r="C255" s="1" t="s">
        <v>547</v>
      </c>
      <c r="D255" s="1" t="str">
        <f>_xlfn.XLOOKUP(C255,mfscreener.portfolio_holdings_v!$C:$C,mfscreener.portfolio_holdings_v!$E:$E)</f>
        <v>Focused</v>
      </c>
      <c r="E255" s="1" t="str">
        <f>_xlfn.XLOOKUP(C255,mfscreener.portfolio_holdings_v!$C:$C,mfscreener.portfolio_holdings_v!$D:$D)</f>
        <v>Equity</v>
      </c>
      <c r="F255" s="4">
        <v>4632.3999999999996</v>
      </c>
      <c r="G255" s="4">
        <v>0.56999999999999995</v>
      </c>
      <c r="H255" s="4">
        <v>0.31</v>
      </c>
      <c r="I255" s="2" t="s">
        <v>548</v>
      </c>
      <c r="J255" s="2" t="s">
        <v>549</v>
      </c>
      <c r="K255" s="1"/>
    </row>
    <row r="256" spans="1:11" ht="14.5">
      <c r="A256" s="3">
        <v>46022</v>
      </c>
      <c r="B256" s="1" t="s">
        <v>540</v>
      </c>
      <c r="C256" s="1" t="s">
        <v>550</v>
      </c>
      <c r="D256" s="1" t="str">
        <f>_xlfn.XLOOKUP(C256,mfscreener.portfolio_holdings_v!$C:$C,mfscreener.portfolio_holdings_v!$E:$E)</f>
        <v>Large Cap</v>
      </c>
      <c r="E256" s="1" t="str">
        <f>_xlfn.XLOOKUP(C256,mfscreener.portfolio_holdings_v!$C:$C,mfscreener.portfolio_holdings_v!$D:$D)</f>
        <v>Equity</v>
      </c>
      <c r="F256" s="4">
        <v>9294.25</v>
      </c>
      <c r="G256" s="4">
        <v>0.61</v>
      </c>
      <c r="H256" s="4">
        <v>0.26</v>
      </c>
      <c r="I256" s="2" t="s">
        <v>551</v>
      </c>
      <c r="J256" s="2" t="s">
        <v>552</v>
      </c>
      <c r="K256" s="1"/>
    </row>
    <row r="257" spans="1:11" ht="14.5">
      <c r="A257" s="3">
        <v>46022</v>
      </c>
      <c r="B257" s="1" t="s">
        <v>540</v>
      </c>
      <c r="C257" s="1" t="s">
        <v>553</v>
      </c>
      <c r="D257" s="1" t="str">
        <f>_xlfn.XLOOKUP(C257,mfscreener.portfolio_holdings_v!$C:$C,mfscreener.portfolio_holdings_v!$E:$E)</f>
        <v>Large &amp; Mid Cap</v>
      </c>
      <c r="E257" s="1" t="str">
        <f>_xlfn.XLOOKUP(C257,mfscreener.portfolio_holdings_v!$C:$C,mfscreener.portfolio_holdings_v!$D:$D)</f>
        <v>Equity</v>
      </c>
      <c r="F257" s="4">
        <v>1710.55</v>
      </c>
      <c r="G257" s="4">
        <v>0.71</v>
      </c>
      <c r="H257" s="4">
        <v>0.7</v>
      </c>
      <c r="I257" s="2" t="s">
        <v>554</v>
      </c>
      <c r="J257" s="2" t="s">
        <v>555</v>
      </c>
      <c r="K257" s="1"/>
    </row>
    <row r="258" spans="1:11" ht="14.5">
      <c r="A258" s="3">
        <v>46022</v>
      </c>
      <c r="B258" s="1" t="s">
        <v>540</v>
      </c>
      <c r="C258" s="1" t="s">
        <v>556</v>
      </c>
      <c r="D258" s="1" t="str">
        <f>_xlfn.XLOOKUP(C258,mfscreener.portfolio_holdings_v!$C:$C,mfscreener.portfolio_holdings_v!$E:$E)</f>
        <v>Mid Cap</v>
      </c>
      <c r="E258" s="1" t="str">
        <f>_xlfn.XLOOKUP(C258,mfscreener.portfolio_holdings_v!$C:$C,mfscreener.portfolio_holdings_v!$D:$D)</f>
        <v>Equity</v>
      </c>
      <c r="F258" s="4">
        <v>10100.11</v>
      </c>
      <c r="G258" s="4">
        <v>0.54</v>
      </c>
      <c r="H258" s="4">
        <v>0.3</v>
      </c>
      <c r="I258" s="2" t="s">
        <v>557</v>
      </c>
      <c r="J258" s="2" t="s">
        <v>336</v>
      </c>
      <c r="K258" s="1"/>
    </row>
    <row r="259" spans="1:11" ht="14.5">
      <c r="A259" s="19"/>
      <c r="B259" s="1" t="s">
        <v>540</v>
      </c>
      <c r="C259" s="1" t="s">
        <v>558</v>
      </c>
      <c r="D259" s="1" t="str">
        <f>_xlfn.XLOOKUP(C259,mfscreener.portfolio_holdings_v!$C:$C,mfscreener.portfolio_holdings_v!$E:$E)</f>
        <v>Multi Cap</v>
      </c>
      <c r="E259" s="1" t="str">
        <f>_xlfn.XLOOKUP(C259,mfscreener.portfolio_holdings_v!$C:$C,mfscreener.portfolio_holdings_v!$D:$D)</f>
        <v>Equity</v>
      </c>
      <c r="F259" s="4">
        <v>4153.34</v>
      </c>
      <c r="G259" s="4">
        <v>0.69</v>
      </c>
      <c r="H259" s="4">
        <v>1</v>
      </c>
      <c r="I259" s="2" t="s">
        <v>559</v>
      </c>
      <c r="J259" s="5">
        <v>16</v>
      </c>
      <c r="K259" s="1"/>
    </row>
    <row r="260" spans="1:11" ht="14.5">
      <c r="A260" s="19"/>
      <c r="B260" s="1" t="s">
        <v>540</v>
      </c>
      <c r="C260" s="1" t="s">
        <v>560</v>
      </c>
      <c r="D260" s="1" t="str">
        <f>_xlfn.XLOOKUP(C260,mfscreener.portfolio_holdings_v!$C:$C,mfscreener.portfolio_holdings_v!$E:$E)</f>
        <v>Small Cap</v>
      </c>
      <c r="E260" s="1" t="str">
        <f>_xlfn.XLOOKUP(C260,mfscreener.portfolio_holdings_v!$C:$C,mfscreener.portfolio_holdings_v!$D:$D)</f>
        <v>Equity</v>
      </c>
      <c r="F260" s="4">
        <v>9064.5499999999993</v>
      </c>
      <c r="G260" s="4">
        <v>0.4</v>
      </c>
      <c r="H260" s="4">
        <v>0.52</v>
      </c>
      <c r="I260" s="2" t="s">
        <v>561</v>
      </c>
      <c r="J260" s="2" t="s">
        <v>562</v>
      </c>
      <c r="K260" s="1"/>
    </row>
    <row r="261" spans="1:11" ht="14.5">
      <c r="A261" s="3">
        <v>46022</v>
      </c>
      <c r="B261" s="1" t="s">
        <v>540</v>
      </c>
      <c r="C261" s="1" t="s">
        <v>563</v>
      </c>
      <c r="D261" s="1" t="s">
        <v>1459</v>
      </c>
      <c r="E261" s="1" t="str">
        <f>_xlfn.XLOOKUP(C261,mfscreener.portfolio_holdings_v!$C:$C,mfscreener.portfolio_holdings_v!$D:$D)</f>
        <v>Equity</v>
      </c>
      <c r="F261" s="4">
        <v>550.6</v>
      </c>
      <c r="G261" s="4">
        <v>0.69</v>
      </c>
      <c r="H261" s="1"/>
      <c r="I261" s="1" t="s">
        <v>564</v>
      </c>
      <c r="J261" s="2" t="s">
        <v>565</v>
      </c>
      <c r="K261" s="1"/>
    </row>
    <row r="262" spans="1:11" ht="14.5">
      <c r="A262" s="3">
        <v>46022</v>
      </c>
      <c r="B262" s="1" t="s">
        <v>540</v>
      </c>
      <c r="C262" s="1" t="s">
        <v>566</v>
      </c>
      <c r="D262" s="1" t="s">
        <v>1438</v>
      </c>
      <c r="E262" s="1" t="str">
        <f>_xlfn.XLOOKUP(C262,mfscreener.portfolio_holdings_v!$C:$C,mfscreener.portfolio_holdings_v!$D:$D)</f>
        <v>Equity</v>
      </c>
      <c r="F262" s="4">
        <v>1582.49</v>
      </c>
      <c r="G262" s="4">
        <v>0.79</v>
      </c>
      <c r="H262" s="4">
        <v>0.27</v>
      </c>
      <c r="I262" s="1" t="s">
        <v>567</v>
      </c>
      <c r="J262" s="2" t="s">
        <v>568</v>
      </c>
      <c r="K262" s="1"/>
    </row>
    <row r="263" spans="1:11" ht="12.5">
      <c r="A263" s="3">
        <v>46022</v>
      </c>
      <c r="B263" s="1" t="s">
        <v>540</v>
      </c>
      <c r="C263" s="1" t="s">
        <v>569</v>
      </c>
      <c r="D263" s="1" t="s">
        <v>1445</v>
      </c>
      <c r="E263" s="1" t="str">
        <f>_xlfn.XLOOKUP(C263,mfscreener.portfolio_holdings_v!$C:$C,mfscreener.portfolio_holdings_v!$D:$D)</f>
        <v>Equity</v>
      </c>
      <c r="F263" s="4">
        <v>1421.01</v>
      </c>
      <c r="G263" s="4">
        <v>0.84</v>
      </c>
      <c r="H263" s="4">
        <v>0.82</v>
      </c>
      <c r="I263" s="1" t="s">
        <v>570</v>
      </c>
      <c r="J263" s="4">
        <v>16</v>
      </c>
      <c r="K263" s="1"/>
    </row>
    <row r="264" spans="1:11" ht="12.5">
      <c r="A264" s="3">
        <v>46022</v>
      </c>
      <c r="B264" s="1" t="s">
        <v>540</v>
      </c>
      <c r="C264" s="1" t="s">
        <v>571</v>
      </c>
      <c r="D264" s="1" t="s">
        <v>1458</v>
      </c>
      <c r="E264" s="1" t="str">
        <f>_xlfn.XLOOKUP(C264,mfscreener.portfolio_holdings_v!$C:$C,mfscreener.portfolio_holdings_v!$D:$D)</f>
        <v>Equity</v>
      </c>
      <c r="F264" s="4">
        <v>704.43</v>
      </c>
      <c r="G264" s="4">
        <v>0.77</v>
      </c>
      <c r="H264" s="4">
        <v>0.45</v>
      </c>
      <c r="I264" s="1" t="s">
        <v>572</v>
      </c>
      <c r="J264" s="1" t="s">
        <v>573</v>
      </c>
      <c r="K264" s="1"/>
    </row>
    <row r="265" spans="1:11" ht="12.5">
      <c r="A265" s="3">
        <v>46022</v>
      </c>
      <c r="B265" s="1" t="s">
        <v>540</v>
      </c>
      <c r="C265" s="1" t="s">
        <v>574</v>
      </c>
      <c r="D265" s="1" t="s">
        <v>1440</v>
      </c>
      <c r="E265" s="1" t="str">
        <f>_xlfn.XLOOKUP(C265,mfscreener.portfolio_holdings_v!$C:$C,mfscreener.portfolio_holdings_v!$D:$D)</f>
        <v>Equity</v>
      </c>
      <c r="F265" s="4">
        <v>1422.3</v>
      </c>
      <c r="G265" s="4">
        <v>0.9</v>
      </c>
      <c r="H265" s="4">
        <v>0.32</v>
      </c>
      <c r="I265" s="1" t="s">
        <v>575</v>
      </c>
      <c r="J265" s="1" t="s">
        <v>576</v>
      </c>
      <c r="K265" s="1"/>
    </row>
    <row r="266" spans="1:11" ht="12.5">
      <c r="A266" s="3">
        <v>46022</v>
      </c>
      <c r="B266" s="1" t="s">
        <v>540</v>
      </c>
      <c r="C266" s="1" t="s">
        <v>577</v>
      </c>
      <c r="D266" s="1" t="s">
        <v>1491</v>
      </c>
      <c r="E266" s="1" t="str">
        <f>_xlfn.XLOOKUP(C266,mfscreener.portfolio_holdings_v!$C:$C,mfscreener.portfolio_holdings_v!$D:$D)</f>
        <v>Equity</v>
      </c>
      <c r="F266" s="4">
        <v>340.13</v>
      </c>
      <c r="G266" s="4">
        <v>0.82</v>
      </c>
      <c r="H266" s="4">
        <v>0.24</v>
      </c>
      <c r="I266" s="1" t="s">
        <v>578</v>
      </c>
      <c r="J266" s="1" t="s">
        <v>579</v>
      </c>
      <c r="K266" s="1"/>
    </row>
    <row r="267" spans="1:11" ht="12.5">
      <c r="A267" s="3">
        <v>46022</v>
      </c>
      <c r="B267" s="1" t="s">
        <v>540</v>
      </c>
      <c r="C267" s="1" t="s">
        <v>580</v>
      </c>
      <c r="D267" s="1" t="s">
        <v>1444</v>
      </c>
      <c r="E267" s="1" t="str">
        <f>_xlfn.XLOOKUP(C267,mfscreener.portfolio_holdings_v!$C:$C,mfscreener.portfolio_holdings_v!$D:$D)</f>
        <v>Equity</v>
      </c>
      <c r="F267" s="4">
        <v>935.37</v>
      </c>
      <c r="G267" s="4">
        <v>0.59</v>
      </c>
      <c r="H267" s="1"/>
      <c r="I267" s="1" t="s">
        <v>581</v>
      </c>
      <c r="J267" s="1" t="s">
        <v>545</v>
      </c>
      <c r="K267" s="1"/>
    </row>
    <row r="268" spans="1:11" ht="12.5">
      <c r="A268" s="3">
        <v>46022</v>
      </c>
      <c r="B268" s="1" t="s">
        <v>540</v>
      </c>
      <c r="C268" s="1" t="s">
        <v>582</v>
      </c>
      <c r="D268" s="1" t="s">
        <v>1457</v>
      </c>
      <c r="E268" s="1" t="str">
        <f>_xlfn.XLOOKUP(C268,mfscreener.portfolio_holdings_v!$C:$C,mfscreener.portfolio_holdings_v!$D:$D)</f>
        <v>Equity</v>
      </c>
      <c r="F268" s="4">
        <v>442.9</v>
      </c>
      <c r="G268" s="4">
        <v>1.1499999999999999</v>
      </c>
      <c r="H268" s="4">
        <v>0.55000000000000004</v>
      </c>
      <c r="I268" s="1" t="s">
        <v>583</v>
      </c>
      <c r="J268" s="1" t="s">
        <v>584</v>
      </c>
      <c r="K268" s="1"/>
    </row>
    <row r="269" spans="1:11" ht="12.5">
      <c r="A269" s="3">
        <v>46022</v>
      </c>
      <c r="B269" s="1" t="s">
        <v>540</v>
      </c>
      <c r="C269" s="1" t="s">
        <v>585</v>
      </c>
      <c r="D269" s="1" t="str">
        <f>_xlfn.XLOOKUP(C269,mfscreener.portfolio_holdings_v!$C:$C,mfscreener.portfolio_holdings_v!$E:$E)</f>
        <v>Multi Asset Allocation</v>
      </c>
      <c r="E269" s="1" t="str">
        <f>_xlfn.XLOOKUP(C269,mfscreener.portfolio_holdings_v!$C:$C,mfscreener.portfolio_holdings_v!$D:$D)</f>
        <v>Hybrid</v>
      </c>
      <c r="F269" s="4">
        <v>478.97</v>
      </c>
      <c r="G269" s="4">
        <v>0.51</v>
      </c>
      <c r="H269" s="1"/>
      <c r="I269" s="1" t="s">
        <v>586</v>
      </c>
      <c r="J269" s="1" t="s">
        <v>587</v>
      </c>
      <c r="K269" s="1"/>
    </row>
    <row r="270" spans="1:11" ht="12.5">
      <c r="A270" s="3">
        <v>46022</v>
      </c>
      <c r="B270" s="1" t="s">
        <v>540</v>
      </c>
      <c r="C270" s="1" t="s">
        <v>588</v>
      </c>
      <c r="D270" s="1" t="str">
        <f>_xlfn.XLOOKUP(C270,mfscreener.portfolio_holdings_v!$C:$C,mfscreener.portfolio_holdings_v!$E:$E)</f>
        <v>Balanced Advantage</v>
      </c>
      <c r="E270" s="1" t="str">
        <f>_xlfn.XLOOKUP(C270,mfscreener.portfolio_holdings_v!$C:$C,mfscreener.portfolio_holdings_v!$D:$D)</f>
        <v>Hybrid</v>
      </c>
      <c r="F270" s="4">
        <v>945.04</v>
      </c>
      <c r="G270" s="4">
        <v>0.78</v>
      </c>
      <c r="H270" s="4">
        <v>1.22</v>
      </c>
      <c r="I270" s="1" t="s">
        <v>589</v>
      </c>
      <c r="J270" s="1" t="s">
        <v>590</v>
      </c>
      <c r="K270" s="1"/>
    </row>
    <row r="271" spans="1:11" ht="12.5">
      <c r="A271" s="3">
        <v>46022</v>
      </c>
      <c r="B271" s="1" t="s">
        <v>540</v>
      </c>
      <c r="C271" s="1" t="s">
        <v>591</v>
      </c>
      <c r="D271" s="1" t="str">
        <f>_xlfn.XLOOKUP(C271,mfscreener.portfolio_holdings_v!$C:$C,mfscreener.portfolio_holdings_v!$E:$E)</f>
        <v>Aggressive Hybrid</v>
      </c>
      <c r="E271" s="1" t="str">
        <f>_xlfn.XLOOKUP(C271,mfscreener.portfolio_holdings_v!$C:$C,mfscreener.portfolio_holdings_v!$D:$D)</f>
        <v>Hybrid</v>
      </c>
      <c r="F271" s="4">
        <v>770.82</v>
      </c>
      <c r="G271" s="4">
        <v>0.67</v>
      </c>
      <c r="H271" s="4">
        <v>0.56999999999999995</v>
      </c>
      <c r="I271" s="1" t="s">
        <v>592</v>
      </c>
      <c r="J271" s="1" t="s">
        <v>593</v>
      </c>
      <c r="K271" s="1"/>
    </row>
    <row r="272" spans="1:11" ht="12.5">
      <c r="A272" s="3">
        <v>46022</v>
      </c>
      <c r="B272" s="1" t="s">
        <v>540</v>
      </c>
      <c r="C272" s="1" t="s">
        <v>594</v>
      </c>
      <c r="D272" s="1" t="str">
        <f>_xlfn.XLOOKUP(C272,mfscreener.portfolio_holdings_v!$C:$C,mfscreener.portfolio_holdings_v!$E:$E)</f>
        <v>Equity Savings</v>
      </c>
      <c r="E272" s="1" t="str">
        <f>_xlfn.XLOOKUP(C272,mfscreener.portfolio_holdings_v!$C:$C,mfscreener.portfolio_holdings_v!$D:$D)</f>
        <v>Hybrid</v>
      </c>
      <c r="F272" s="4">
        <v>383.75</v>
      </c>
      <c r="G272" s="4">
        <v>0.76</v>
      </c>
      <c r="H272" s="4">
        <v>4.18</v>
      </c>
      <c r="I272" s="1" t="s">
        <v>1620</v>
      </c>
      <c r="J272" s="1" t="s">
        <v>595</v>
      </c>
      <c r="K272" s="1"/>
    </row>
    <row r="273" spans="1:11" ht="12.5">
      <c r="A273" s="3">
        <v>46022</v>
      </c>
      <c r="B273" s="1" t="s">
        <v>540</v>
      </c>
      <c r="C273" s="1" t="s">
        <v>596</v>
      </c>
      <c r="D273" s="1" t="str">
        <f>_xlfn.XLOOKUP(C273,mfscreener.portfolio_holdings_v!$C:$C,mfscreener.portfolio_holdings_v!$E:$E)</f>
        <v>Arbitrage</v>
      </c>
      <c r="E273" s="1" t="str">
        <f>_xlfn.XLOOKUP(C273,mfscreener.portfolio_holdings_v!$C:$C,mfscreener.portfolio_holdings_v!$D:$D)</f>
        <v>Hybrid</v>
      </c>
      <c r="F273" s="4">
        <v>22910.86</v>
      </c>
      <c r="G273" s="4">
        <v>0.4</v>
      </c>
      <c r="H273" s="4">
        <v>16.579999999999998</v>
      </c>
      <c r="I273" s="1" t="s">
        <v>597</v>
      </c>
      <c r="J273" s="1" t="s">
        <v>598</v>
      </c>
      <c r="K273" s="1"/>
    </row>
    <row r="274" spans="1:11" ht="14.5">
      <c r="A274" s="3">
        <v>46022</v>
      </c>
      <c r="B274" s="1" t="s">
        <v>599</v>
      </c>
      <c r="C274" s="1" t="s">
        <v>600</v>
      </c>
      <c r="D274" s="1" t="str">
        <f>_xlfn.XLOOKUP(C274,mfscreener.portfolio_holdings_v!$C:$C,mfscreener.portfolio_holdings_v!$E:$E)</f>
        <v>ELSS</v>
      </c>
      <c r="E274" s="1" t="str">
        <f>_xlfn.XLOOKUP(C274,mfscreener.portfolio_holdings_v!$C:$C,mfscreener.portfolio_holdings_v!$D:$D)</f>
        <v>Equity</v>
      </c>
      <c r="F274" s="4">
        <v>441.28</v>
      </c>
      <c r="G274" s="4">
        <v>0.31</v>
      </c>
      <c r="H274" s="4">
        <v>0.53</v>
      </c>
      <c r="I274" s="2" t="s">
        <v>601</v>
      </c>
      <c r="J274" s="2" t="s">
        <v>602</v>
      </c>
      <c r="K274" s="1"/>
    </row>
    <row r="275" spans="1:11" ht="14.5">
      <c r="A275" s="3">
        <v>46022</v>
      </c>
      <c r="B275" s="1" t="s">
        <v>599</v>
      </c>
      <c r="C275" s="1" t="s">
        <v>603</v>
      </c>
      <c r="D275" s="1" t="str">
        <f>_xlfn.XLOOKUP(C275,mfscreener.portfolio_holdings_v!$C:$C,mfscreener.portfolio_holdings_v!$E:$E)</f>
        <v>Flexi Cap</v>
      </c>
      <c r="E275" s="1" t="str">
        <f>_xlfn.XLOOKUP(C275,mfscreener.portfolio_holdings_v!$C:$C,mfscreener.portfolio_holdings_v!$D:$D)</f>
        <v>Equity</v>
      </c>
      <c r="F275" s="4">
        <v>1287</v>
      </c>
      <c r="G275" s="4">
        <v>0.56999999999999995</v>
      </c>
      <c r="H275" s="4">
        <v>1.41</v>
      </c>
      <c r="I275" s="1" t="s">
        <v>604</v>
      </c>
      <c r="J275" s="2" t="s">
        <v>605</v>
      </c>
      <c r="K275" s="1"/>
    </row>
    <row r="276" spans="1:11" ht="14.5">
      <c r="A276" s="3">
        <v>46022</v>
      </c>
      <c r="B276" s="1" t="s">
        <v>599</v>
      </c>
      <c r="C276" s="1" t="s">
        <v>606</v>
      </c>
      <c r="D276" s="1" t="str">
        <f>_xlfn.XLOOKUP(C276,mfscreener.portfolio_holdings_v!$C:$C,mfscreener.portfolio_holdings_v!$E:$E)</f>
        <v>Focused</v>
      </c>
      <c r="E276" s="1" t="str">
        <f>_xlfn.XLOOKUP(C276,mfscreener.portfolio_holdings_v!$C:$C,mfscreener.portfolio_holdings_v!$D:$D)</f>
        <v>Equity</v>
      </c>
      <c r="F276" s="4">
        <v>564.08000000000004</v>
      </c>
      <c r="G276" s="4">
        <v>0.28999999999999998</v>
      </c>
      <c r="H276" s="4">
        <v>0.77</v>
      </c>
      <c r="I276" s="1" t="s">
        <v>604</v>
      </c>
      <c r="J276" s="2" t="s">
        <v>605</v>
      </c>
      <c r="K276" s="1"/>
    </row>
    <row r="277" spans="1:11" ht="14.5">
      <c r="A277" s="3">
        <v>46022</v>
      </c>
      <c r="B277" s="1" t="s">
        <v>599</v>
      </c>
      <c r="C277" s="1" t="s">
        <v>607</v>
      </c>
      <c r="D277" s="1" t="str">
        <f>_xlfn.XLOOKUP(C277,mfscreener.portfolio_holdings_v!$C:$C,mfscreener.portfolio_holdings_v!$E:$E)</f>
        <v>Large Cap</v>
      </c>
      <c r="E277" s="1" t="str">
        <f>_xlfn.XLOOKUP(C277,mfscreener.portfolio_holdings_v!$C:$C,mfscreener.portfolio_holdings_v!$D:$D)</f>
        <v>Equity</v>
      </c>
      <c r="F277" s="4">
        <v>534.09</v>
      </c>
      <c r="G277" s="4">
        <v>0.52</v>
      </c>
      <c r="H277" s="4">
        <v>0.85</v>
      </c>
      <c r="I277" s="1" t="s">
        <v>608</v>
      </c>
      <c r="J277" s="2" t="s">
        <v>609</v>
      </c>
      <c r="K277" s="1"/>
    </row>
    <row r="278" spans="1:11" ht="14.5">
      <c r="A278" s="3">
        <v>46022</v>
      </c>
      <c r="B278" s="1" t="s">
        <v>599</v>
      </c>
      <c r="C278" s="1" t="s">
        <v>610</v>
      </c>
      <c r="D278" s="1" t="str">
        <f>_xlfn.XLOOKUP(C278,mfscreener.portfolio_holdings_v!$C:$C,mfscreener.portfolio_holdings_v!$E:$E)</f>
        <v>Large &amp; Mid Cap</v>
      </c>
      <c r="E278" s="1" t="str">
        <f>_xlfn.XLOOKUP(C278,mfscreener.portfolio_holdings_v!$C:$C,mfscreener.portfolio_holdings_v!$D:$D)</f>
        <v>Equity</v>
      </c>
      <c r="F278" s="4">
        <v>873.94</v>
      </c>
      <c r="G278" s="4">
        <v>0.55000000000000004</v>
      </c>
      <c r="H278" s="4">
        <v>1.34</v>
      </c>
      <c r="I278" s="1" t="s">
        <v>608</v>
      </c>
      <c r="J278" s="2" t="s">
        <v>609</v>
      </c>
      <c r="K278" s="1"/>
    </row>
    <row r="279" spans="1:11" ht="14.5">
      <c r="A279" s="3">
        <v>46022</v>
      </c>
      <c r="B279" s="1" t="s">
        <v>599</v>
      </c>
      <c r="C279" s="1" t="s">
        <v>611</v>
      </c>
      <c r="D279" s="1" t="str">
        <f>_xlfn.XLOOKUP(C279,mfscreener.portfolio_holdings_v!$C:$C,mfscreener.portfolio_holdings_v!$E:$E)</f>
        <v>Mid Cap</v>
      </c>
      <c r="E279" s="1" t="str">
        <f>_xlfn.XLOOKUP(C279,mfscreener.portfolio_holdings_v!$C:$C,mfscreener.portfolio_holdings_v!$D:$D)</f>
        <v>Equity</v>
      </c>
      <c r="F279" s="4">
        <v>1292.78</v>
      </c>
      <c r="G279" s="4">
        <v>0.48</v>
      </c>
      <c r="H279" s="4">
        <v>1.4</v>
      </c>
      <c r="I279" s="1" t="s">
        <v>604</v>
      </c>
      <c r="J279" s="2" t="s">
        <v>605</v>
      </c>
      <c r="K279" s="1"/>
    </row>
    <row r="280" spans="1:11" ht="14.5">
      <c r="A280" s="3">
        <v>46022</v>
      </c>
      <c r="B280" s="1" t="s">
        <v>599</v>
      </c>
      <c r="C280" s="1" t="s">
        <v>612</v>
      </c>
      <c r="D280" s="1" t="str">
        <f>_xlfn.XLOOKUP(C280,mfscreener.portfolio_holdings_v!$C:$C,mfscreener.portfolio_holdings_v!$E:$E)</f>
        <v>Multi Cap</v>
      </c>
      <c r="E280" s="1" t="str">
        <f>_xlfn.XLOOKUP(C280,mfscreener.portfolio_holdings_v!$C:$C,mfscreener.portfolio_holdings_v!$D:$D)</f>
        <v>Equity</v>
      </c>
      <c r="F280" s="4">
        <v>1337.48</v>
      </c>
      <c r="G280" s="4">
        <v>0.56999999999999995</v>
      </c>
      <c r="H280" s="4">
        <v>1.21</v>
      </c>
      <c r="I280" s="1" t="s">
        <v>604</v>
      </c>
      <c r="J280" s="2" t="s">
        <v>605</v>
      </c>
      <c r="K280" s="1"/>
    </row>
    <row r="281" spans="1:11" ht="14.5">
      <c r="A281" s="3">
        <v>46022</v>
      </c>
      <c r="B281" s="1" t="s">
        <v>599</v>
      </c>
      <c r="C281" s="1" t="s">
        <v>613</v>
      </c>
      <c r="D281" s="1" t="str">
        <f>_xlfn.XLOOKUP(C281,mfscreener.portfolio_holdings_v!$C:$C,mfscreener.portfolio_holdings_v!$E:$E)</f>
        <v>Small Cap</v>
      </c>
      <c r="E281" s="1" t="str">
        <f>_xlfn.XLOOKUP(C281,mfscreener.portfolio_holdings_v!$C:$C,mfscreener.portfolio_holdings_v!$D:$D)</f>
        <v>Equity</v>
      </c>
      <c r="F281" s="4">
        <v>2819.01</v>
      </c>
      <c r="G281" s="4">
        <v>0.22</v>
      </c>
      <c r="H281" s="4">
        <v>1.02</v>
      </c>
      <c r="I281" s="1" t="s">
        <v>604</v>
      </c>
      <c r="J281" s="2" t="s">
        <v>605</v>
      </c>
      <c r="K281" s="1"/>
    </row>
    <row r="282" spans="1:11" ht="14.5">
      <c r="A282" s="3">
        <v>46022</v>
      </c>
      <c r="B282" s="1" t="s">
        <v>599</v>
      </c>
      <c r="C282" s="1" t="s">
        <v>614</v>
      </c>
      <c r="D282" s="1" t="str">
        <f>_xlfn.XLOOKUP(C282,mfscreener.portfolio_holdings_v!$C:$C,mfscreener.portfolio_holdings_v!$E:$E)</f>
        <v>Value</v>
      </c>
      <c r="E282" s="1" t="str">
        <f>_xlfn.XLOOKUP(C282,mfscreener.portfolio_holdings_v!$C:$C,mfscreener.portfolio_holdings_v!$D:$D)</f>
        <v>Equity</v>
      </c>
      <c r="F282" s="4">
        <v>347.13</v>
      </c>
      <c r="G282" s="4">
        <v>0.56999999999999995</v>
      </c>
      <c r="H282" s="4">
        <v>1.39</v>
      </c>
      <c r="I282" s="1" t="s">
        <v>604</v>
      </c>
      <c r="J282" s="2" t="s">
        <v>605</v>
      </c>
      <c r="K282" s="1"/>
    </row>
    <row r="283" spans="1:11" ht="12.5">
      <c r="A283" s="3">
        <v>46022</v>
      </c>
      <c r="B283" s="1" t="s">
        <v>599</v>
      </c>
      <c r="C283" s="1" t="s">
        <v>615</v>
      </c>
      <c r="D283" s="1" t="s">
        <v>1438</v>
      </c>
      <c r="E283" s="1" t="str">
        <f>_xlfn.XLOOKUP(C283,mfscreener.portfolio_holdings_v!$C:$C,mfscreener.portfolio_holdings_v!$D:$D)</f>
        <v>Equity</v>
      </c>
      <c r="F283" s="4">
        <v>311.02999999999997</v>
      </c>
      <c r="G283" s="4">
        <v>0.4</v>
      </c>
      <c r="H283" s="4">
        <v>1.55</v>
      </c>
      <c r="I283" s="1" t="s">
        <v>616</v>
      </c>
      <c r="J283" s="1" t="s">
        <v>617</v>
      </c>
      <c r="K283" s="1"/>
    </row>
    <row r="284" spans="1:11" ht="14.5">
      <c r="A284" s="3">
        <v>46022</v>
      </c>
      <c r="B284" s="1" t="s">
        <v>599</v>
      </c>
      <c r="C284" s="1" t="s">
        <v>618</v>
      </c>
      <c r="D284" s="1" t="s">
        <v>1459</v>
      </c>
      <c r="E284" s="1" t="str">
        <f>_xlfn.XLOOKUP(C284,mfscreener.portfolio_holdings_v!$C:$C,mfscreener.portfolio_holdings_v!$D:$D)</f>
        <v>Equity</v>
      </c>
      <c r="F284" s="4">
        <v>360.91</v>
      </c>
      <c r="G284" s="4">
        <v>0.5</v>
      </c>
      <c r="H284" s="1"/>
      <c r="I284" s="1" t="s">
        <v>604</v>
      </c>
      <c r="J284" s="2" t="s">
        <v>605</v>
      </c>
      <c r="K284" s="1"/>
    </row>
    <row r="285" spans="1:11" ht="14.5">
      <c r="A285" s="3">
        <v>46022</v>
      </c>
      <c r="B285" s="1" t="s">
        <v>599</v>
      </c>
      <c r="C285" s="1" t="s">
        <v>619</v>
      </c>
      <c r="D285" s="1" t="s">
        <v>1480</v>
      </c>
      <c r="E285" s="1" t="str">
        <f>_xlfn.XLOOKUP(C285,mfscreener.portfolio_holdings_v!$C:$C,mfscreener.portfolio_holdings_v!$D:$D)</f>
        <v>Equity</v>
      </c>
      <c r="F285" s="4">
        <v>230.85</v>
      </c>
      <c r="G285" s="4">
        <v>0.47</v>
      </c>
      <c r="H285" s="4">
        <v>0.49</v>
      </c>
      <c r="I285" s="1" t="s">
        <v>604</v>
      </c>
      <c r="J285" s="2" t="s">
        <v>605</v>
      </c>
      <c r="K285" s="1"/>
    </row>
    <row r="286" spans="1:11" ht="14.5">
      <c r="A286" s="3">
        <v>46022</v>
      </c>
      <c r="B286" s="1" t="s">
        <v>599</v>
      </c>
      <c r="C286" s="1" t="s">
        <v>620</v>
      </c>
      <c r="D286" s="1" t="str">
        <f>_xlfn.XLOOKUP(C286,mfscreener.portfolio_holdings_v!$C:$C,mfscreener.portfolio_holdings_v!$E:$E)</f>
        <v>Arbitrage</v>
      </c>
      <c r="E286" s="1" t="str">
        <f>_xlfn.XLOOKUP(C286,mfscreener.portfolio_holdings_v!$C:$C,mfscreener.portfolio_holdings_v!$D:$D)</f>
        <v>Hybrid</v>
      </c>
      <c r="F286" s="4">
        <v>50.35</v>
      </c>
      <c r="G286" s="4">
        <v>0.21</v>
      </c>
      <c r="H286" s="1"/>
      <c r="I286" s="1" t="s">
        <v>621</v>
      </c>
      <c r="J286" s="2" t="s">
        <v>622</v>
      </c>
      <c r="K286" s="1"/>
    </row>
    <row r="287" spans="1:11" ht="14.5">
      <c r="A287" s="3">
        <v>46022</v>
      </c>
      <c r="B287" s="1" t="s">
        <v>599</v>
      </c>
      <c r="C287" s="1" t="s">
        <v>623</v>
      </c>
      <c r="D287" s="1" t="str">
        <f>_xlfn.XLOOKUP(C287,mfscreener.portfolio_holdings_v!$C:$C,mfscreener.portfolio_holdings_v!$E:$E)</f>
        <v>Balanced Advantage</v>
      </c>
      <c r="E287" s="1" t="str">
        <f>_xlfn.XLOOKUP(C287,mfscreener.portfolio_holdings_v!$C:$C,mfscreener.portfolio_holdings_v!$D:$D)</f>
        <v>Hybrid</v>
      </c>
      <c r="F287" s="4">
        <v>399.17</v>
      </c>
      <c r="G287" s="4">
        <v>0.63</v>
      </c>
      <c r="H287" s="4">
        <v>4.88</v>
      </c>
      <c r="I287" s="1" t="s">
        <v>624</v>
      </c>
      <c r="J287" s="2" t="s">
        <v>625</v>
      </c>
      <c r="K287" s="1"/>
    </row>
    <row r="288" spans="1:11" ht="14.5">
      <c r="A288" s="20" t="s">
        <v>626</v>
      </c>
      <c r="B288" s="21" t="s">
        <v>627</v>
      </c>
      <c r="C288" s="21" t="s">
        <v>628</v>
      </c>
      <c r="D288" s="1" t="str">
        <f>_xlfn.XLOOKUP(C288,mfscreener.portfolio_holdings_v!$C:$C,mfscreener.portfolio_holdings_v!$E:$E)</f>
        <v>ELSS</v>
      </c>
      <c r="E288" s="1" t="str">
        <f>_xlfn.XLOOKUP(C288,mfscreener.portfolio_holdings_v!$C:$C,mfscreener.portfolio_holdings_v!$D:$D)</f>
        <v>Equity</v>
      </c>
      <c r="F288" s="4">
        <v>225.46</v>
      </c>
      <c r="G288" s="4">
        <v>1.01</v>
      </c>
      <c r="H288" s="4">
        <v>1.0011000000000001</v>
      </c>
      <c r="I288" s="2" t="s">
        <v>629</v>
      </c>
      <c r="J288" s="5">
        <v>21</v>
      </c>
      <c r="K288" s="1"/>
    </row>
    <row r="289" spans="1:11" ht="14.5">
      <c r="A289" s="20" t="s">
        <v>626</v>
      </c>
      <c r="B289" s="21" t="s">
        <v>627</v>
      </c>
      <c r="C289" s="21" t="s">
        <v>630</v>
      </c>
      <c r="D289" s="1" t="str">
        <f>_xlfn.XLOOKUP(C289,mfscreener.portfolio_holdings_v!$C:$C,mfscreener.portfolio_holdings_v!$E:$E)</f>
        <v>Flexi Cap</v>
      </c>
      <c r="E289" s="1" t="str">
        <f>_xlfn.XLOOKUP(C289,mfscreener.portfolio_holdings_v!$C:$C,mfscreener.portfolio_holdings_v!$D:$D)</f>
        <v>Equity</v>
      </c>
      <c r="F289" s="4">
        <v>6028.53</v>
      </c>
      <c r="G289" s="4">
        <v>0.55000000000000004</v>
      </c>
      <c r="H289" s="4">
        <v>1.7327999999999999</v>
      </c>
      <c r="I289" s="1" t="s">
        <v>631</v>
      </c>
      <c r="J289" s="5">
        <v>31</v>
      </c>
      <c r="K289" s="1"/>
    </row>
    <row r="290" spans="1:11" ht="14.5">
      <c r="A290" s="20" t="s">
        <v>626</v>
      </c>
      <c r="B290" s="21" t="s">
        <v>627</v>
      </c>
      <c r="C290" s="21" t="s">
        <v>632</v>
      </c>
      <c r="D290" s="1" t="str">
        <f>_xlfn.XLOOKUP(C290,mfscreener.portfolio_holdings_v!$C:$C,mfscreener.portfolio_holdings_v!$E:$E)</f>
        <v>Focused</v>
      </c>
      <c r="E290" s="1" t="str">
        <f>_xlfn.XLOOKUP(C290,mfscreener.portfolio_holdings_v!$C:$C,mfscreener.portfolio_holdings_v!$D:$D)</f>
        <v>Equity</v>
      </c>
      <c r="F290" s="4">
        <v>307.55</v>
      </c>
      <c r="G290" s="4">
        <v>0.74</v>
      </c>
      <c r="H290" s="4">
        <v>1.1552</v>
      </c>
      <c r="I290" s="1" t="s">
        <v>633</v>
      </c>
      <c r="J290" s="5">
        <v>23</v>
      </c>
      <c r="K290" s="1"/>
    </row>
    <row r="291" spans="1:11" ht="14.5">
      <c r="A291" s="20" t="s">
        <v>626</v>
      </c>
      <c r="B291" s="15" t="s">
        <v>627</v>
      </c>
      <c r="C291" s="15" t="s">
        <v>634</v>
      </c>
      <c r="D291" s="1" t="str">
        <f>_xlfn.XLOOKUP(C291,mfscreener.portfolio_holdings_v!$C:$C,mfscreener.portfolio_holdings_v!$E:$E)</f>
        <v>Large Cap</v>
      </c>
      <c r="E291" s="1" t="str">
        <f>_xlfn.XLOOKUP(C291,mfscreener.portfolio_holdings_v!$C:$C,mfscreener.portfolio_holdings_v!$D:$D)</f>
        <v>Equity</v>
      </c>
      <c r="F291" s="22">
        <v>481.74</v>
      </c>
      <c r="G291" s="22">
        <v>0.84</v>
      </c>
      <c r="H291" s="22">
        <v>2.0568</v>
      </c>
      <c r="I291" s="2" t="s">
        <v>629</v>
      </c>
      <c r="J291" s="5">
        <v>21</v>
      </c>
      <c r="K291" s="1"/>
    </row>
    <row r="292" spans="1:11" ht="14.5">
      <c r="A292" s="20" t="s">
        <v>626</v>
      </c>
      <c r="B292" s="21" t="s">
        <v>627</v>
      </c>
      <c r="C292" s="21" t="s">
        <v>635</v>
      </c>
      <c r="D292" s="1" t="str">
        <f>_xlfn.XLOOKUP(C292,mfscreener.portfolio_holdings_v!$C:$C,mfscreener.portfolio_holdings_v!$E:$E)</f>
        <v>Large &amp; Mid Cap</v>
      </c>
      <c r="E292" s="1" t="str">
        <f>_xlfn.XLOOKUP(C292,mfscreener.portfolio_holdings_v!$C:$C,mfscreener.portfolio_holdings_v!$D:$D)</f>
        <v>Equity</v>
      </c>
      <c r="F292" s="4">
        <v>384.36</v>
      </c>
      <c r="G292" s="4">
        <v>0.59</v>
      </c>
      <c r="H292" s="1"/>
      <c r="I292" s="1" t="s">
        <v>633</v>
      </c>
      <c r="J292" s="5">
        <v>23</v>
      </c>
      <c r="K292" s="1"/>
    </row>
    <row r="293" spans="1:11" ht="14.5">
      <c r="A293" s="20" t="s">
        <v>626</v>
      </c>
      <c r="B293" s="21" t="s">
        <v>627</v>
      </c>
      <c r="C293" s="21" t="s">
        <v>636</v>
      </c>
      <c r="D293" s="1" t="str">
        <f>_xlfn.XLOOKUP(C293,mfscreener.portfolio_holdings_v!$C:$C,mfscreener.portfolio_holdings_v!$E:$E)</f>
        <v>Mid Cap</v>
      </c>
      <c r="E293" s="1" t="str">
        <f>_xlfn.XLOOKUP(C293,mfscreener.portfolio_holdings_v!$C:$C,mfscreener.portfolio_holdings_v!$D:$D)</f>
        <v>Equity</v>
      </c>
      <c r="F293" s="4">
        <v>1466.76</v>
      </c>
      <c r="G293" s="4">
        <v>0.53</v>
      </c>
      <c r="H293" s="4">
        <v>1.712</v>
      </c>
      <c r="I293" s="1" t="s">
        <v>637</v>
      </c>
      <c r="J293" s="5">
        <v>31</v>
      </c>
      <c r="K293" s="1"/>
    </row>
    <row r="294" spans="1:11" ht="14.5">
      <c r="A294" s="20" t="s">
        <v>626</v>
      </c>
      <c r="B294" s="21" t="s">
        <v>627</v>
      </c>
      <c r="C294" s="21" t="s">
        <v>638</v>
      </c>
      <c r="D294" s="1" t="str">
        <f>_xlfn.XLOOKUP(C294,mfscreener.portfolio_holdings_v!$C:$C,mfscreener.portfolio_holdings_v!$E:$E)</f>
        <v>Small Cap</v>
      </c>
      <c r="E294" s="1" t="str">
        <f>_xlfn.XLOOKUP(C294,mfscreener.portfolio_holdings_v!$C:$C,mfscreener.portfolio_holdings_v!$D:$D)</f>
        <v>Equity</v>
      </c>
      <c r="F294" s="4">
        <v>753.3</v>
      </c>
      <c r="G294" s="4">
        <v>0.62</v>
      </c>
      <c r="H294" s="4">
        <v>0.97609999999999997</v>
      </c>
      <c r="I294" s="1" t="s">
        <v>633</v>
      </c>
      <c r="J294" s="5">
        <v>23</v>
      </c>
      <c r="K294" s="1"/>
    </row>
    <row r="295" spans="1:11" ht="14.5">
      <c r="A295" s="20"/>
      <c r="B295" s="21" t="s">
        <v>627</v>
      </c>
      <c r="C295" s="21" t="s">
        <v>639</v>
      </c>
      <c r="D295" s="1" t="str">
        <f>_xlfn.XLOOKUP(C295,mfscreener.portfolio_holdings_v!$C:$C,mfscreener.portfolio_holdings_v!$E:$E)</f>
        <v>Value</v>
      </c>
      <c r="E295" s="1" t="str">
        <f>_xlfn.XLOOKUP(C295,mfscreener.portfolio_holdings_v!$C:$C,mfscreener.portfolio_holdings_v!$D:$D)</f>
        <v>Equity</v>
      </c>
      <c r="F295" s="4">
        <v>997.22</v>
      </c>
      <c r="G295" s="4">
        <v>1.01</v>
      </c>
      <c r="H295" s="4">
        <v>1.2065999999999999</v>
      </c>
      <c r="I295" s="1" t="s">
        <v>637</v>
      </c>
      <c r="J295" s="5">
        <v>31</v>
      </c>
      <c r="K295" s="1"/>
    </row>
    <row r="296" spans="1:11" ht="14.5">
      <c r="A296" s="20"/>
      <c r="B296" s="21" t="s">
        <v>627</v>
      </c>
      <c r="C296" s="21" t="s">
        <v>640</v>
      </c>
      <c r="D296" s="1" t="e">
        <f>_xlfn.XLOOKUP(C296,mfscreener.portfolio_holdings_v!$C:$C,mfscreener.portfolio_holdings_v!$E:$E)</f>
        <v>#N/A</v>
      </c>
      <c r="E296" s="1" t="e">
        <f>_xlfn.XLOOKUP(C296,mfscreener.portfolio_holdings_v!$C:$C,mfscreener.portfolio_holdings_v!$D:$D)</f>
        <v>#N/A</v>
      </c>
      <c r="F296" s="4">
        <v>386.43</v>
      </c>
      <c r="G296" s="4">
        <v>0.41</v>
      </c>
      <c r="H296" s="4">
        <v>10.77</v>
      </c>
      <c r="I296" s="1" t="s">
        <v>633</v>
      </c>
      <c r="J296" s="5">
        <v>23</v>
      </c>
      <c r="K296" s="1"/>
    </row>
    <row r="297" spans="1:11" ht="14.5">
      <c r="A297" s="20" t="s">
        <v>626</v>
      </c>
      <c r="B297" s="21" t="s">
        <v>627</v>
      </c>
      <c r="C297" s="21" t="s">
        <v>641</v>
      </c>
      <c r="D297" s="1" t="str">
        <f>_xlfn.XLOOKUP(C297,mfscreener.portfolio_holdings_v!$C:$C,mfscreener.portfolio_holdings_v!$E:$E)</f>
        <v>Aggressive Hybrid</v>
      </c>
      <c r="E297" s="1" t="str">
        <f>_xlfn.XLOOKUP(C297,mfscreener.portfolio_holdings_v!$C:$C,mfscreener.portfolio_holdings_v!$D:$D)</f>
        <v>Hybrid</v>
      </c>
      <c r="F297" s="4">
        <v>813.95</v>
      </c>
      <c r="G297" s="4">
        <v>0.69</v>
      </c>
      <c r="H297" s="4">
        <v>1.4350000000000001</v>
      </c>
      <c r="I297" s="1" t="s">
        <v>633</v>
      </c>
      <c r="J297" s="5">
        <v>23</v>
      </c>
      <c r="K297" s="1"/>
    </row>
    <row r="298" spans="1:11" ht="14.5">
      <c r="A298" s="20" t="s">
        <v>626</v>
      </c>
      <c r="B298" s="21" t="s">
        <v>642</v>
      </c>
      <c r="C298" s="21" t="s">
        <v>643</v>
      </c>
      <c r="D298" s="1" t="str">
        <f>_xlfn.XLOOKUP(C298,mfscreener.portfolio_holdings_v!$C:$C,mfscreener.portfolio_holdings_v!$E:$E)</f>
        <v>Flexi Cap</v>
      </c>
      <c r="E298" s="1" t="str">
        <f>_xlfn.XLOOKUP(C298,mfscreener.portfolio_holdings_v!$C:$C,mfscreener.portfolio_holdings_v!$D:$D)</f>
        <v>Equity</v>
      </c>
      <c r="F298" s="5">
        <v>56151.51</v>
      </c>
      <c r="G298" s="5">
        <v>0.6</v>
      </c>
      <c r="H298" s="5">
        <v>8.1600000000000006E-2</v>
      </c>
      <c r="I298" s="2" t="s">
        <v>644</v>
      </c>
      <c r="J298" s="5">
        <v>29</v>
      </c>
      <c r="K298" s="1"/>
    </row>
    <row r="299" spans="1:11" ht="14.5">
      <c r="A299" s="20" t="s">
        <v>626</v>
      </c>
      <c r="B299" s="21" t="s">
        <v>642</v>
      </c>
      <c r="C299" s="21" t="s">
        <v>645</v>
      </c>
      <c r="D299" s="1" t="str">
        <f>_xlfn.XLOOKUP(C299,mfscreener.portfolio_holdings_v!$C:$C,mfscreener.portfolio_holdings_v!$E:$E)</f>
        <v>Multi Cap</v>
      </c>
      <c r="E299" s="1" t="str">
        <f>_xlfn.XLOOKUP(C299,mfscreener.portfolio_holdings_v!$C:$C,mfscreener.portfolio_holdings_v!$D:$D)</f>
        <v>Equity</v>
      </c>
      <c r="F299" s="5">
        <v>22482.2</v>
      </c>
      <c r="G299" s="5">
        <v>0.45</v>
      </c>
      <c r="H299" s="5">
        <v>0.37190000000000001</v>
      </c>
      <c r="I299" s="1" t="s">
        <v>646</v>
      </c>
      <c r="J299" s="2" t="s">
        <v>647</v>
      </c>
      <c r="K299" s="1"/>
    </row>
    <row r="300" spans="1:11" ht="14.5">
      <c r="A300" s="20" t="s">
        <v>626</v>
      </c>
      <c r="B300" s="21" t="s">
        <v>642</v>
      </c>
      <c r="C300" s="21" t="s">
        <v>648</v>
      </c>
      <c r="D300" s="1" t="str">
        <f>_xlfn.XLOOKUP(C300,mfscreener.portfolio_holdings_v!$C:$C,mfscreener.portfolio_holdings_v!$E:$E)</f>
        <v>Large Cap</v>
      </c>
      <c r="E300" s="1" t="str">
        <f>_xlfn.XLOOKUP(C300,mfscreener.portfolio_holdings_v!$C:$C,mfscreener.portfolio_holdings_v!$D:$D)</f>
        <v>Equity</v>
      </c>
      <c r="F300" s="5">
        <v>11024.13</v>
      </c>
      <c r="G300" s="5">
        <v>0.63</v>
      </c>
      <c r="H300" s="5">
        <v>0.27779999999999999</v>
      </c>
      <c r="I300" s="2" t="s">
        <v>649</v>
      </c>
      <c r="J300" s="5">
        <v>19</v>
      </c>
      <c r="K300" s="1"/>
    </row>
    <row r="301" spans="1:11" ht="14.5">
      <c r="A301" s="20" t="s">
        <v>626</v>
      </c>
      <c r="B301" s="21" t="s">
        <v>642</v>
      </c>
      <c r="C301" s="21" t="s">
        <v>650</v>
      </c>
      <c r="D301" s="1" t="str">
        <f>_xlfn.XLOOKUP(C301,mfscreener.portfolio_holdings_v!$C:$C,mfscreener.portfolio_holdings_v!$E:$E)</f>
        <v>Large &amp; Mid Cap</v>
      </c>
      <c r="E301" s="1" t="str">
        <f>_xlfn.XLOOKUP(C301,mfscreener.portfolio_holdings_v!$C:$C,mfscreener.portfolio_holdings_v!$D:$D)</f>
        <v>Equity</v>
      </c>
      <c r="F301" s="5">
        <v>29774.52</v>
      </c>
      <c r="G301" s="5">
        <v>0.55000000000000004</v>
      </c>
      <c r="H301" s="5">
        <v>0.17449999999999999</v>
      </c>
      <c r="I301" s="2" t="s">
        <v>644</v>
      </c>
      <c r="J301" s="5">
        <v>29</v>
      </c>
      <c r="K301" s="1"/>
    </row>
    <row r="302" spans="1:11" ht="14.5">
      <c r="A302" s="20" t="s">
        <v>626</v>
      </c>
      <c r="B302" s="21" t="s">
        <v>642</v>
      </c>
      <c r="C302" s="21" t="s">
        <v>651</v>
      </c>
      <c r="D302" s="1" t="str">
        <f>_xlfn.XLOOKUP(C302,mfscreener.portfolio_holdings_v!$C:$C,mfscreener.portfolio_holdings_v!$E:$E)</f>
        <v>Mid Cap</v>
      </c>
      <c r="E302" s="1" t="str">
        <f>_xlfn.XLOOKUP(C302,mfscreener.portfolio_holdings_v!$C:$C,mfscreener.portfolio_holdings_v!$D:$D)</f>
        <v>Equity</v>
      </c>
      <c r="F302" s="5">
        <v>60081.55</v>
      </c>
      <c r="G302" s="5">
        <v>0.37</v>
      </c>
      <c r="H302" s="5">
        <v>0.23669999999999999</v>
      </c>
      <c r="I302" s="2" t="s">
        <v>652</v>
      </c>
      <c r="J302" s="5">
        <v>20</v>
      </c>
      <c r="K302" s="1"/>
    </row>
    <row r="303" spans="1:11" ht="14.5">
      <c r="A303" s="20" t="s">
        <v>626</v>
      </c>
      <c r="B303" s="21" t="s">
        <v>642</v>
      </c>
      <c r="C303" s="21" t="s">
        <v>653</v>
      </c>
      <c r="D303" s="1" t="str">
        <f>_xlfn.XLOOKUP(C303,mfscreener.portfolio_holdings_v!$C:$C,mfscreener.portfolio_holdings_v!$E:$E)</f>
        <v>Small Cap</v>
      </c>
      <c r="E303" s="1" t="str">
        <f>_xlfn.XLOOKUP(C303,mfscreener.portfolio_holdings_v!$C:$C,mfscreener.portfolio_holdings_v!$D:$D)</f>
        <v>Equity</v>
      </c>
      <c r="F303" s="5">
        <v>17227.330000000002</v>
      </c>
      <c r="G303" s="5">
        <v>0.55000000000000004</v>
      </c>
      <c r="H303" s="5">
        <v>0.2525</v>
      </c>
      <c r="I303" s="2" t="s">
        <v>654</v>
      </c>
      <c r="J303" s="5">
        <v>16</v>
      </c>
      <c r="K303" s="1"/>
    </row>
    <row r="304" spans="1:11" ht="14">
      <c r="A304" s="20" t="s">
        <v>626</v>
      </c>
      <c r="B304" s="21" t="s">
        <v>642</v>
      </c>
      <c r="C304" s="21" t="s">
        <v>655</v>
      </c>
      <c r="D304" s="1" t="str">
        <f>_xlfn.XLOOKUP(C304,mfscreener.portfolio_holdings_v!$C:$C,mfscreener.portfolio_holdings_v!$E:$E)</f>
        <v>Banking &amp; Financial Services</v>
      </c>
      <c r="E304" s="1" t="str">
        <f>_xlfn.XLOOKUP(C304,mfscreener.portfolio_holdings_v!$C:$C,mfscreener.portfolio_holdings_v!$D:$D)</f>
        <v>Equity</v>
      </c>
      <c r="F304" s="12">
        <v>1372.79</v>
      </c>
      <c r="G304" s="1">
        <v>0.68</v>
      </c>
      <c r="H304" s="1">
        <v>0.28289999999999998</v>
      </c>
      <c r="I304" s="9" t="s">
        <v>656</v>
      </c>
      <c r="J304" s="1" t="s">
        <v>657</v>
      </c>
      <c r="K304" s="1"/>
    </row>
    <row r="305" spans="1:11" ht="14">
      <c r="A305" s="20" t="s">
        <v>626</v>
      </c>
      <c r="B305" s="21" t="s">
        <v>642</v>
      </c>
      <c r="C305" s="21" t="s">
        <v>658</v>
      </c>
      <c r="D305" s="1" t="str">
        <f>_xlfn.XLOOKUP(C305,mfscreener.portfolio_holdings_v!$C:$C,mfscreener.portfolio_holdings_v!$E:$E)</f>
        <v>Technology</v>
      </c>
      <c r="E305" s="1" t="str">
        <f>_xlfn.XLOOKUP(C305,mfscreener.portfolio_holdings_v!$C:$C,mfscreener.portfolio_holdings_v!$D:$D)</f>
        <v>Equity</v>
      </c>
      <c r="F305" s="9">
        <v>661.27</v>
      </c>
      <c r="G305" s="1">
        <v>0.88</v>
      </c>
      <c r="H305" s="1">
        <v>0.153</v>
      </c>
      <c r="I305" s="9" t="s">
        <v>656</v>
      </c>
      <c r="J305" s="1" t="s">
        <v>657</v>
      </c>
      <c r="K305" s="1"/>
    </row>
    <row r="306" spans="1:11" ht="14">
      <c r="A306" s="20" t="s">
        <v>626</v>
      </c>
      <c r="B306" s="21" t="s">
        <v>642</v>
      </c>
      <c r="C306" s="21" t="s">
        <v>659</v>
      </c>
      <c r="D306" s="1" t="str">
        <f>_xlfn.XLOOKUP(C306,mfscreener.portfolio_holdings_v!$C:$C,mfscreener.portfolio_holdings_v!$E:$E)</f>
        <v>Healthcare</v>
      </c>
      <c r="E306" s="1" t="str">
        <f>_xlfn.XLOOKUP(C306,mfscreener.portfolio_holdings_v!$C:$C,mfscreener.portfolio_holdings_v!$D:$D)</f>
        <v>Equity</v>
      </c>
      <c r="F306" s="9">
        <v>471.16</v>
      </c>
      <c r="G306" s="1">
        <v>0.74</v>
      </c>
      <c r="H306" s="1">
        <v>0.26690000000000003</v>
      </c>
      <c r="I306" s="9" t="s">
        <v>660</v>
      </c>
      <c r="J306" s="1" t="s">
        <v>661</v>
      </c>
      <c r="K306" s="1"/>
    </row>
    <row r="307" spans="1:11" ht="14">
      <c r="A307" s="20" t="s">
        <v>626</v>
      </c>
      <c r="B307" s="21" t="s">
        <v>642</v>
      </c>
      <c r="C307" s="21" t="s">
        <v>662</v>
      </c>
      <c r="D307" s="1" t="str">
        <f>_xlfn.XLOOKUP(C307,mfscreener.portfolio_holdings_v!$C:$C,mfscreener.portfolio_holdings_v!$E:$E)</f>
        <v>Consumption</v>
      </c>
      <c r="E307" s="1" t="str">
        <f>_xlfn.XLOOKUP(C307,mfscreener.portfolio_holdings_v!$C:$C,mfscreener.portfolio_holdings_v!$D:$D)</f>
        <v>Equity</v>
      </c>
      <c r="F307" s="12">
        <v>1771.54</v>
      </c>
      <c r="G307" s="1">
        <v>0.56000000000000005</v>
      </c>
      <c r="H307" s="1">
        <v>0.2984</v>
      </c>
      <c r="I307" s="9" t="s">
        <v>663</v>
      </c>
      <c r="J307" s="1" t="s">
        <v>647</v>
      </c>
      <c r="K307" s="1"/>
    </row>
    <row r="308" spans="1:11" ht="14">
      <c r="A308" s="20" t="s">
        <v>626</v>
      </c>
      <c r="B308" s="21" t="s">
        <v>642</v>
      </c>
      <c r="C308" s="21" t="s">
        <v>664</v>
      </c>
      <c r="D308" s="1" t="str">
        <f>_xlfn.XLOOKUP(C308,mfscreener.portfolio_holdings_v!$C:$C,mfscreener.portfolio_holdings_v!$E:$E)</f>
        <v>ESG</v>
      </c>
      <c r="E308" s="1" t="str">
        <f>_xlfn.XLOOKUP(C308,mfscreener.portfolio_holdings_v!$C:$C,mfscreener.portfolio_holdings_v!$D:$D)</f>
        <v>Equity</v>
      </c>
      <c r="F308" s="9">
        <v>856</v>
      </c>
      <c r="G308" s="1">
        <v>0.93</v>
      </c>
      <c r="H308" s="1">
        <v>0.22869999999999999</v>
      </c>
      <c r="I308" s="9" t="s">
        <v>665</v>
      </c>
      <c r="J308" s="1">
        <v>19</v>
      </c>
      <c r="K308" s="1"/>
    </row>
    <row r="309" spans="1:11" ht="14">
      <c r="A309" s="20" t="s">
        <v>626</v>
      </c>
      <c r="B309" s="21" t="s">
        <v>642</v>
      </c>
      <c r="C309" s="21" t="s">
        <v>666</v>
      </c>
      <c r="D309" s="1" t="str">
        <f>_xlfn.XLOOKUP(C309,mfscreener.portfolio_holdings_v!$C:$C,mfscreener.portfolio_holdings_v!$E:$E)</f>
        <v>MNC</v>
      </c>
      <c r="E309" s="1" t="str">
        <f>_xlfn.XLOOKUP(C309,mfscreener.portfolio_holdings_v!$C:$C,mfscreener.portfolio_holdings_v!$D:$D)</f>
        <v>Equity</v>
      </c>
      <c r="F309" s="12">
        <v>2085.61</v>
      </c>
      <c r="G309" s="1">
        <v>0.62</v>
      </c>
      <c r="H309" s="1">
        <v>0.21029999999999999</v>
      </c>
      <c r="I309" s="9" t="s">
        <v>667</v>
      </c>
      <c r="J309" s="1" t="s">
        <v>668</v>
      </c>
      <c r="K309" s="1"/>
    </row>
    <row r="310" spans="1:11" ht="14">
      <c r="A310" s="20" t="s">
        <v>626</v>
      </c>
      <c r="B310" s="21" t="s">
        <v>642</v>
      </c>
      <c r="C310" s="21" t="s">
        <v>669</v>
      </c>
      <c r="D310" s="1" t="str">
        <f>_xlfn.XLOOKUP(C310,mfscreener.portfolio_holdings_v!$C:$C,mfscreener.portfolio_holdings_v!$E:$E)</f>
        <v>Manufacturing</v>
      </c>
      <c r="E310" s="1" t="str">
        <f>_xlfn.XLOOKUP(C310,mfscreener.portfolio_holdings_v!$C:$C,mfscreener.portfolio_holdings_v!$D:$D)</f>
        <v>Equity</v>
      </c>
      <c r="F310" s="12">
        <v>2441.4699999999998</v>
      </c>
      <c r="G310" s="1">
        <v>0.59</v>
      </c>
      <c r="H310" s="1">
        <v>0.37469999999999998</v>
      </c>
      <c r="I310" s="9" t="s">
        <v>670</v>
      </c>
      <c r="J310" s="1" t="s">
        <v>671</v>
      </c>
      <c r="K310" s="1"/>
    </row>
    <row r="311" spans="1:11" ht="14">
      <c r="A311" s="20" t="s">
        <v>626</v>
      </c>
      <c r="B311" s="21" t="s">
        <v>642</v>
      </c>
      <c r="C311" s="21" t="s">
        <v>672</v>
      </c>
      <c r="D311" s="1" t="str">
        <f>_xlfn.XLOOKUP(C311,mfscreener.portfolio_holdings_v!$C:$C,mfscreener.portfolio_holdings_v!$E:$E)</f>
        <v>Infrastructure</v>
      </c>
      <c r="E311" s="1" t="str">
        <f>_xlfn.XLOOKUP(C311,mfscreener.portfolio_holdings_v!$C:$C,mfscreener.portfolio_holdings_v!$D:$D)</f>
        <v>Equity</v>
      </c>
      <c r="F311" s="12">
        <v>2339.4699999999998</v>
      </c>
      <c r="G311" s="1">
        <v>0.69</v>
      </c>
      <c r="H311" s="1">
        <v>0.30719999999999997</v>
      </c>
      <c r="I311" s="9" t="s">
        <v>673</v>
      </c>
      <c r="J311" s="1">
        <v>20</v>
      </c>
      <c r="K311" s="1"/>
    </row>
    <row r="312" spans="1:11" ht="14">
      <c r="A312" s="20" t="s">
        <v>626</v>
      </c>
      <c r="B312" s="21" t="s">
        <v>642</v>
      </c>
      <c r="C312" s="21" t="s">
        <v>674</v>
      </c>
      <c r="D312" s="1" t="str">
        <f>_xlfn.XLOOKUP(C312,mfscreener.portfolio_holdings_v!$C:$C,mfscreener.portfolio_holdings_v!$E:$E)</f>
        <v>Business Cycle</v>
      </c>
      <c r="E312" s="1" t="str">
        <f>_xlfn.XLOOKUP(C312,mfscreener.portfolio_holdings_v!$C:$C,mfscreener.portfolio_holdings_v!$D:$D)</f>
        <v>Equity</v>
      </c>
      <c r="F312" s="12">
        <v>3066.68</v>
      </c>
      <c r="G312" s="1">
        <v>0.62</v>
      </c>
      <c r="H312" s="1">
        <v>0.23630000000000001</v>
      </c>
      <c r="I312" s="9" t="s">
        <v>675</v>
      </c>
      <c r="J312" s="1" t="s">
        <v>676</v>
      </c>
      <c r="K312" s="1"/>
    </row>
    <row r="313" spans="1:11" ht="14">
      <c r="A313" s="20" t="s">
        <v>626</v>
      </c>
      <c r="B313" s="21" t="s">
        <v>642</v>
      </c>
      <c r="C313" s="21" t="s">
        <v>677</v>
      </c>
      <c r="D313" s="1" t="str">
        <f>_xlfn.XLOOKUP(C313,mfscreener.portfolio_holdings_v!$C:$C,mfscreener.portfolio_holdings_v!$E:$E)</f>
        <v>Rural Opportunities</v>
      </c>
      <c r="E313" s="1" t="str">
        <f>_xlfn.XLOOKUP(C313,mfscreener.portfolio_holdings_v!$C:$C,mfscreener.portfolio_holdings_v!$D:$D)</f>
        <v>Equity</v>
      </c>
      <c r="F313" s="9">
        <v>837.12</v>
      </c>
      <c r="G313" s="1">
        <v>0.87</v>
      </c>
      <c r="H313" s="1">
        <v>3.7000000000000002E-3</v>
      </c>
      <c r="I313" s="9" t="s">
        <v>678</v>
      </c>
      <c r="J313" s="1" t="s">
        <v>679</v>
      </c>
      <c r="K313" s="1"/>
    </row>
    <row r="314" spans="1:11" ht="14">
      <c r="A314" s="20" t="s">
        <v>626</v>
      </c>
      <c r="B314" s="21" t="s">
        <v>642</v>
      </c>
      <c r="C314" s="21" t="s">
        <v>680</v>
      </c>
      <c r="D314" s="1" t="str">
        <f>_xlfn.XLOOKUP(C314,mfscreener.portfolio_holdings_v!$C:$C,mfscreener.portfolio_holdings_v!$E:$E)</f>
        <v>Transportation &amp; Logistics</v>
      </c>
      <c r="E314" s="1" t="str">
        <f>_xlfn.XLOOKUP(C314,mfscreener.portfolio_holdings_v!$C:$C,mfscreener.portfolio_holdings_v!$D:$D)</f>
        <v>Equity</v>
      </c>
      <c r="F314" s="9">
        <v>566.46</v>
      </c>
      <c r="G314" s="1">
        <v>0.83</v>
      </c>
      <c r="H314" s="1">
        <v>0.2233</v>
      </c>
      <c r="I314" s="9" t="s">
        <v>681</v>
      </c>
      <c r="J314" s="1" t="s">
        <v>682</v>
      </c>
      <c r="K314" s="1"/>
    </row>
    <row r="315" spans="1:11" ht="14">
      <c r="A315" s="20" t="s">
        <v>626</v>
      </c>
      <c r="B315" s="21" t="s">
        <v>642</v>
      </c>
      <c r="C315" s="21" t="s">
        <v>683</v>
      </c>
      <c r="D315" s="1" t="str">
        <f>_xlfn.XLOOKUP(C315,mfscreener.portfolio_holdings_v!$C:$C,mfscreener.portfolio_holdings_v!$E:$E)</f>
        <v>Special Opportunities</v>
      </c>
      <c r="E315" s="1" t="str">
        <f>_xlfn.XLOOKUP(C315,mfscreener.portfolio_holdings_v!$C:$C,mfscreener.portfolio_holdings_v!$D:$D)</f>
        <v>Equity</v>
      </c>
      <c r="F315" s="12">
        <v>1670.46</v>
      </c>
      <c r="G315" s="1">
        <v>0.77</v>
      </c>
      <c r="H315" s="1">
        <v>0.28510000000000002</v>
      </c>
      <c r="I315" s="9" t="s">
        <v>663</v>
      </c>
      <c r="J315" s="1" t="s">
        <v>647</v>
      </c>
      <c r="K315" s="1"/>
    </row>
    <row r="316" spans="1:11" ht="14">
      <c r="A316" s="20" t="s">
        <v>626</v>
      </c>
      <c r="B316" s="21" t="s">
        <v>642</v>
      </c>
      <c r="C316" s="21" t="s">
        <v>684</v>
      </c>
      <c r="D316" s="1" t="str">
        <f>_xlfn.XLOOKUP(C316,mfscreener.portfolio_holdings_v!$C:$C,mfscreener.portfolio_holdings_v!$E:$E)</f>
        <v>Quant</v>
      </c>
      <c r="E316" s="1" t="str">
        <f>_xlfn.XLOOKUP(C316,mfscreener.portfolio_holdings_v!$C:$C,mfscreener.portfolio_holdings_v!$D:$D)</f>
        <v>Equity</v>
      </c>
      <c r="F316" s="9">
        <v>560.97</v>
      </c>
      <c r="G316" s="1">
        <v>1.1599999999999999</v>
      </c>
      <c r="H316" s="1">
        <v>1.5127999999999999</v>
      </c>
      <c r="I316" s="9" t="s">
        <v>685</v>
      </c>
      <c r="J316" s="1" t="s">
        <v>686</v>
      </c>
      <c r="K316" s="1"/>
    </row>
    <row r="317" spans="1:11" ht="14">
      <c r="A317" s="20" t="s">
        <v>626</v>
      </c>
      <c r="B317" s="21" t="s">
        <v>642</v>
      </c>
      <c r="C317" s="21" t="s">
        <v>687</v>
      </c>
      <c r="D317" s="1" t="str">
        <f>_xlfn.XLOOKUP(C317,mfscreener.portfolio_holdings_v!$C:$C,mfscreener.portfolio_holdings_v!$E:$E)</f>
        <v>Focused / Opportunities</v>
      </c>
      <c r="E317" s="1" t="str">
        <f>_xlfn.XLOOKUP(C317,mfscreener.portfolio_holdings_v!$C:$C,mfscreener.portfolio_holdings_v!$D:$D)</f>
        <v>Equity</v>
      </c>
      <c r="F317" s="12">
        <v>3315.64</v>
      </c>
      <c r="G317" s="1">
        <v>0.48</v>
      </c>
      <c r="H317" s="1">
        <v>0.12180000000000001</v>
      </c>
      <c r="I317" s="9" t="s">
        <v>688</v>
      </c>
      <c r="J317" s="1">
        <v>16</v>
      </c>
      <c r="K317" s="1"/>
    </row>
    <row r="318" spans="1:11" ht="14.5">
      <c r="A318" s="20" t="s">
        <v>626</v>
      </c>
      <c r="B318" s="21" t="s">
        <v>642</v>
      </c>
      <c r="C318" s="21" t="s">
        <v>689</v>
      </c>
      <c r="D318" s="1" t="str">
        <f>_xlfn.XLOOKUP(C318,mfscreener.portfolio_holdings_v!$C:$C,mfscreener.portfolio_holdings_v!$E:$E)</f>
        <v>Focused</v>
      </c>
      <c r="E318" s="1" t="str">
        <f>_xlfn.XLOOKUP(C318,mfscreener.portfolio_holdings_v!$C:$C,mfscreener.portfolio_holdings_v!$D:$D)</f>
        <v>Equity</v>
      </c>
      <c r="F318" s="5">
        <v>3921.49</v>
      </c>
      <c r="G318" s="5">
        <v>0.55000000000000004</v>
      </c>
      <c r="H318" s="5">
        <v>0.17180000000000001</v>
      </c>
      <c r="I318" s="1" t="s">
        <v>690</v>
      </c>
      <c r="J318" s="5">
        <v>26</v>
      </c>
      <c r="K318" s="1"/>
    </row>
    <row r="319" spans="1:11" ht="14.5">
      <c r="A319" s="20" t="s">
        <v>626</v>
      </c>
      <c r="B319" s="21" t="s">
        <v>642</v>
      </c>
      <c r="C319" s="21" t="s">
        <v>691</v>
      </c>
      <c r="D319" s="1" t="str">
        <f>_xlfn.XLOOKUP(C319,mfscreener.portfolio_holdings_v!$C:$C,mfscreener.portfolio_holdings_v!$E:$E)</f>
        <v>ELSS</v>
      </c>
      <c r="E319" s="1" t="str">
        <f>_xlfn.XLOOKUP(C319,mfscreener.portfolio_holdings_v!$C:$C,mfscreener.portfolio_holdings_v!$D:$D)</f>
        <v>Equity</v>
      </c>
      <c r="F319" s="5">
        <v>6438.89</v>
      </c>
      <c r="G319" s="5">
        <v>0.62</v>
      </c>
      <c r="H319" s="5">
        <v>0.2233</v>
      </c>
      <c r="I319" s="2" t="s">
        <v>644</v>
      </c>
      <c r="J319" s="5">
        <v>29</v>
      </c>
      <c r="K319" s="1"/>
    </row>
    <row r="320" spans="1:11" ht="14">
      <c r="A320" s="20" t="s">
        <v>626</v>
      </c>
      <c r="B320" s="21" t="s">
        <v>642</v>
      </c>
      <c r="C320" s="21" t="s">
        <v>692</v>
      </c>
      <c r="D320" s="1" t="str">
        <f>_xlfn.XLOOKUP(C320,mfscreener.portfolio_holdings_v!$C:$C,mfscreener.portfolio_holdings_v!$E:$E)</f>
        <v>Momentum</v>
      </c>
      <c r="E320" s="1" t="str">
        <f>_xlfn.XLOOKUP(C320,mfscreener.portfolio_holdings_v!$C:$C,mfscreener.portfolio_holdings_v!$D:$D)</f>
        <v>Equity</v>
      </c>
      <c r="F320" s="12">
        <v>1383.08</v>
      </c>
      <c r="G320" s="1">
        <v>0.76</v>
      </c>
      <c r="H320" s="1">
        <v>0.66510000000000002</v>
      </c>
      <c r="I320" s="9" t="s">
        <v>693</v>
      </c>
      <c r="J320" s="1" t="s">
        <v>545</v>
      </c>
      <c r="K320" s="1"/>
    </row>
    <row r="321" spans="1:11" ht="14.5">
      <c r="A321" s="20" t="s">
        <v>626</v>
      </c>
      <c r="B321" s="21" t="s">
        <v>642</v>
      </c>
      <c r="C321" s="21" t="s">
        <v>694</v>
      </c>
      <c r="D321" s="1" t="str">
        <f>_xlfn.XLOOKUP(C321,mfscreener.portfolio_holdings_v!$C:$C,mfscreener.portfolio_holdings_v!$E:$E)</f>
        <v>Contra</v>
      </c>
      <c r="E321" s="1" t="str">
        <f>_xlfn.XLOOKUP(C321,mfscreener.portfolio_holdings_v!$C:$C,mfscreener.portfolio_holdings_v!$D:$D)</f>
        <v>Equity</v>
      </c>
      <c r="F321" s="5">
        <v>5038.8500000000004</v>
      </c>
      <c r="G321" s="5">
        <v>0.57999999999999996</v>
      </c>
      <c r="H321" s="5">
        <v>0.34179999999999999</v>
      </c>
      <c r="I321" s="1" t="s">
        <v>690</v>
      </c>
      <c r="J321" s="5">
        <v>26</v>
      </c>
      <c r="K321" s="1"/>
    </row>
    <row r="322" spans="1:11" ht="14">
      <c r="A322" s="20" t="s">
        <v>626</v>
      </c>
      <c r="B322" s="21" t="s">
        <v>642</v>
      </c>
      <c r="C322" s="21" t="s">
        <v>695</v>
      </c>
      <c r="D322" s="1" t="str">
        <f>_xlfn.XLOOKUP(C322,mfscreener.portfolio_holdings_v!$C:$C,mfscreener.portfolio_holdings_v!$E:$E)</f>
        <v>Balanced Advantage</v>
      </c>
      <c r="E322" s="1" t="str">
        <f>_xlfn.XLOOKUP(C322,mfscreener.portfolio_holdings_v!$C:$C,mfscreener.portfolio_holdings_v!$D:$D)</f>
        <v>Hybrid</v>
      </c>
      <c r="F322" s="12">
        <v>17834.23</v>
      </c>
      <c r="G322" s="1">
        <v>0.56999999999999995</v>
      </c>
      <c r="H322" s="1">
        <v>2.0775999999999999</v>
      </c>
      <c r="I322" s="9" t="s">
        <v>696</v>
      </c>
      <c r="J322" s="1" t="s">
        <v>697</v>
      </c>
      <c r="K322" s="1"/>
    </row>
    <row r="323" spans="1:11" ht="14">
      <c r="A323" s="20" t="s">
        <v>626</v>
      </c>
      <c r="B323" s="21" t="s">
        <v>642</v>
      </c>
      <c r="C323" s="21" t="s">
        <v>698</v>
      </c>
      <c r="D323" s="1" t="str">
        <f>_xlfn.XLOOKUP(C323,mfscreener.portfolio_holdings_v!$C:$C,mfscreener.portfolio_holdings_v!$E:$E)</f>
        <v>Aggressive Hybrid</v>
      </c>
      <c r="E323" s="1" t="str">
        <f>_xlfn.XLOOKUP(C323,mfscreener.portfolio_holdings_v!$C:$C,mfscreener.portfolio_holdings_v!$D:$D)</f>
        <v>Hybrid</v>
      </c>
      <c r="F323" s="12">
        <v>8436.76</v>
      </c>
      <c r="G323" s="1">
        <v>0.47</v>
      </c>
      <c r="H323" s="1">
        <v>0.50370000000000004</v>
      </c>
      <c r="I323" s="9" t="s">
        <v>1621</v>
      </c>
      <c r="J323" s="1" t="s">
        <v>682</v>
      </c>
      <c r="K323" s="1"/>
    </row>
    <row r="324" spans="1:11" ht="14">
      <c r="A324" s="20" t="s">
        <v>626</v>
      </c>
      <c r="B324" s="21" t="s">
        <v>642</v>
      </c>
      <c r="C324" s="21" t="s">
        <v>699</v>
      </c>
      <c r="D324" s="1" t="str">
        <f>_xlfn.XLOOKUP(C324,mfscreener.portfolio_holdings_v!$C:$C,mfscreener.portfolio_holdings_v!$E:$E)</f>
        <v>Equity Savings</v>
      </c>
      <c r="E324" s="1" t="str">
        <f>_xlfn.XLOOKUP(C324,mfscreener.portfolio_holdings_v!$C:$C,mfscreener.portfolio_holdings_v!$D:$D)</f>
        <v>Hybrid</v>
      </c>
      <c r="F324" s="12">
        <v>9523.18</v>
      </c>
      <c r="G324" s="1">
        <v>0.69</v>
      </c>
      <c r="H324" s="1">
        <v>4.6931000000000003</v>
      </c>
      <c r="I324" s="9" t="s">
        <v>1622</v>
      </c>
      <c r="J324" s="1" t="s">
        <v>700</v>
      </c>
      <c r="K324" s="1"/>
    </row>
    <row r="325" spans="1:11" ht="14">
      <c r="A325" s="20" t="s">
        <v>626</v>
      </c>
      <c r="B325" s="21" t="s">
        <v>701</v>
      </c>
      <c r="C325" s="21" t="s">
        <v>702</v>
      </c>
      <c r="D325" s="1" t="str">
        <f>_xlfn.XLOOKUP(C325,mfscreener.portfolio_holdings_v!$C:$C,mfscreener.portfolio_holdings_v!$E:$E)</f>
        <v>Arbitrage</v>
      </c>
      <c r="E325" s="1" t="str">
        <f>_xlfn.XLOOKUP(C325,mfscreener.portfolio_holdings_v!$C:$C,mfscreener.portfolio_holdings_v!$D:$D)</f>
        <v>Hybrid</v>
      </c>
      <c r="F325" s="4">
        <v>263.62</v>
      </c>
      <c r="G325" s="4">
        <v>0.28999999999999998</v>
      </c>
      <c r="H325" s="4">
        <v>1.46</v>
      </c>
      <c r="I325" s="1" t="s">
        <v>1600</v>
      </c>
      <c r="J325" s="1" t="s">
        <v>703</v>
      </c>
      <c r="K325" s="1"/>
    </row>
    <row r="326" spans="1:11" ht="14">
      <c r="A326" s="20" t="s">
        <v>626</v>
      </c>
      <c r="B326" s="21" t="s">
        <v>701</v>
      </c>
      <c r="C326" s="21" t="s">
        <v>704</v>
      </c>
      <c r="D326" s="1" t="str">
        <f>_xlfn.XLOOKUP(C326,mfscreener.portfolio_holdings_v!$C:$C,mfscreener.portfolio_holdings_v!$E:$E)</f>
        <v>Balanced Advantage</v>
      </c>
      <c r="E326" s="1" t="str">
        <f>_xlfn.XLOOKUP(C326,mfscreener.portfolio_holdings_v!$C:$C,mfscreener.portfolio_holdings_v!$D:$D)</f>
        <v>Hybrid</v>
      </c>
      <c r="F326" s="4">
        <v>746.43</v>
      </c>
      <c r="G326" s="4">
        <v>0.8</v>
      </c>
      <c r="H326" s="4">
        <v>0.71</v>
      </c>
      <c r="I326" s="1" t="s">
        <v>705</v>
      </c>
      <c r="J326" s="1" t="s">
        <v>706</v>
      </c>
      <c r="K326" s="1"/>
    </row>
    <row r="327" spans="1:11" ht="14">
      <c r="A327" s="20" t="s">
        <v>626</v>
      </c>
      <c r="B327" s="21" t="s">
        <v>701</v>
      </c>
      <c r="C327" s="21" t="s">
        <v>707</v>
      </c>
      <c r="D327" s="1" t="str">
        <f>_xlfn.XLOOKUP(C327,mfscreener.portfolio_holdings_v!$C:$C,mfscreener.portfolio_holdings_v!$E:$E)</f>
        <v>Aggressive Hybrid</v>
      </c>
      <c r="E327" s="1" t="str">
        <f>_xlfn.XLOOKUP(C327,mfscreener.portfolio_holdings_v!$C:$C,mfscreener.portfolio_holdings_v!$D:$D)</f>
        <v>Hybrid</v>
      </c>
      <c r="F327" s="4">
        <v>534.04999999999995</v>
      </c>
      <c r="G327" s="4">
        <v>1.4</v>
      </c>
      <c r="H327" s="4">
        <v>0.56999999999999995</v>
      </c>
      <c r="I327" s="1" t="s">
        <v>1601</v>
      </c>
      <c r="J327" s="1" t="s">
        <v>708</v>
      </c>
      <c r="K327" s="1"/>
    </row>
    <row r="328" spans="1:11" ht="14">
      <c r="A328" s="20" t="s">
        <v>626</v>
      </c>
      <c r="B328" s="21" t="s">
        <v>701</v>
      </c>
      <c r="C328" s="21" t="s">
        <v>709</v>
      </c>
      <c r="D328" s="1" t="str">
        <f>_xlfn.XLOOKUP(C328,mfscreener.portfolio_holdings_v!$C:$C,mfscreener.portfolio_holdings_v!$E:$E)</f>
        <v>Equity Savings</v>
      </c>
      <c r="E328" s="1" t="str">
        <f>_xlfn.XLOOKUP(C328,mfscreener.portfolio_holdings_v!$C:$C,mfscreener.portfolio_holdings_v!$D:$D)</f>
        <v>Hybrid</v>
      </c>
      <c r="F328" s="4">
        <v>36.479999999999997</v>
      </c>
      <c r="G328" s="4">
        <v>1.19</v>
      </c>
      <c r="H328" s="4">
        <v>0.63</v>
      </c>
      <c r="I328" s="1" t="s">
        <v>1600</v>
      </c>
      <c r="J328" s="1" t="s">
        <v>703</v>
      </c>
      <c r="K328" s="1"/>
    </row>
    <row r="329" spans="1:11" ht="14">
      <c r="A329" s="20" t="s">
        <v>626</v>
      </c>
      <c r="B329" s="21" t="s">
        <v>701</v>
      </c>
      <c r="C329" s="21" t="s">
        <v>710</v>
      </c>
      <c r="D329" s="1" t="str">
        <f>_xlfn.XLOOKUP(C329,mfscreener.portfolio_holdings_v!$C:$C,mfscreener.portfolio_holdings_v!$E:$E)</f>
        <v>Multi Asset Allocation</v>
      </c>
      <c r="E329" s="1" t="str">
        <f>_xlfn.XLOOKUP(C329,mfscreener.portfolio_holdings_v!$C:$C,mfscreener.portfolio_holdings_v!$D:$D)</f>
        <v>Hybrid</v>
      </c>
      <c r="F329" s="4">
        <v>868.42</v>
      </c>
      <c r="G329" s="4">
        <v>0.54</v>
      </c>
      <c r="H329" s="1"/>
      <c r="I329" s="1" t="s">
        <v>711</v>
      </c>
      <c r="J329" s="1" t="s">
        <v>712</v>
      </c>
      <c r="K329" s="1"/>
    </row>
    <row r="330" spans="1:11" ht="14.5">
      <c r="A330" s="20" t="s">
        <v>626</v>
      </c>
      <c r="B330" s="23" t="s">
        <v>701</v>
      </c>
      <c r="C330" s="23" t="s">
        <v>713</v>
      </c>
      <c r="D330" s="1" t="str">
        <f>_xlfn.XLOOKUP(C330,mfscreener.portfolio_holdings_v!$C:$C,mfscreener.portfolio_holdings_v!$E:$E)</f>
        <v>ELSS</v>
      </c>
      <c r="E330" s="1" t="str">
        <f>_xlfn.XLOOKUP(C330,mfscreener.portfolio_holdings_v!$C:$C,mfscreener.portfolio_holdings_v!$D:$D)</f>
        <v>Equity</v>
      </c>
      <c r="F330" s="4">
        <v>1094.76</v>
      </c>
      <c r="G330" s="4">
        <v>0.97</v>
      </c>
      <c r="H330" s="4">
        <v>0.1</v>
      </c>
      <c r="I330" s="1" t="s">
        <v>714</v>
      </c>
      <c r="J330" s="2" t="s">
        <v>226</v>
      </c>
      <c r="K330" s="1"/>
    </row>
    <row r="331" spans="1:11" ht="14.5">
      <c r="A331" s="20" t="s">
        <v>626</v>
      </c>
      <c r="B331" s="21" t="s">
        <v>701</v>
      </c>
      <c r="C331" s="21" t="s">
        <v>715</v>
      </c>
      <c r="D331" s="1" t="str">
        <f>_xlfn.XLOOKUP(C331,mfscreener.portfolio_holdings_v!$C:$C,mfscreener.portfolio_holdings_v!$E:$E)</f>
        <v>Flexi Cap</v>
      </c>
      <c r="E331" s="1" t="str">
        <f>_xlfn.XLOOKUP(C331,mfscreener.portfolio_holdings_v!$C:$C,mfscreener.portfolio_holdings_v!$D:$D)</f>
        <v>Equity</v>
      </c>
      <c r="F331" s="4">
        <v>1055.53</v>
      </c>
      <c r="G331" s="4">
        <v>1.34</v>
      </c>
      <c r="H331" s="4">
        <v>0.97</v>
      </c>
      <c r="I331" s="1" t="s">
        <v>716</v>
      </c>
      <c r="J331" s="2" t="s">
        <v>568</v>
      </c>
      <c r="K331" s="1"/>
    </row>
    <row r="332" spans="1:11" ht="14.5">
      <c r="A332" s="20" t="s">
        <v>626</v>
      </c>
      <c r="B332" s="21" t="s">
        <v>701</v>
      </c>
      <c r="C332" s="21" t="s">
        <v>717</v>
      </c>
      <c r="D332" s="1" t="str">
        <f>_xlfn.XLOOKUP(C332,mfscreener.portfolio_holdings_v!$C:$C,mfscreener.portfolio_holdings_v!$E:$E)</f>
        <v>Focused</v>
      </c>
      <c r="E332" s="1" t="str">
        <f>_xlfn.XLOOKUP(C332,mfscreener.portfolio_holdings_v!$C:$C,mfscreener.portfolio_holdings_v!$D:$D)</f>
        <v>Equity</v>
      </c>
      <c r="F332" s="4">
        <v>171.09</v>
      </c>
      <c r="G332" s="4">
        <v>1.58</v>
      </c>
      <c r="H332" s="4">
        <v>0.77</v>
      </c>
      <c r="I332" s="1" t="s">
        <v>718</v>
      </c>
      <c r="J332" s="2" t="s">
        <v>719</v>
      </c>
      <c r="K332" s="1"/>
    </row>
    <row r="333" spans="1:11" ht="14.5">
      <c r="A333" s="20" t="s">
        <v>626</v>
      </c>
      <c r="B333" s="21" t="s">
        <v>701</v>
      </c>
      <c r="C333" s="21" t="s">
        <v>720</v>
      </c>
      <c r="D333" s="1" t="str">
        <f>_xlfn.XLOOKUP(C333,mfscreener.portfolio_holdings_v!$C:$C,mfscreener.portfolio_holdings_v!$E:$E)</f>
        <v>Large Cap</v>
      </c>
      <c r="E333" s="1" t="str">
        <f>_xlfn.XLOOKUP(C333,mfscreener.portfolio_holdings_v!$C:$C,mfscreener.portfolio_holdings_v!$D:$D)</f>
        <v>Equity</v>
      </c>
      <c r="F333" s="4">
        <v>1487.1</v>
      </c>
      <c r="G333" s="4">
        <v>1.02</v>
      </c>
      <c r="H333" s="4">
        <v>0.5</v>
      </c>
      <c r="I333" s="1" t="s">
        <v>721</v>
      </c>
      <c r="J333" s="2" t="s">
        <v>722</v>
      </c>
      <c r="K333" s="1"/>
    </row>
    <row r="334" spans="1:11" ht="14.5">
      <c r="A334" s="20" t="s">
        <v>626</v>
      </c>
      <c r="B334" s="21" t="s">
        <v>701</v>
      </c>
      <c r="C334" s="21" t="s">
        <v>723</v>
      </c>
      <c r="D334" s="1" t="str">
        <f>_xlfn.XLOOKUP(C334,mfscreener.portfolio_holdings_v!$C:$C,mfscreener.portfolio_holdings_v!$E:$E)</f>
        <v>Large &amp; Mid Cap</v>
      </c>
      <c r="E334" s="1" t="str">
        <f>_xlfn.XLOOKUP(C334,mfscreener.portfolio_holdings_v!$C:$C,mfscreener.portfolio_holdings_v!$D:$D)</f>
        <v>Equity</v>
      </c>
      <c r="F334" s="4">
        <v>3103.95</v>
      </c>
      <c r="G334" s="4">
        <v>0.57999999999999996</v>
      </c>
      <c r="H334" s="4">
        <v>0.43</v>
      </c>
      <c r="I334" s="1" t="s">
        <v>714</v>
      </c>
      <c r="J334" s="2" t="s">
        <v>226</v>
      </c>
      <c r="K334" s="1"/>
    </row>
    <row r="335" spans="1:11" ht="14.5">
      <c r="A335" s="20" t="s">
        <v>626</v>
      </c>
      <c r="B335" s="21" t="s">
        <v>701</v>
      </c>
      <c r="C335" s="21" t="s">
        <v>724</v>
      </c>
      <c r="D335" s="1" t="str">
        <f>_xlfn.XLOOKUP(C335,mfscreener.portfolio_holdings_v!$C:$C,mfscreener.portfolio_holdings_v!$E:$E)</f>
        <v>Mid Cap</v>
      </c>
      <c r="E335" s="1" t="str">
        <f>_xlfn.XLOOKUP(C335,mfscreener.portfolio_holdings_v!$C:$C,mfscreener.portfolio_holdings_v!$D:$D)</f>
        <v>Equity</v>
      </c>
      <c r="F335" s="4">
        <v>344.06</v>
      </c>
      <c r="G335" s="4">
        <v>1.44</v>
      </c>
      <c r="H335" s="4">
        <v>0.42</v>
      </c>
      <c r="I335" s="1" t="s">
        <v>725</v>
      </c>
      <c r="J335" s="2" t="s">
        <v>726</v>
      </c>
      <c r="K335" s="1"/>
    </row>
    <row r="336" spans="1:11" ht="14.5">
      <c r="A336" s="20" t="s">
        <v>626</v>
      </c>
      <c r="B336" s="21" t="s">
        <v>701</v>
      </c>
      <c r="C336" s="21" t="s">
        <v>727</v>
      </c>
      <c r="D336" s="1" t="str">
        <f>_xlfn.XLOOKUP(C336,mfscreener.portfolio_holdings_v!$C:$C,mfscreener.portfolio_holdings_v!$E:$E)</f>
        <v>Multi Cap</v>
      </c>
      <c r="E336" s="1" t="str">
        <f>_xlfn.XLOOKUP(C336,mfscreener.portfolio_holdings_v!$C:$C,mfscreener.portfolio_holdings_v!$D:$D)</f>
        <v>Equity</v>
      </c>
      <c r="F336" s="4">
        <v>1809.78</v>
      </c>
      <c r="G336" s="4">
        <v>0.46</v>
      </c>
      <c r="H336" s="4">
        <v>0.3</v>
      </c>
      <c r="I336" s="1" t="s">
        <v>714</v>
      </c>
      <c r="J336" s="2" t="s">
        <v>226</v>
      </c>
      <c r="K336" s="1"/>
    </row>
    <row r="337" spans="1:11" ht="14.5">
      <c r="A337" s="20" t="s">
        <v>626</v>
      </c>
      <c r="B337" s="21" t="s">
        <v>701</v>
      </c>
      <c r="C337" s="21" t="s">
        <v>728</v>
      </c>
      <c r="D337" s="1" t="str">
        <f>_xlfn.XLOOKUP(C337,mfscreener.portfolio_holdings_v!$C:$C,mfscreener.portfolio_holdings_v!$E:$E)</f>
        <v>Small Cap</v>
      </c>
      <c r="E337" s="1" t="str">
        <f>_xlfn.XLOOKUP(C337,mfscreener.portfolio_holdings_v!$C:$C,mfscreener.portfolio_holdings_v!$D:$D)</f>
        <v>Equity</v>
      </c>
      <c r="F337" s="4">
        <v>609.76</v>
      </c>
      <c r="G337" s="4">
        <v>1.03</v>
      </c>
      <c r="H337" s="4">
        <v>0.74</v>
      </c>
      <c r="I337" s="1" t="s">
        <v>729</v>
      </c>
      <c r="J337" s="2" t="s">
        <v>730</v>
      </c>
      <c r="K337" s="1"/>
    </row>
    <row r="338" spans="1:11" ht="14.5">
      <c r="A338" s="20"/>
      <c r="B338" s="21" t="s">
        <v>701</v>
      </c>
      <c r="C338" s="21" t="s">
        <v>731</v>
      </c>
      <c r="D338" s="1" t="str">
        <f>_xlfn.XLOOKUP(C338,mfscreener.portfolio_holdings_v!$C:$C,mfscreener.portfolio_holdings_v!$E:$E)</f>
        <v>Value</v>
      </c>
      <c r="E338" s="1" t="str">
        <f>_xlfn.XLOOKUP(C338,mfscreener.portfolio_holdings_v!$C:$C,mfscreener.portfolio_holdings_v!$D:$D)</f>
        <v>Equity</v>
      </c>
      <c r="F338" s="4">
        <v>200.1</v>
      </c>
      <c r="G338" s="4">
        <v>1.35</v>
      </c>
      <c r="H338" s="4">
        <v>1.55</v>
      </c>
      <c r="I338" s="1" t="s">
        <v>721</v>
      </c>
      <c r="J338" s="2" t="s">
        <v>722</v>
      </c>
      <c r="K338" s="1"/>
    </row>
    <row r="339" spans="1:11" ht="14">
      <c r="A339" s="20" t="s">
        <v>626</v>
      </c>
      <c r="B339" s="21" t="s">
        <v>701</v>
      </c>
      <c r="C339" s="21" t="s">
        <v>732</v>
      </c>
      <c r="D339" s="1" t="str">
        <f>_xlfn.XLOOKUP(C339,mfscreener.portfolio_holdings_v!$C:$C,mfscreener.portfolio_holdings_v!$E:$E)</f>
        <v>Banking &amp; Financial Services</v>
      </c>
      <c r="E339" s="1" t="str">
        <f>_xlfn.XLOOKUP(C339,mfscreener.portfolio_holdings_v!$C:$C,mfscreener.portfolio_holdings_v!$D:$D)</f>
        <v>Equity</v>
      </c>
      <c r="F339" s="4">
        <v>279.20999999999998</v>
      </c>
      <c r="G339" s="4">
        <v>1.1599999999999999</v>
      </c>
      <c r="H339" s="4">
        <v>0.43</v>
      </c>
      <c r="I339" s="1" t="s">
        <v>733</v>
      </c>
      <c r="J339" s="4">
        <v>17</v>
      </c>
      <c r="K339" s="1"/>
    </row>
    <row r="340" spans="1:11" ht="14.5">
      <c r="A340" s="20" t="s">
        <v>626</v>
      </c>
      <c r="B340" s="21" t="s">
        <v>701</v>
      </c>
      <c r="C340" s="21" t="s">
        <v>734</v>
      </c>
      <c r="D340" s="1" t="str">
        <f>_xlfn.XLOOKUP(C340,mfscreener.portfolio_holdings_v!$C:$C,mfscreener.portfolio_holdings_v!$E:$E)</f>
        <v>Consumption</v>
      </c>
      <c r="E340" s="1" t="str">
        <f>_xlfn.XLOOKUP(C340,mfscreener.portfolio_holdings_v!$C:$C,mfscreener.portfolio_holdings_v!$D:$D)</f>
        <v>Equity</v>
      </c>
      <c r="F340" s="4">
        <v>526.33000000000004</v>
      </c>
      <c r="G340" s="4">
        <v>0.6</v>
      </c>
      <c r="H340" s="1"/>
      <c r="I340" s="1" t="s">
        <v>735</v>
      </c>
      <c r="J340" s="2" t="s">
        <v>736</v>
      </c>
      <c r="K340" s="1"/>
    </row>
    <row r="341" spans="1:11" ht="14.5">
      <c r="A341" s="20" t="s">
        <v>626</v>
      </c>
      <c r="B341" s="21" t="s">
        <v>701</v>
      </c>
      <c r="C341" s="21" t="s">
        <v>737</v>
      </c>
      <c r="D341" s="1" t="str">
        <f>_xlfn.XLOOKUP(C341,mfscreener.portfolio_holdings_v!$C:$C,mfscreener.portfolio_holdings_v!$E:$E)</f>
        <v>Dividend Yield</v>
      </c>
      <c r="E341" s="1" t="str">
        <f>_xlfn.XLOOKUP(C341,mfscreener.portfolio_holdings_v!$C:$C,mfscreener.portfolio_holdings_v!$D:$D)</f>
        <v>Equity</v>
      </c>
      <c r="F341" s="4">
        <v>685.45</v>
      </c>
      <c r="G341" s="4">
        <v>0.72</v>
      </c>
      <c r="H341" s="4">
        <v>0.54</v>
      </c>
      <c r="I341" s="1" t="s">
        <v>725</v>
      </c>
      <c r="J341" s="2" t="s">
        <v>726</v>
      </c>
      <c r="K341" s="1"/>
    </row>
    <row r="342" spans="1:11" ht="14">
      <c r="A342" s="20" t="s">
        <v>626</v>
      </c>
      <c r="B342" s="21" t="s">
        <v>701</v>
      </c>
      <c r="C342" s="21" t="s">
        <v>738</v>
      </c>
      <c r="D342" s="1" t="str">
        <f>_xlfn.XLOOKUP(C342,mfscreener.portfolio_holdings_v!$C:$C,mfscreener.portfolio_holdings_v!$E:$E)</f>
        <v>Healthcare</v>
      </c>
      <c r="E342" s="1" t="str">
        <f>_xlfn.XLOOKUP(C342,mfscreener.portfolio_holdings_v!$C:$C,mfscreener.portfolio_holdings_v!$D:$D)</f>
        <v>Equity</v>
      </c>
      <c r="F342" s="4">
        <v>83.68</v>
      </c>
      <c r="G342" s="4">
        <v>1.22</v>
      </c>
      <c r="H342" s="4">
        <v>0.43</v>
      </c>
      <c r="I342" s="1" t="s">
        <v>739</v>
      </c>
      <c r="J342" s="4">
        <v>11</v>
      </c>
      <c r="K342" s="1"/>
    </row>
    <row r="343" spans="1:11" ht="14.5">
      <c r="A343" s="20" t="s">
        <v>626</v>
      </c>
      <c r="B343" s="21" t="s">
        <v>701</v>
      </c>
      <c r="C343" s="21" t="s">
        <v>740</v>
      </c>
      <c r="D343" s="1" t="str">
        <f>_xlfn.XLOOKUP(C343,mfscreener.portfolio_holdings_v!$C:$C,mfscreener.portfolio_holdings_v!$E:$E)</f>
        <v>Infrastructure</v>
      </c>
      <c r="E343" s="1" t="str">
        <f>_xlfn.XLOOKUP(C343,mfscreener.portfolio_holdings_v!$C:$C,mfscreener.portfolio_holdings_v!$D:$D)</f>
        <v>Equity</v>
      </c>
      <c r="F343" s="7">
        <v>1000.64</v>
      </c>
      <c r="G343" s="4">
        <v>0.83</v>
      </c>
      <c r="H343" s="4">
        <v>0.63</v>
      </c>
      <c r="I343" s="1" t="s">
        <v>714</v>
      </c>
      <c r="J343" s="2" t="s">
        <v>226</v>
      </c>
      <c r="K343" s="1"/>
    </row>
    <row r="344" spans="1:11" ht="14.5">
      <c r="A344" s="20" t="s">
        <v>626</v>
      </c>
      <c r="B344" s="21" t="s">
        <v>701</v>
      </c>
      <c r="C344" s="21" t="s">
        <v>741</v>
      </c>
      <c r="D344" s="1" t="str">
        <f>_xlfn.XLOOKUP(C344,mfscreener.portfolio_holdings_v!$C:$C,mfscreener.portfolio_holdings_v!$E:$E)</f>
        <v>Manufacturing</v>
      </c>
      <c r="E344" s="1" t="str">
        <f>_xlfn.XLOOKUP(C344,mfscreener.portfolio_holdings_v!$C:$C,mfscreener.portfolio_holdings_v!$D:$D)</f>
        <v>Equity</v>
      </c>
      <c r="F344" s="4">
        <v>755.78</v>
      </c>
      <c r="G344" s="4">
        <v>0.69</v>
      </c>
      <c r="H344" s="4">
        <v>0.67</v>
      </c>
      <c r="I344" s="1" t="s">
        <v>714</v>
      </c>
      <c r="J344" s="2" t="s">
        <v>226</v>
      </c>
      <c r="K344" s="1"/>
    </row>
    <row r="345" spans="1:11" ht="14.5">
      <c r="A345" s="20" t="s">
        <v>626</v>
      </c>
      <c r="B345" s="21" t="s">
        <v>701</v>
      </c>
      <c r="C345" s="21" t="s">
        <v>742</v>
      </c>
      <c r="D345" s="1" t="str">
        <f>_xlfn.XLOOKUP(C345,mfscreener.portfolio_holdings_v!$C:$C,mfscreener.portfolio_holdings_v!$E:$E)</f>
        <v>Children's Fund</v>
      </c>
      <c r="E345" s="1" t="str">
        <f>_xlfn.XLOOKUP(C345,mfscreener.portfolio_holdings_v!$C:$C,mfscreener.portfolio_holdings_v!$D:$D)</f>
        <v>Equity</v>
      </c>
      <c r="F345" s="4">
        <v>15.46</v>
      </c>
      <c r="G345" s="4">
        <v>1.63</v>
      </c>
      <c r="H345" s="4">
        <v>0.94</v>
      </c>
      <c r="I345" s="1" t="s">
        <v>743</v>
      </c>
      <c r="J345" s="2" t="s">
        <v>744</v>
      </c>
      <c r="K345" s="1"/>
    </row>
    <row r="346" spans="1:11" ht="14.5">
      <c r="A346" s="20" t="s">
        <v>626</v>
      </c>
      <c r="B346" s="21" t="s">
        <v>745</v>
      </c>
      <c r="C346" s="21" t="s">
        <v>746</v>
      </c>
      <c r="D346" s="1" t="str">
        <f>_xlfn.XLOOKUP(C346,mfscreener.portfolio_holdings_v!$C:$C,mfscreener.portfolio_holdings_v!$E:$E)</f>
        <v>Large Cap</v>
      </c>
      <c r="E346" s="1" t="str">
        <f>_xlfn.XLOOKUP(C346,mfscreener.portfolio_holdings_v!$C:$C,mfscreener.portfolio_holdings_v!$D:$D)</f>
        <v>Equity</v>
      </c>
      <c r="F346" s="9">
        <v>749.26</v>
      </c>
      <c r="G346" s="5">
        <v>0.63</v>
      </c>
      <c r="H346" s="5">
        <v>0.4</v>
      </c>
      <c r="I346" s="1" t="s">
        <v>747</v>
      </c>
      <c r="J346" s="1" t="s">
        <v>281</v>
      </c>
      <c r="K346" s="1"/>
    </row>
    <row r="347" spans="1:11" ht="14.5">
      <c r="A347" s="20" t="s">
        <v>626</v>
      </c>
      <c r="B347" s="21" t="s">
        <v>745</v>
      </c>
      <c r="C347" s="21" t="s">
        <v>748</v>
      </c>
      <c r="D347" s="1" t="str">
        <f>_xlfn.XLOOKUP(C347,mfscreener.portfolio_holdings_v!$C:$C,mfscreener.portfolio_holdings_v!$E:$E)</f>
        <v>Large &amp; Mid Cap</v>
      </c>
      <c r="E347" s="1" t="str">
        <f>_xlfn.XLOOKUP(C347,mfscreener.portfolio_holdings_v!$C:$C,mfscreener.portfolio_holdings_v!$D:$D)</f>
        <v>Equity</v>
      </c>
      <c r="F347" s="12">
        <v>2759.11</v>
      </c>
      <c r="G347" s="5">
        <v>0.45</v>
      </c>
      <c r="H347" s="5">
        <v>1.1100000000000001</v>
      </c>
      <c r="I347" s="1" t="s">
        <v>749</v>
      </c>
      <c r="J347" s="1">
        <v>18</v>
      </c>
      <c r="K347" s="1"/>
    </row>
    <row r="348" spans="1:11" ht="14.5">
      <c r="A348" s="20" t="s">
        <v>626</v>
      </c>
      <c r="B348" s="21" t="s">
        <v>745</v>
      </c>
      <c r="C348" s="21" t="s">
        <v>750</v>
      </c>
      <c r="D348" s="1" t="str">
        <f>_xlfn.XLOOKUP(C348,mfscreener.portfolio_holdings_v!$C:$C,mfscreener.portfolio_holdings_v!$E:$E)</f>
        <v>Mid Cap</v>
      </c>
      <c r="E348" s="1" t="str">
        <f>_xlfn.XLOOKUP(C348,mfscreener.portfolio_holdings_v!$C:$C,mfscreener.portfolio_holdings_v!$D:$D)</f>
        <v>Equity</v>
      </c>
      <c r="F348" s="12">
        <v>4231.88</v>
      </c>
      <c r="G348" s="5">
        <v>0.45</v>
      </c>
      <c r="H348" s="5">
        <v>0.63</v>
      </c>
      <c r="I348" s="1" t="s">
        <v>751</v>
      </c>
      <c r="J348" s="2" t="s">
        <v>752</v>
      </c>
      <c r="K348" s="1"/>
    </row>
    <row r="349" spans="1:11" ht="14.5">
      <c r="A349" s="20" t="s">
        <v>626</v>
      </c>
      <c r="B349" s="21" t="s">
        <v>745</v>
      </c>
      <c r="C349" s="21" t="s">
        <v>753</v>
      </c>
      <c r="D349" s="1" t="str">
        <f>_xlfn.XLOOKUP(C349,mfscreener.portfolio_holdings_v!$C:$C,mfscreener.portfolio_holdings_v!$E:$E)</f>
        <v>Small Cap</v>
      </c>
      <c r="E349" s="1" t="str">
        <f>_xlfn.XLOOKUP(C349,mfscreener.portfolio_holdings_v!$C:$C,mfscreener.portfolio_holdings_v!$D:$D)</f>
        <v>Equity</v>
      </c>
      <c r="F349" s="12">
        <v>4182.33</v>
      </c>
      <c r="G349" s="5">
        <v>0.42</v>
      </c>
      <c r="H349" s="5">
        <v>1.08</v>
      </c>
      <c r="I349" s="1" t="s">
        <v>754</v>
      </c>
      <c r="J349" s="2" t="s">
        <v>755</v>
      </c>
      <c r="K349" s="1"/>
    </row>
    <row r="350" spans="1:11" ht="14.5">
      <c r="A350" s="20" t="s">
        <v>626</v>
      </c>
      <c r="B350" s="21" t="s">
        <v>745</v>
      </c>
      <c r="C350" s="21" t="s">
        <v>756</v>
      </c>
      <c r="D350" s="1" t="str">
        <f>_xlfn.XLOOKUP(C350,mfscreener.portfolio_holdings_v!$C:$C,mfscreener.portfolio_holdings_v!$E:$E)</f>
        <v>Flexi Cap</v>
      </c>
      <c r="E350" s="1" t="str">
        <f>_xlfn.XLOOKUP(C350,mfscreener.portfolio_holdings_v!$C:$C,mfscreener.portfolio_holdings_v!$D:$D)</f>
        <v>Equity</v>
      </c>
      <c r="F350" s="12">
        <v>1593.79</v>
      </c>
      <c r="G350" s="5">
        <v>0.43</v>
      </c>
      <c r="H350" s="5">
        <v>0.54</v>
      </c>
      <c r="I350" s="1" t="s">
        <v>757</v>
      </c>
      <c r="J350" s="5">
        <v>18</v>
      </c>
      <c r="K350" s="1"/>
    </row>
    <row r="351" spans="1:11" ht="14.5">
      <c r="A351" s="20" t="s">
        <v>626</v>
      </c>
      <c r="B351" s="21" t="s">
        <v>745</v>
      </c>
      <c r="C351" s="21" t="s">
        <v>758</v>
      </c>
      <c r="D351" s="1" t="str">
        <f>_xlfn.XLOOKUP(C351,mfscreener.portfolio_holdings_v!$C:$C,mfscreener.portfolio_holdings_v!$E:$E)</f>
        <v>Multi Cap</v>
      </c>
      <c r="E351" s="1" t="str">
        <f>_xlfn.XLOOKUP(C351,mfscreener.portfolio_holdings_v!$C:$C,mfscreener.portfolio_holdings_v!$D:$D)</f>
        <v>Equity</v>
      </c>
      <c r="F351" s="12">
        <v>6068.77</v>
      </c>
      <c r="G351" s="5">
        <v>0.4</v>
      </c>
      <c r="H351" s="5">
        <v>1.01</v>
      </c>
      <c r="I351" s="1" t="s">
        <v>759</v>
      </c>
      <c r="J351" s="2" t="s">
        <v>760</v>
      </c>
      <c r="K351" s="1"/>
    </row>
    <row r="352" spans="1:11" ht="14.5">
      <c r="A352" s="20" t="s">
        <v>626</v>
      </c>
      <c r="B352" s="21" t="s">
        <v>745</v>
      </c>
      <c r="C352" s="21" t="s">
        <v>761</v>
      </c>
      <c r="D352" s="1" t="str">
        <f>_xlfn.XLOOKUP(C352,mfscreener.portfolio_holdings_v!$C:$C,mfscreener.portfolio_holdings_v!$E:$E)</f>
        <v>Value</v>
      </c>
      <c r="E352" s="1" t="str">
        <f>_xlfn.XLOOKUP(C352,mfscreener.portfolio_holdings_v!$C:$C,mfscreener.portfolio_holdings_v!$D:$D)</f>
        <v>Equity</v>
      </c>
      <c r="F352" s="5">
        <v>639.36</v>
      </c>
      <c r="G352" s="5">
        <v>0.52</v>
      </c>
      <c r="H352" s="2"/>
      <c r="I352" s="1" t="s">
        <v>751</v>
      </c>
      <c r="J352" s="2" t="s">
        <v>752</v>
      </c>
      <c r="K352" s="1"/>
    </row>
    <row r="353" spans="1:11" ht="14.5">
      <c r="A353" s="20" t="s">
        <v>626</v>
      </c>
      <c r="B353" s="21" t="s">
        <v>745</v>
      </c>
      <c r="C353" s="21" t="s">
        <v>762</v>
      </c>
      <c r="D353" s="1" t="str">
        <f>_xlfn.XLOOKUP(C353,mfscreener.portfolio_holdings_v!$C:$C,mfscreener.portfolio_holdings_v!$E:$E)</f>
        <v>Focused</v>
      </c>
      <c r="E353" s="1" t="str">
        <f>_xlfn.XLOOKUP(C353,mfscreener.portfolio_holdings_v!$C:$C,mfscreener.portfolio_holdings_v!$D:$D)</f>
        <v>Equity</v>
      </c>
      <c r="F353" s="5">
        <v>2216.46</v>
      </c>
      <c r="G353" s="5">
        <v>0.4</v>
      </c>
      <c r="H353" s="5">
        <v>0.39</v>
      </c>
      <c r="I353" s="1" t="s">
        <v>763</v>
      </c>
      <c r="J353" s="2" t="s">
        <v>764</v>
      </c>
      <c r="K353" s="1"/>
    </row>
    <row r="354" spans="1:11" ht="14.5">
      <c r="A354" s="20" t="s">
        <v>626</v>
      </c>
      <c r="B354" s="21" t="s">
        <v>745</v>
      </c>
      <c r="C354" s="21" t="s">
        <v>765</v>
      </c>
      <c r="D354" s="1" t="str">
        <f>_xlfn.XLOOKUP(C354,mfscreener.portfolio_holdings_v!$C:$C,mfscreener.portfolio_holdings_v!$E:$E)</f>
        <v>ELSS</v>
      </c>
      <c r="E354" s="1" t="str">
        <f>_xlfn.XLOOKUP(C354,mfscreener.portfolio_holdings_v!$C:$C,mfscreener.portfolio_holdings_v!$D:$D)</f>
        <v>Equity</v>
      </c>
      <c r="F354" s="9">
        <v>973.67</v>
      </c>
      <c r="G354" s="5">
        <v>0.6</v>
      </c>
      <c r="H354" s="5">
        <v>0.56000000000000005</v>
      </c>
      <c r="I354" s="1" t="s">
        <v>757</v>
      </c>
      <c r="J354" s="5">
        <v>18</v>
      </c>
      <c r="K354" s="1"/>
    </row>
    <row r="355" spans="1:11" ht="14">
      <c r="A355" s="20" t="s">
        <v>626</v>
      </c>
      <c r="B355" s="21" t="s">
        <v>745</v>
      </c>
      <c r="C355" s="21" t="s">
        <v>766</v>
      </c>
      <c r="D355" s="1" t="s">
        <v>1459</v>
      </c>
      <c r="E355" s="1" t="str">
        <f>_xlfn.XLOOKUP(C355,mfscreener.portfolio_holdings_v!$C:$C,mfscreener.portfolio_holdings_v!$D:$D)</f>
        <v>Equity</v>
      </c>
      <c r="F355" s="9">
        <v>558.29</v>
      </c>
      <c r="G355" s="1">
        <v>0.63</v>
      </c>
      <c r="H355" s="1">
        <v>0.26</v>
      </c>
      <c r="I355" s="9" t="s">
        <v>767</v>
      </c>
      <c r="J355" s="1" t="s">
        <v>598</v>
      </c>
      <c r="K355" s="1"/>
    </row>
    <row r="356" spans="1:11" ht="14">
      <c r="A356" s="20" t="s">
        <v>626</v>
      </c>
      <c r="B356" s="21" t="s">
        <v>745</v>
      </c>
      <c r="C356" s="21" t="s">
        <v>768</v>
      </c>
      <c r="D356" s="1" t="s">
        <v>1589</v>
      </c>
      <c r="E356" s="1" t="str">
        <f>_xlfn.XLOOKUP(C356,mfscreener.portfolio_holdings_v!$C:$C,mfscreener.portfolio_holdings_v!$D:$D)</f>
        <v>Equity</v>
      </c>
      <c r="F356" s="9">
        <v>744.49</v>
      </c>
      <c r="G356" s="1">
        <v>0.76</v>
      </c>
      <c r="H356" s="1">
        <v>0.21</v>
      </c>
      <c r="I356" s="9" t="s">
        <v>769</v>
      </c>
      <c r="J356" s="1" t="s">
        <v>770</v>
      </c>
      <c r="K356" s="1"/>
    </row>
    <row r="357" spans="1:11" ht="14">
      <c r="A357" s="20" t="s">
        <v>626</v>
      </c>
      <c r="B357" s="21" t="s">
        <v>745</v>
      </c>
      <c r="C357" s="21" t="s">
        <v>771</v>
      </c>
      <c r="D357" s="1" t="s">
        <v>1438</v>
      </c>
      <c r="E357" s="1" t="str">
        <f>_xlfn.XLOOKUP(C357,mfscreener.portfolio_holdings_v!$C:$C,mfscreener.portfolio_holdings_v!$D:$D)</f>
        <v>Equity</v>
      </c>
      <c r="F357" s="9">
        <v>369.99</v>
      </c>
      <c r="G357" s="1">
        <v>0.55000000000000004</v>
      </c>
      <c r="H357" s="1"/>
      <c r="I357" s="9" t="s">
        <v>772</v>
      </c>
      <c r="J357" s="24">
        <v>46251</v>
      </c>
      <c r="K357" s="1"/>
    </row>
    <row r="358" spans="1:11" ht="14.5">
      <c r="A358" s="20" t="s">
        <v>626</v>
      </c>
      <c r="B358" s="21" t="s">
        <v>745</v>
      </c>
      <c r="C358" s="21" t="s">
        <v>773</v>
      </c>
      <c r="D358" s="1" t="s">
        <v>1444</v>
      </c>
      <c r="E358" s="1" t="str">
        <f>_xlfn.XLOOKUP(C358,mfscreener.portfolio_holdings_v!$C:$C,mfscreener.portfolio_holdings_v!$D:$D)</f>
        <v>Equity</v>
      </c>
      <c r="F358" s="12">
        <v>1292.1199999999999</v>
      </c>
      <c r="G358" s="1">
        <v>0.49</v>
      </c>
      <c r="H358" s="1">
        <v>0.76</v>
      </c>
      <c r="I358" s="1" t="s">
        <v>774</v>
      </c>
      <c r="J358" s="2" t="s">
        <v>775</v>
      </c>
      <c r="K358" s="1"/>
    </row>
    <row r="359" spans="1:11" ht="14">
      <c r="A359" s="20" t="s">
        <v>626</v>
      </c>
      <c r="B359" s="21" t="s">
        <v>745</v>
      </c>
      <c r="C359" s="21" t="s">
        <v>776</v>
      </c>
      <c r="D359" s="1" t="str">
        <f>_xlfn.XLOOKUP(C359,mfscreener.portfolio_holdings_v!$C:$C,mfscreener.portfolio_holdings_v!$E:$E)</f>
        <v>Aggressive Hybrid</v>
      </c>
      <c r="E359" s="1" t="str">
        <f>_xlfn.XLOOKUP(C359,mfscreener.portfolio_holdings_v!$C:$C,mfscreener.portfolio_holdings_v!$D:$D)</f>
        <v>Hybrid</v>
      </c>
      <c r="F359" s="12">
        <v>2071.73</v>
      </c>
      <c r="G359" s="1">
        <v>0.43</v>
      </c>
      <c r="H359" s="1">
        <v>0.62</v>
      </c>
      <c r="I359" s="9" t="s">
        <v>777</v>
      </c>
      <c r="J359" s="1" t="s">
        <v>778</v>
      </c>
      <c r="K359" s="1"/>
    </row>
    <row r="360" spans="1:11" ht="14">
      <c r="A360" s="20" t="s">
        <v>626</v>
      </c>
      <c r="B360" s="21" t="s">
        <v>745</v>
      </c>
      <c r="C360" s="21" t="s">
        <v>779</v>
      </c>
      <c r="D360" s="1" t="str">
        <f>_xlfn.XLOOKUP(C360,mfscreener.portfolio_holdings_v!$C:$C,mfscreener.portfolio_holdings_v!$E:$E)</f>
        <v>Balanced Advantage</v>
      </c>
      <c r="E360" s="1" t="str">
        <f>_xlfn.XLOOKUP(C360,mfscreener.portfolio_holdings_v!$C:$C,mfscreener.portfolio_holdings_v!$D:$D)</f>
        <v>Hybrid</v>
      </c>
      <c r="F360" s="9">
        <v>930.02</v>
      </c>
      <c r="G360" s="1">
        <v>0.52</v>
      </c>
      <c r="H360" s="1">
        <v>1.86</v>
      </c>
      <c r="I360" s="9" t="s">
        <v>780</v>
      </c>
      <c r="J360" s="1" t="s">
        <v>781</v>
      </c>
      <c r="K360" s="1"/>
    </row>
    <row r="361" spans="1:11" ht="14">
      <c r="A361" s="20" t="s">
        <v>626</v>
      </c>
      <c r="B361" s="21" t="s">
        <v>745</v>
      </c>
      <c r="C361" s="21" t="s">
        <v>782</v>
      </c>
      <c r="D361" s="1" t="str">
        <f>_xlfn.XLOOKUP(C361,mfscreener.portfolio_holdings_v!$C:$C,mfscreener.portfolio_holdings_v!$E:$E)</f>
        <v>Equity Savings</v>
      </c>
      <c r="E361" s="1" t="str">
        <f>_xlfn.XLOOKUP(C361,mfscreener.portfolio_holdings_v!$C:$C,mfscreener.portfolio_holdings_v!$D:$D)</f>
        <v>Hybrid</v>
      </c>
      <c r="F361" s="9">
        <v>549.58000000000004</v>
      </c>
      <c r="G361" s="1">
        <v>0.7</v>
      </c>
      <c r="H361" s="1">
        <v>4.57</v>
      </c>
      <c r="I361" s="1" t="s">
        <v>783</v>
      </c>
      <c r="J361" s="1" t="s">
        <v>784</v>
      </c>
      <c r="K361" s="1"/>
    </row>
    <row r="362" spans="1:11" ht="14">
      <c r="A362" s="20" t="s">
        <v>626</v>
      </c>
      <c r="B362" s="21" t="s">
        <v>745</v>
      </c>
      <c r="C362" s="21" t="s">
        <v>785</v>
      </c>
      <c r="D362" s="1" t="str">
        <f>_xlfn.XLOOKUP(C362,mfscreener.portfolio_holdings_v!$C:$C,mfscreener.portfolio_holdings_v!$E:$E)</f>
        <v>Multi Asset Allocation</v>
      </c>
      <c r="E362" s="1" t="str">
        <f>_xlfn.XLOOKUP(C362,mfscreener.portfolio_holdings_v!$C:$C,mfscreener.portfolio_holdings_v!$D:$D)</f>
        <v>Hybrid</v>
      </c>
      <c r="F362" s="9">
        <v>887.98</v>
      </c>
      <c r="G362" s="1">
        <v>0.27</v>
      </c>
      <c r="H362" s="1">
        <v>0.53</v>
      </c>
      <c r="I362" s="9" t="s">
        <v>786</v>
      </c>
      <c r="J362" s="9" t="s">
        <v>787</v>
      </c>
      <c r="K362" s="1"/>
    </row>
    <row r="363" spans="1:11" ht="14.5">
      <c r="A363" s="20"/>
      <c r="B363" s="23" t="s">
        <v>788</v>
      </c>
      <c r="C363" s="23" t="s">
        <v>789</v>
      </c>
      <c r="D363" s="1" t="str">
        <f>_xlfn.XLOOKUP(C363,mfscreener.portfolio_holdings_v!$C:$C,mfscreener.portfolio_holdings_v!$E:$E)</f>
        <v>Large Cap</v>
      </c>
      <c r="E363" s="1" t="str">
        <f>_xlfn.XLOOKUP(C363,mfscreener.portfolio_holdings_v!$C:$C,mfscreener.portfolio_holdings_v!$D:$D)</f>
        <v>Equity</v>
      </c>
      <c r="F363" s="7">
        <v>41375.01</v>
      </c>
      <c r="G363" s="4">
        <v>0.52</v>
      </c>
      <c r="H363" s="4">
        <v>0.33</v>
      </c>
      <c r="I363" s="1" t="s">
        <v>790</v>
      </c>
      <c r="J363" s="5">
        <v>28</v>
      </c>
      <c r="K363" s="1"/>
    </row>
    <row r="364" spans="1:11" ht="14.5">
      <c r="A364" s="20"/>
      <c r="B364" s="23" t="s">
        <v>788</v>
      </c>
      <c r="C364" s="23" t="s">
        <v>791</v>
      </c>
      <c r="D364" s="1" t="str">
        <f>_xlfn.XLOOKUP(C364,mfscreener.portfolio_holdings_v!$C:$C,mfscreener.portfolio_holdings_v!$E:$E)</f>
        <v>Large &amp; Mid Cap</v>
      </c>
      <c r="E364" s="1" t="str">
        <f>_xlfn.XLOOKUP(C364,mfscreener.portfolio_holdings_v!$C:$C,mfscreener.portfolio_holdings_v!$D:$D)</f>
        <v>Equity</v>
      </c>
      <c r="F364" s="7">
        <v>43168.44</v>
      </c>
      <c r="G364" s="4">
        <v>0.56999999999999995</v>
      </c>
      <c r="H364" s="4">
        <v>0.93</v>
      </c>
      <c r="I364" s="1" t="s">
        <v>792</v>
      </c>
      <c r="J364" s="2" t="s">
        <v>793</v>
      </c>
      <c r="K364" s="1"/>
    </row>
    <row r="365" spans="1:11" ht="14.5">
      <c r="A365" s="20"/>
      <c r="B365" s="23" t="s">
        <v>788</v>
      </c>
      <c r="C365" s="23" t="s">
        <v>794</v>
      </c>
      <c r="D365" s="1" t="str">
        <f>_xlfn.XLOOKUP(C365,mfscreener.portfolio_holdings_v!$C:$C,mfscreener.portfolio_holdings_v!$E:$E)</f>
        <v>Small Cap</v>
      </c>
      <c r="E365" s="1" t="str">
        <f>_xlfn.XLOOKUP(C365,mfscreener.portfolio_holdings_v!$C:$C,mfscreener.portfolio_holdings_v!$D:$D)</f>
        <v>Equity</v>
      </c>
      <c r="F365" s="7">
        <v>2807.73</v>
      </c>
      <c r="G365" s="4">
        <v>0.31</v>
      </c>
      <c r="H365" s="1"/>
      <c r="I365" s="1" t="s">
        <v>795</v>
      </c>
      <c r="J365" s="2" t="s">
        <v>796</v>
      </c>
      <c r="K365" s="1"/>
    </row>
    <row r="366" spans="1:11" ht="14">
      <c r="A366" s="20" t="s">
        <v>626</v>
      </c>
      <c r="B366" s="21" t="s">
        <v>788</v>
      </c>
      <c r="C366" s="21" t="s">
        <v>797</v>
      </c>
      <c r="D366" s="1" t="s">
        <v>1445</v>
      </c>
      <c r="E366" s="1" t="str">
        <f>_xlfn.XLOOKUP(C366,mfscreener.portfolio_holdings_v!$C:$C,mfscreener.portfolio_holdings_v!$D:$D)</f>
        <v>Equity</v>
      </c>
      <c r="F366" s="1"/>
      <c r="G366" s="1"/>
      <c r="H366" s="1"/>
      <c r="I366" s="1"/>
      <c r="J366" s="1"/>
      <c r="K366" s="1"/>
    </row>
    <row r="367" spans="1:11" ht="14">
      <c r="A367" s="20" t="s">
        <v>626</v>
      </c>
      <c r="B367" s="21" t="s">
        <v>788</v>
      </c>
      <c r="C367" s="21" t="s">
        <v>798</v>
      </c>
      <c r="D367" s="1" t="s">
        <v>1438</v>
      </c>
      <c r="E367" s="1" t="str">
        <f>_xlfn.XLOOKUP(C367,mfscreener.portfolio_holdings_v!$C:$C,mfscreener.portfolio_holdings_v!$D:$D)</f>
        <v>Equity</v>
      </c>
      <c r="F367" s="7">
        <v>2175.4699999999998</v>
      </c>
      <c r="G367" s="4">
        <v>0.54</v>
      </c>
      <c r="H367" s="4">
        <v>0.4</v>
      </c>
      <c r="I367" s="1" t="s">
        <v>799</v>
      </c>
      <c r="J367" s="4">
        <v>17</v>
      </c>
      <c r="K367" s="1"/>
    </row>
    <row r="368" spans="1:11" ht="14">
      <c r="A368" s="20" t="s">
        <v>626</v>
      </c>
      <c r="B368" s="21" t="s">
        <v>788</v>
      </c>
      <c r="C368" s="21" t="s">
        <v>800</v>
      </c>
      <c r="D368" s="1" t="s">
        <v>1480</v>
      </c>
      <c r="E368" s="1" t="str">
        <f>_xlfn.XLOOKUP(C368,mfscreener.portfolio_holdings_v!$C:$C,mfscreener.portfolio_holdings_v!$D:$D)</f>
        <v>Equity</v>
      </c>
      <c r="F368" s="7">
        <v>2809.68</v>
      </c>
      <c r="G368" s="4">
        <v>0.47</v>
      </c>
      <c r="H368" s="4">
        <v>0.34</v>
      </c>
      <c r="I368" s="1" t="s">
        <v>801</v>
      </c>
      <c r="J368" s="1" t="s">
        <v>802</v>
      </c>
      <c r="K368" s="1"/>
    </row>
    <row r="369" spans="1:28" ht="14">
      <c r="A369" s="20" t="s">
        <v>626</v>
      </c>
      <c r="B369" s="21" t="s">
        <v>788</v>
      </c>
      <c r="C369" s="21" t="s">
        <v>803</v>
      </c>
      <c r="D369" s="1" t="s">
        <v>1459</v>
      </c>
      <c r="E369" s="1" t="str">
        <f>_xlfn.XLOOKUP(C369,mfscreener.portfolio_holdings_v!$C:$C,mfscreener.portfolio_holdings_v!$D:$D)</f>
        <v>Equity</v>
      </c>
      <c r="F369" s="7">
        <v>4769.91</v>
      </c>
      <c r="G369" s="4">
        <v>0.41</v>
      </c>
      <c r="H369" s="4">
        <v>0.5</v>
      </c>
      <c r="I369" s="1" t="s">
        <v>804</v>
      </c>
      <c r="J369" s="4">
        <v>8</v>
      </c>
      <c r="K369" s="1"/>
    </row>
    <row r="370" spans="1:28" ht="14">
      <c r="A370" s="20" t="s">
        <v>626</v>
      </c>
      <c r="B370" s="21" t="s">
        <v>788</v>
      </c>
      <c r="C370" s="21" t="s">
        <v>805</v>
      </c>
      <c r="D370" s="1" t="s">
        <v>1458</v>
      </c>
      <c r="E370" s="1" t="str">
        <f>_xlfn.XLOOKUP(C370,mfscreener.portfolio_holdings_v!$C:$C,mfscreener.portfolio_holdings_v!$D:$D)</f>
        <v>Equity</v>
      </c>
      <c r="F370" s="1"/>
      <c r="G370" s="1"/>
      <c r="H370" s="1"/>
      <c r="I370" s="1"/>
      <c r="J370" s="1"/>
      <c r="K370" s="1"/>
    </row>
    <row r="371" spans="1:28" ht="14.5">
      <c r="A371" s="20" t="s">
        <v>626</v>
      </c>
      <c r="B371" s="21" t="s">
        <v>788</v>
      </c>
      <c r="C371" s="21" t="s">
        <v>806</v>
      </c>
      <c r="D371" s="1" t="str">
        <f>_xlfn.XLOOKUP(C371,mfscreener.portfolio_holdings_v!$C:$C,mfscreener.portfolio_holdings_v!$E:$E)</f>
        <v>ELSS</v>
      </c>
      <c r="E371" s="1" t="str">
        <f>_xlfn.XLOOKUP(C371,mfscreener.portfolio_holdings_v!$C:$C,mfscreener.portfolio_holdings_v!$D:$D)</f>
        <v>Equity</v>
      </c>
      <c r="F371" s="4">
        <v>27134.544000000002</v>
      </c>
      <c r="G371" s="4">
        <v>0.56000000000000005</v>
      </c>
      <c r="H371" s="4">
        <v>1.07</v>
      </c>
      <c r="I371" s="1" t="s">
        <v>807</v>
      </c>
      <c r="J371" s="5">
        <v>32</v>
      </c>
      <c r="K371" s="1"/>
    </row>
    <row r="372" spans="1:28" ht="14.5">
      <c r="A372" s="20" t="s">
        <v>626</v>
      </c>
      <c r="B372" s="21" t="s">
        <v>788</v>
      </c>
      <c r="C372" s="21" t="s">
        <v>808</v>
      </c>
      <c r="D372" s="1" t="str">
        <f>_xlfn.XLOOKUP(C372,mfscreener.portfolio_holdings_v!$C:$C,mfscreener.portfolio_holdings_v!$E:$E)</f>
        <v>Aggressive Hybrid</v>
      </c>
      <c r="E372" s="1" t="str">
        <f>_xlfn.XLOOKUP(C372,mfscreener.portfolio_holdings_v!$C:$C,mfscreener.portfolio_holdings_v!$D:$D)</f>
        <v>Equity</v>
      </c>
      <c r="F372" s="4">
        <v>43168.436000000002</v>
      </c>
      <c r="G372" s="4">
        <v>0.56999999999999995</v>
      </c>
      <c r="H372" s="4">
        <v>0.93</v>
      </c>
      <c r="I372" s="1" t="s">
        <v>792</v>
      </c>
      <c r="J372" s="2" t="s">
        <v>793</v>
      </c>
      <c r="K372" s="1"/>
    </row>
    <row r="373" spans="1:28" ht="14.5">
      <c r="A373" s="20" t="s">
        <v>626</v>
      </c>
      <c r="B373" s="21" t="s">
        <v>788</v>
      </c>
      <c r="C373" s="21" t="s">
        <v>809</v>
      </c>
      <c r="D373" s="1" t="str">
        <f>_xlfn.XLOOKUP(C373,mfscreener.portfolio_holdings_v!$C:$C,mfscreener.portfolio_holdings_v!$E:$E)</f>
        <v>Flexi Cap</v>
      </c>
      <c r="E373" s="1" t="str">
        <f>_xlfn.XLOOKUP(C373,mfscreener.portfolio_holdings_v!$C:$C,mfscreener.portfolio_holdings_v!$D:$D)</f>
        <v>Equity</v>
      </c>
      <c r="F373" s="4">
        <v>3367.4160000000002</v>
      </c>
      <c r="G373" s="4">
        <v>0.28999999999999998</v>
      </c>
      <c r="H373" s="1">
        <v>0.28999999999999998</v>
      </c>
      <c r="I373" s="1" t="s">
        <v>810</v>
      </c>
      <c r="J373" s="5" t="s">
        <v>811</v>
      </c>
      <c r="K373" s="1"/>
    </row>
    <row r="374" spans="1:28" ht="14.5">
      <c r="A374" s="20" t="s">
        <v>626</v>
      </c>
      <c r="B374" s="21" t="s">
        <v>788</v>
      </c>
      <c r="C374" s="21" t="s">
        <v>812</v>
      </c>
      <c r="D374" s="1" t="str">
        <f>_xlfn.XLOOKUP(C374,mfscreener.portfolio_holdings_v!$C:$C,mfscreener.portfolio_holdings_v!$E:$E)</f>
        <v>Focused</v>
      </c>
      <c r="E374" s="1" t="str">
        <f>_xlfn.XLOOKUP(C374,mfscreener.portfolio_holdings_v!$C:$C,mfscreener.portfolio_holdings_v!$D:$D)</f>
        <v>Equity</v>
      </c>
      <c r="F374" s="4">
        <v>7930.6530000000002</v>
      </c>
      <c r="G374" s="4">
        <v>0.56999999999999995</v>
      </c>
      <c r="H374" s="4">
        <v>0.44</v>
      </c>
      <c r="I374" s="1" t="s">
        <v>790</v>
      </c>
      <c r="J374" s="5">
        <v>28</v>
      </c>
      <c r="K374" s="1"/>
    </row>
    <row r="375" spans="1:28" ht="14.5">
      <c r="A375" s="20" t="s">
        <v>626</v>
      </c>
      <c r="B375" s="25" t="s">
        <v>788</v>
      </c>
      <c r="C375" s="25" t="s">
        <v>813</v>
      </c>
      <c r="D375" s="1" t="e">
        <f>_xlfn.XLOOKUP(C375,mfscreener.portfolio_holdings_v!$C:$C,mfscreener.portfolio_holdings_v!$E:$E)</f>
        <v>#N/A</v>
      </c>
      <c r="E375" s="1" t="e">
        <f>_xlfn.XLOOKUP(C375,mfscreener.portfolio_holdings_v!$C:$C,mfscreener.portfolio_holdings_v!$D:$D)</f>
        <v>#N/A</v>
      </c>
      <c r="F375" s="26">
        <v>41375.006999999998</v>
      </c>
      <c r="G375" s="26">
        <v>0.52</v>
      </c>
      <c r="H375" s="26">
        <v>0.33</v>
      </c>
      <c r="I375" s="18" t="s">
        <v>790</v>
      </c>
      <c r="J375" s="27">
        <v>28</v>
      </c>
      <c r="K375" s="1"/>
    </row>
    <row r="376" spans="1:28" ht="14.5">
      <c r="A376" s="20" t="s">
        <v>626</v>
      </c>
      <c r="B376" s="21" t="s">
        <v>788</v>
      </c>
      <c r="C376" s="21" t="s">
        <v>814</v>
      </c>
      <c r="D376" s="1" t="str">
        <f>_xlfn.XLOOKUP(C376,mfscreener.portfolio_holdings_v!$C:$C,mfscreener.portfolio_holdings_v!$E:$E)</f>
        <v>Mid Cap</v>
      </c>
      <c r="E376" s="1" t="str">
        <f>_xlfn.XLOOKUP(C376,mfscreener.portfolio_holdings_v!$C:$C,mfscreener.portfolio_holdings_v!$D:$D)</f>
        <v>Equity</v>
      </c>
      <c r="F376" s="4">
        <v>18237.828000000001</v>
      </c>
      <c r="G376" s="4">
        <v>0.55000000000000004</v>
      </c>
      <c r="H376" s="4">
        <v>1.1000000000000001</v>
      </c>
      <c r="I376" s="15" t="s">
        <v>815</v>
      </c>
      <c r="J376" s="16">
        <v>12</v>
      </c>
      <c r="K376" s="1"/>
    </row>
    <row r="377" spans="1:28" ht="14.5">
      <c r="A377" s="20" t="s">
        <v>626</v>
      </c>
      <c r="B377" s="25" t="s">
        <v>788</v>
      </c>
      <c r="C377" s="25" t="s">
        <v>816</v>
      </c>
      <c r="D377" s="1" t="e">
        <f>_xlfn.XLOOKUP(C377,mfscreener.portfolio_holdings_v!$C:$C,mfscreener.portfolio_holdings_v!$E:$E)</f>
        <v>#N/A</v>
      </c>
      <c r="E377" s="1" t="e">
        <f>_xlfn.XLOOKUP(C377,mfscreener.portfolio_holdings_v!$C:$C,mfscreener.portfolio_holdings_v!$D:$D)</f>
        <v>#N/A</v>
      </c>
      <c r="F377" s="26">
        <v>4438.5659999999998</v>
      </c>
      <c r="G377" s="26">
        <v>0.39</v>
      </c>
      <c r="H377" s="26">
        <v>1.05</v>
      </c>
      <c r="I377" s="15" t="s">
        <v>815</v>
      </c>
      <c r="J377" s="16">
        <v>12</v>
      </c>
      <c r="K377" s="1"/>
    </row>
    <row r="378" spans="1:28" ht="14">
      <c r="A378" s="20" t="s">
        <v>626</v>
      </c>
      <c r="B378" s="21" t="s">
        <v>788</v>
      </c>
      <c r="C378" s="21" t="s">
        <v>817</v>
      </c>
      <c r="D378" s="1" t="str">
        <f>_xlfn.XLOOKUP(C378,mfscreener.portfolio_holdings_v!$C:$C,mfscreener.portfolio_holdings_v!$E:$E)</f>
        <v>Multi Asset Allocation</v>
      </c>
      <c r="E378" s="1" t="str">
        <f>_xlfn.XLOOKUP(C378,mfscreener.portfolio_holdings_v!$C:$C,mfscreener.portfolio_holdings_v!$D:$D)</f>
        <v>Equity</v>
      </c>
      <c r="F378" s="7">
        <v>2569.19</v>
      </c>
      <c r="G378" s="4">
        <v>0.41</v>
      </c>
      <c r="H378" s="4">
        <v>2.57</v>
      </c>
      <c r="I378" s="1" t="s">
        <v>1623</v>
      </c>
      <c r="J378" s="1" t="s">
        <v>818</v>
      </c>
      <c r="K378" s="1"/>
    </row>
    <row r="379" spans="1:28" ht="14">
      <c r="A379" s="28"/>
      <c r="B379" s="23" t="s">
        <v>788</v>
      </c>
      <c r="C379" s="23" t="s">
        <v>819</v>
      </c>
      <c r="D379" s="1" t="str">
        <f>_xlfn.XLOOKUP(C379,mfscreener.portfolio_holdings_v!$C:$C,mfscreener.portfolio_holdings_v!$E:$E)</f>
        <v>Balanced Advantage</v>
      </c>
      <c r="E379" s="1" t="str">
        <f>_xlfn.XLOOKUP(C379,mfscreener.portfolio_holdings_v!$C:$C,mfscreener.portfolio_holdings_v!$D:$D)</f>
        <v>Equity</v>
      </c>
      <c r="F379" s="29">
        <v>1988.3</v>
      </c>
      <c r="G379" s="22">
        <v>0.73</v>
      </c>
      <c r="H379" s="15"/>
      <c r="I379" s="15" t="s">
        <v>1624</v>
      </c>
      <c r="J379" s="15" t="s">
        <v>617</v>
      </c>
      <c r="K379" s="15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spans="1:28" ht="14.5">
      <c r="A380" s="20" t="s">
        <v>626</v>
      </c>
      <c r="B380" s="21" t="s">
        <v>820</v>
      </c>
      <c r="C380" s="21" t="s">
        <v>821</v>
      </c>
      <c r="D380" s="1" t="str">
        <f>_xlfn.XLOOKUP(C380,mfscreener.portfolio_holdings_v!$C:$C,mfscreener.portfolio_holdings_v!$E:$E)</f>
        <v>Large Cap</v>
      </c>
      <c r="E380" s="1" t="str">
        <f>_xlfn.XLOOKUP(C380,mfscreener.portfolio_holdings_v!$C:$C,mfscreener.portfolio_holdings_v!$D:$D)</f>
        <v>Equity</v>
      </c>
      <c r="F380" s="8">
        <v>3031.27</v>
      </c>
      <c r="G380" s="5">
        <v>0.82</v>
      </c>
      <c r="H380" s="5">
        <v>0.54</v>
      </c>
      <c r="I380" s="1" t="s">
        <v>822</v>
      </c>
      <c r="J380" s="2" t="s">
        <v>823</v>
      </c>
      <c r="K380" s="1"/>
    </row>
    <row r="381" spans="1:28" ht="14.5">
      <c r="A381" s="20" t="s">
        <v>626</v>
      </c>
      <c r="B381" s="21" t="s">
        <v>820</v>
      </c>
      <c r="C381" s="21" t="s">
        <v>824</v>
      </c>
      <c r="D381" s="1" t="str">
        <f>_xlfn.XLOOKUP(C381,mfscreener.portfolio_holdings_v!$C:$C,mfscreener.portfolio_holdings_v!$E:$E)</f>
        <v>Large &amp; Mid Cap</v>
      </c>
      <c r="E381" s="1" t="str">
        <f>_xlfn.XLOOKUP(C381,mfscreener.portfolio_holdings_v!$C:$C,mfscreener.portfolio_holdings_v!$D:$D)</f>
        <v>Equity</v>
      </c>
      <c r="F381" s="8">
        <v>14963.4</v>
      </c>
      <c r="G381" s="5">
        <v>0.69</v>
      </c>
      <c r="H381" s="5">
        <v>0.45</v>
      </c>
      <c r="I381" s="1" t="s">
        <v>822</v>
      </c>
      <c r="J381" s="2" t="s">
        <v>823</v>
      </c>
      <c r="K381" s="1"/>
    </row>
    <row r="382" spans="1:28" ht="14.5">
      <c r="A382" s="20" t="s">
        <v>626</v>
      </c>
      <c r="B382" s="21" t="s">
        <v>820</v>
      </c>
      <c r="C382" s="21" t="s">
        <v>825</v>
      </c>
      <c r="D382" s="1" t="str">
        <f>_xlfn.XLOOKUP(C382,mfscreener.portfolio_holdings_v!$C:$C,mfscreener.portfolio_holdings_v!$E:$E)</f>
        <v>Mid Cap</v>
      </c>
      <c r="E382" s="1" t="str">
        <f>_xlfn.XLOOKUP(C382,mfscreener.portfolio_holdings_v!$C:$C,mfscreener.portfolio_holdings_v!$D:$D)</f>
        <v>Equity</v>
      </c>
      <c r="F382" s="8">
        <v>37302.32</v>
      </c>
      <c r="G382" s="5">
        <v>0.74</v>
      </c>
      <c r="H382" s="5">
        <v>1.2</v>
      </c>
      <c r="I382" s="1" t="s">
        <v>826</v>
      </c>
      <c r="J382" s="1" t="s">
        <v>827</v>
      </c>
      <c r="K382" s="1"/>
    </row>
    <row r="383" spans="1:28" ht="14.5">
      <c r="A383" s="20" t="s">
        <v>626</v>
      </c>
      <c r="B383" s="21" t="s">
        <v>820</v>
      </c>
      <c r="C383" s="21" t="s">
        <v>828</v>
      </c>
      <c r="D383" s="1" t="str">
        <f>_xlfn.XLOOKUP(C383,mfscreener.portfolio_holdings_v!$C:$C,mfscreener.portfolio_holdings_v!$E:$E)</f>
        <v>Small Cap</v>
      </c>
      <c r="E383" s="1" t="str">
        <f>_xlfn.XLOOKUP(C383,mfscreener.portfolio_holdings_v!$C:$C,mfscreener.portfolio_holdings_v!$D:$D)</f>
        <v>Equity</v>
      </c>
      <c r="F383" s="8">
        <v>5781.84</v>
      </c>
      <c r="G383" s="5">
        <v>0.67</v>
      </c>
      <c r="H383" s="5">
        <v>0.56999999999999995</v>
      </c>
      <c r="I383" s="1" t="s">
        <v>826</v>
      </c>
      <c r="J383" s="1" t="s">
        <v>827</v>
      </c>
      <c r="K383" s="1"/>
    </row>
    <row r="384" spans="1:28" ht="14.5">
      <c r="A384" s="20" t="s">
        <v>626</v>
      </c>
      <c r="B384" s="21" t="s">
        <v>820</v>
      </c>
      <c r="C384" s="21" t="s">
        <v>829</v>
      </c>
      <c r="D384" s="1" t="str">
        <f>_xlfn.XLOOKUP(C384,mfscreener.portfolio_holdings_v!$C:$C,mfscreener.portfolio_holdings_v!$E:$E)</f>
        <v>Flexi Cap</v>
      </c>
      <c r="E384" s="1" t="str">
        <f>_xlfn.XLOOKUP(C384,mfscreener.portfolio_holdings_v!$C:$C,mfscreener.portfolio_holdings_v!$D:$D)</f>
        <v>Equity</v>
      </c>
      <c r="F384" s="8">
        <v>14035.12</v>
      </c>
      <c r="G384" s="5">
        <v>0.85</v>
      </c>
      <c r="H384" s="5">
        <v>1.41</v>
      </c>
      <c r="I384" s="1" t="s">
        <v>830</v>
      </c>
      <c r="J384" s="2" t="s">
        <v>831</v>
      </c>
      <c r="K384" s="1"/>
    </row>
    <row r="385" spans="1:11" ht="14.5">
      <c r="A385" s="20" t="s">
        <v>626</v>
      </c>
      <c r="B385" s="21" t="s">
        <v>820</v>
      </c>
      <c r="C385" s="21" t="s">
        <v>832</v>
      </c>
      <c r="D385" s="1" t="str">
        <f>_xlfn.XLOOKUP(C385,mfscreener.portfolio_holdings_v!$C:$C,mfscreener.portfolio_holdings_v!$E:$E)</f>
        <v>Focused</v>
      </c>
      <c r="E385" s="1" t="str">
        <f>_xlfn.XLOOKUP(C385,mfscreener.portfolio_holdings_v!$C:$C,mfscreener.portfolio_holdings_v!$D:$D)</f>
        <v>Equity</v>
      </c>
      <c r="F385" s="8">
        <v>1503.47</v>
      </c>
      <c r="G385" s="5">
        <v>0.98</v>
      </c>
      <c r="H385" s="5">
        <v>1.22</v>
      </c>
      <c r="I385" s="2" t="s">
        <v>833</v>
      </c>
      <c r="J385" s="2" t="s">
        <v>834</v>
      </c>
      <c r="K385" s="1"/>
    </row>
    <row r="386" spans="1:11" ht="14.5">
      <c r="A386" s="20" t="s">
        <v>626</v>
      </c>
      <c r="B386" s="21" t="s">
        <v>820</v>
      </c>
      <c r="C386" s="21" t="s">
        <v>835</v>
      </c>
      <c r="D386" s="1" t="str">
        <f>_xlfn.XLOOKUP(C386,mfscreener.portfolio_holdings_v!$C:$C,mfscreener.portfolio_holdings_v!$E:$E)</f>
        <v>Multi Cap</v>
      </c>
      <c r="E386" s="1" t="str">
        <f>_xlfn.XLOOKUP(C386,mfscreener.portfolio_holdings_v!$C:$C,mfscreener.portfolio_holdings_v!$D:$D)</f>
        <v>Equity</v>
      </c>
      <c r="F386" s="31">
        <v>4612.13</v>
      </c>
      <c r="G386" s="16">
        <v>0.71</v>
      </c>
      <c r="H386" s="16">
        <v>2.2200000000000002</v>
      </c>
      <c r="I386" s="15" t="s">
        <v>830</v>
      </c>
      <c r="J386" s="6" t="s">
        <v>831</v>
      </c>
      <c r="K386" s="1"/>
    </row>
    <row r="387" spans="1:11" ht="14.5">
      <c r="A387" s="20" t="s">
        <v>626</v>
      </c>
      <c r="B387" s="21" t="s">
        <v>820</v>
      </c>
      <c r="C387" s="21" t="s">
        <v>836</v>
      </c>
      <c r="D387" s="1" t="str">
        <f>_xlfn.XLOOKUP(C387,mfscreener.portfolio_holdings_v!$C:$C,mfscreener.portfolio_holdings_v!$E:$E)</f>
        <v>ELSS</v>
      </c>
      <c r="E387" s="1" t="str">
        <f>_xlfn.XLOOKUP(C387,mfscreener.portfolio_holdings_v!$C:$C,mfscreener.portfolio_holdings_v!$D:$D)</f>
        <v>Equity</v>
      </c>
      <c r="F387" s="8">
        <v>4323.3100000000004</v>
      </c>
      <c r="G387" s="5">
        <v>0.64</v>
      </c>
      <c r="H387" s="5">
        <v>0.56000000000000005</v>
      </c>
      <c r="I387" s="1" t="s">
        <v>837</v>
      </c>
      <c r="J387" s="2" t="s">
        <v>838</v>
      </c>
      <c r="K387" s="1"/>
    </row>
    <row r="388" spans="1:11" ht="14.5">
      <c r="A388" s="20" t="s">
        <v>626</v>
      </c>
      <c r="B388" s="21" t="s">
        <v>820</v>
      </c>
      <c r="C388" s="21" t="s">
        <v>839</v>
      </c>
      <c r="D388" s="1" t="str">
        <f>_xlfn.XLOOKUP(C388,mfscreener.portfolio_holdings_v!$C:$C,mfscreener.portfolio_holdings_v!$E:$E)</f>
        <v>Quant</v>
      </c>
      <c r="E388" s="1" t="str">
        <f>_xlfn.XLOOKUP(C388,mfscreener.portfolio_holdings_v!$C:$C,mfscreener.portfolio_holdings_v!$D:$D)</f>
        <v>Equity</v>
      </c>
      <c r="F388" s="1">
        <v>143.56</v>
      </c>
      <c r="G388" s="1">
        <v>0.86</v>
      </c>
      <c r="H388" s="1">
        <v>2.5499999999999998</v>
      </c>
      <c r="I388" s="1" t="s">
        <v>840</v>
      </c>
      <c r="J388" s="2" t="s">
        <v>841</v>
      </c>
      <c r="K388" s="1"/>
    </row>
    <row r="389" spans="1:11" ht="14.5">
      <c r="A389" s="20" t="s">
        <v>626</v>
      </c>
      <c r="B389" s="21" t="s">
        <v>820</v>
      </c>
      <c r="C389" s="21" t="s">
        <v>842</v>
      </c>
      <c r="D389" s="1" t="s">
        <v>1458</v>
      </c>
      <c r="E389" s="1" t="str">
        <f>_xlfn.XLOOKUP(C389,mfscreener.portfolio_holdings_v!$C:$C,mfscreener.portfolio_holdings_v!$D:$D)</f>
        <v>Equity</v>
      </c>
      <c r="F389" s="1">
        <v>745.92</v>
      </c>
      <c r="G389" s="1">
        <v>0.92</v>
      </c>
      <c r="H389" s="1">
        <v>1.25</v>
      </c>
      <c r="I389" s="15" t="s">
        <v>843</v>
      </c>
      <c r="J389" s="6" t="s">
        <v>844</v>
      </c>
      <c r="K389" s="1"/>
    </row>
    <row r="390" spans="1:11" ht="14.5">
      <c r="A390" s="20" t="s">
        <v>626</v>
      </c>
      <c r="B390" s="21" t="s">
        <v>820</v>
      </c>
      <c r="C390" s="21" t="s">
        <v>845</v>
      </c>
      <c r="D390" s="1" t="s">
        <v>1444</v>
      </c>
      <c r="E390" s="1" t="str">
        <f>_xlfn.XLOOKUP(C390,mfscreener.portfolio_holdings_v!$C:$C,mfscreener.portfolio_holdings_v!$D:$D)</f>
        <v>Equity</v>
      </c>
      <c r="F390" s="32">
        <v>2167.1</v>
      </c>
      <c r="G390" s="1">
        <v>0.88</v>
      </c>
      <c r="H390" s="1"/>
      <c r="I390" s="15" t="s">
        <v>830</v>
      </c>
      <c r="J390" s="6" t="s">
        <v>831</v>
      </c>
      <c r="K390" s="1"/>
    </row>
    <row r="391" spans="1:11" ht="14">
      <c r="A391" s="20" t="s">
        <v>626</v>
      </c>
      <c r="B391" s="21" t="s">
        <v>820</v>
      </c>
      <c r="C391" s="21" t="s">
        <v>846</v>
      </c>
      <c r="D391" s="1" t="s">
        <v>1445</v>
      </c>
      <c r="E391" s="1" t="str">
        <f>_xlfn.XLOOKUP(C391,mfscreener.portfolio_holdings_v!$C:$C,mfscreener.portfolio_holdings_v!$D:$D)</f>
        <v>Equity</v>
      </c>
      <c r="F391" s="9">
        <v>105.05</v>
      </c>
      <c r="G391" s="9">
        <v>1.51</v>
      </c>
      <c r="H391" s="9">
        <v>0.57999999999999996</v>
      </c>
      <c r="I391" s="1" t="s">
        <v>826</v>
      </c>
      <c r="J391" s="1" t="s">
        <v>827</v>
      </c>
      <c r="K391" s="1"/>
    </row>
    <row r="392" spans="1:11" ht="14.5">
      <c r="A392" s="20" t="s">
        <v>626</v>
      </c>
      <c r="B392" s="21" t="s">
        <v>820</v>
      </c>
      <c r="C392" s="21" t="s">
        <v>847</v>
      </c>
      <c r="D392" s="1" t="s">
        <v>1491</v>
      </c>
      <c r="E392" s="1" t="str">
        <f>_xlfn.XLOOKUP(C392,mfscreener.portfolio_holdings_v!$C:$C,mfscreener.portfolio_holdings_v!$D:$D)</f>
        <v>Equity</v>
      </c>
      <c r="F392" s="1">
        <v>914.22</v>
      </c>
      <c r="G392" s="1">
        <v>0.83</v>
      </c>
      <c r="H392" s="1">
        <v>0.93</v>
      </c>
      <c r="I392" s="2" t="s">
        <v>848</v>
      </c>
      <c r="J392" s="2" t="s">
        <v>849</v>
      </c>
      <c r="K392" s="1"/>
    </row>
    <row r="393" spans="1:11" ht="14.5">
      <c r="A393" s="20" t="s">
        <v>626</v>
      </c>
      <c r="B393" s="21" t="s">
        <v>820</v>
      </c>
      <c r="C393" s="21" t="s">
        <v>850</v>
      </c>
      <c r="D393" s="1" t="s">
        <v>1459</v>
      </c>
      <c r="E393" s="1" t="str">
        <f>_xlfn.XLOOKUP(C393,mfscreener.portfolio_holdings_v!$C:$C,mfscreener.portfolio_holdings_v!$D:$D)</f>
        <v>Equity</v>
      </c>
      <c r="F393" s="32">
        <v>1168.9000000000001</v>
      </c>
      <c r="G393" s="1">
        <v>0.62</v>
      </c>
      <c r="H393" s="1"/>
      <c r="I393" s="2" t="s">
        <v>833</v>
      </c>
      <c r="J393" s="2" t="s">
        <v>834</v>
      </c>
      <c r="K393" s="1"/>
    </row>
    <row r="394" spans="1:11" ht="14">
      <c r="A394" s="20" t="s">
        <v>626</v>
      </c>
      <c r="B394" s="21" t="s">
        <v>820</v>
      </c>
      <c r="C394" s="21" t="s">
        <v>851</v>
      </c>
      <c r="D394" s="1" t="s">
        <v>1590</v>
      </c>
      <c r="E394" s="1" t="str">
        <f>_xlfn.XLOOKUP(C394,mfscreener.portfolio_holdings_v!$C:$C,mfscreener.portfolio_holdings_v!$D:$D)</f>
        <v>Equity</v>
      </c>
      <c r="F394" s="1">
        <v>81.42</v>
      </c>
      <c r="G394" s="1">
        <v>1.51</v>
      </c>
      <c r="H394" s="1">
        <v>0.72</v>
      </c>
      <c r="I394" s="1" t="s">
        <v>826</v>
      </c>
      <c r="J394" s="1" t="s">
        <v>827</v>
      </c>
      <c r="K394" s="1"/>
    </row>
    <row r="395" spans="1:11" ht="14.5">
      <c r="A395" s="20" t="s">
        <v>626</v>
      </c>
      <c r="B395" s="21" t="s">
        <v>820</v>
      </c>
      <c r="C395" s="21" t="s">
        <v>852</v>
      </c>
      <c r="D395" s="1" t="s">
        <v>1591</v>
      </c>
      <c r="E395" s="1" t="str">
        <f>_xlfn.XLOOKUP(C395,mfscreener.portfolio_holdings_v!$C:$C,mfscreener.portfolio_holdings_v!$D:$D)</f>
        <v>Equity</v>
      </c>
      <c r="F395" s="21">
        <v>489.96</v>
      </c>
      <c r="G395" s="1">
        <v>0.9</v>
      </c>
      <c r="H395" s="1">
        <v>0.7</v>
      </c>
      <c r="I395" s="2" t="s">
        <v>848</v>
      </c>
      <c r="J395" s="2" t="s">
        <v>849</v>
      </c>
      <c r="K395" s="1"/>
    </row>
    <row r="396" spans="1:11" ht="14.5">
      <c r="A396" s="20" t="s">
        <v>626</v>
      </c>
      <c r="B396" s="21" t="s">
        <v>820</v>
      </c>
      <c r="C396" s="21" t="s">
        <v>853</v>
      </c>
      <c r="D396" s="1" t="s">
        <v>1500</v>
      </c>
      <c r="E396" s="1" t="str">
        <f>_xlfn.XLOOKUP(C396,mfscreener.portfolio_holdings_v!$C:$C,mfscreener.portfolio_holdings_v!$D:$D)</f>
        <v>Equity</v>
      </c>
      <c r="F396" s="1">
        <v>334.37</v>
      </c>
      <c r="G396" s="1">
        <v>2.41</v>
      </c>
      <c r="H396" s="1">
        <v>2.5499999999999998</v>
      </c>
      <c r="I396" s="15" t="s">
        <v>843</v>
      </c>
      <c r="J396" s="6" t="s">
        <v>844</v>
      </c>
      <c r="K396" s="1"/>
    </row>
    <row r="397" spans="1:11" ht="14">
      <c r="A397" s="20" t="s">
        <v>626</v>
      </c>
      <c r="B397" s="21" t="s">
        <v>820</v>
      </c>
      <c r="C397" s="21" t="s">
        <v>854</v>
      </c>
      <c r="D397" s="1" t="s">
        <v>1519</v>
      </c>
      <c r="E397" s="1" t="str">
        <f>_xlfn.XLOOKUP(C397,mfscreener.portfolio_holdings_v!$C:$C,mfscreener.portfolio_holdings_v!$D:$D)</f>
        <v>Equity</v>
      </c>
      <c r="F397" s="1">
        <v>68.13</v>
      </c>
      <c r="G397" s="1">
        <v>2.52</v>
      </c>
      <c r="H397" s="1"/>
      <c r="I397" s="1" t="s">
        <v>826</v>
      </c>
      <c r="J397" s="1" t="s">
        <v>827</v>
      </c>
      <c r="K397" s="1"/>
    </row>
    <row r="398" spans="1:11" ht="14.5">
      <c r="A398" s="20" t="s">
        <v>626</v>
      </c>
      <c r="B398" s="21" t="s">
        <v>820</v>
      </c>
      <c r="C398" s="21" t="s">
        <v>855</v>
      </c>
      <c r="D398" s="1" t="str">
        <f>_xlfn.XLOOKUP(C398,mfscreener.portfolio_holdings_v!$C:$C,mfscreener.portfolio_holdings_v!$E:$E)</f>
        <v>Balanced Advantage</v>
      </c>
      <c r="E398" s="1" t="str">
        <f>_xlfn.XLOOKUP(C398,mfscreener.portfolio_holdings_v!$C:$C,mfscreener.portfolio_holdings_v!$D:$D)</f>
        <v>Hybrid</v>
      </c>
      <c r="F398" s="1">
        <v>902.35</v>
      </c>
      <c r="G398" s="1">
        <v>1.02</v>
      </c>
      <c r="H398" s="1">
        <v>4.0999999999999996</v>
      </c>
      <c r="I398" s="15" t="s">
        <v>830</v>
      </c>
      <c r="J398" s="6" t="s">
        <v>831</v>
      </c>
      <c r="K398" s="1"/>
    </row>
    <row r="399" spans="1:11" ht="14">
      <c r="A399" s="20" t="s">
        <v>626</v>
      </c>
      <c r="B399" s="21" t="s">
        <v>856</v>
      </c>
      <c r="C399" s="21" t="s">
        <v>857</v>
      </c>
      <c r="D399" s="1" t="str">
        <f>_xlfn.XLOOKUP(C399,mfscreener.portfolio_holdings_v!$C:$C,mfscreener.portfolio_holdings_v!$E:$E)</f>
        <v>ELSS</v>
      </c>
      <c r="E399" s="1" t="str">
        <f>_xlfn.XLOOKUP(C399,mfscreener.portfolio_holdings_v!$C:$C,mfscreener.portfolio_holdings_v!$D:$D)</f>
        <v>Equity</v>
      </c>
      <c r="F399" s="7">
        <v>15495.69</v>
      </c>
      <c r="G399" s="4">
        <v>1.02</v>
      </c>
      <c r="H399" s="4">
        <v>0.14000000000000001</v>
      </c>
      <c r="I399" s="1" t="s">
        <v>858</v>
      </c>
      <c r="J399" s="4">
        <v>26</v>
      </c>
      <c r="K399" s="1"/>
    </row>
    <row r="400" spans="1:11" ht="14">
      <c r="A400" s="20" t="s">
        <v>626</v>
      </c>
      <c r="B400" s="21" t="s">
        <v>856</v>
      </c>
      <c r="C400" s="21" t="s">
        <v>859</v>
      </c>
      <c r="D400" s="1" t="str">
        <f>_xlfn.XLOOKUP(C400,mfscreener.portfolio_holdings_v!$C:$C,mfscreener.portfolio_holdings_v!$E:$E)</f>
        <v>Flexi Cap</v>
      </c>
      <c r="E400" s="1" t="str">
        <f>_xlfn.XLOOKUP(C400,mfscreener.portfolio_holdings_v!$C:$C,mfscreener.portfolio_holdings_v!$D:$D)</f>
        <v>Equity</v>
      </c>
      <c r="F400" s="7">
        <v>9577.32</v>
      </c>
      <c r="G400" s="4">
        <v>0.45</v>
      </c>
      <c r="H400" s="4">
        <v>0.35</v>
      </c>
      <c r="I400" s="1" t="s">
        <v>860</v>
      </c>
      <c r="J400" s="1" t="s">
        <v>861</v>
      </c>
      <c r="K400" s="1"/>
    </row>
    <row r="401" spans="1:11" ht="14.5">
      <c r="A401" s="20" t="s">
        <v>626</v>
      </c>
      <c r="B401" s="21" t="s">
        <v>856</v>
      </c>
      <c r="C401" s="21" t="s">
        <v>862</v>
      </c>
      <c r="D401" s="1" t="str">
        <f>_xlfn.XLOOKUP(C401,mfscreener.portfolio_holdings_v!$C:$C,mfscreener.portfolio_holdings_v!$E:$E)</f>
        <v>Focused</v>
      </c>
      <c r="E401" s="1" t="str">
        <f>_xlfn.XLOOKUP(C401,mfscreener.portfolio_holdings_v!$C:$C,mfscreener.portfolio_holdings_v!$D:$D)</f>
        <v>Equity</v>
      </c>
      <c r="F401" s="4">
        <v>8785.23</v>
      </c>
      <c r="G401" s="4">
        <v>1.1299999999999999</v>
      </c>
      <c r="H401" s="4">
        <v>0.43</v>
      </c>
      <c r="I401" s="1" t="s">
        <v>863</v>
      </c>
      <c r="J401" s="2" t="s">
        <v>864</v>
      </c>
      <c r="K401" s="1"/>
    </row>
    <row r="402" spans="1:11" ht="14.5">
      <c r="A402" s="20" t="s">
        <v>626</v>
      </c>
      <c r="B402" s="21" t="s">
        <v>856</v>
      </c>
      <c r="C402" s="21" t="s">
        <v>865</v>
      </c>
      <c r="D402" s="1" t="str">
        <f>_xlfn.XLOOKUP(C402,mfscreener.portfolio_holdings_v!$C:$C,mfscreener.portfolio_holdings_v!$E:$E)</f>
        <v>Large Cap</v>
      </c>
      <c r="E402" s="1" t="str">
        <f>_xlfn.XLOOKUP(C402,mfscreener.portfolio_holdings_v!$C:$C,mfscreener.portfolio_holdings_v!$D:$D)</f>
        <v>Equity</v>
      </c>
      <c r="F402" s="7">
        <v>49487.49</v>
      </c>
      <c r="G402" s="4">
        <v>0.66</v>
      </c>
      <c r="H402" s="4">
        <v>0.28000000000000003</v>
      </c>
      <c r="I402" s="2" t="s">
        <v>866</v>
      </c>
      <c r="J402" s="2" t="s">
        <v>867</v>
      </c>
      <c r="K402" s="1"/>
    </row>
    <row r="403" spans="1:11" ht="14.5">
      <c r="A403" s="20" t="s">
        <v>626</v>
      </c>
      <c r="B403" s="21" t="s">
        <v>856</v>
      </c>
      <c r="C403" s="21" t="s">
        <v>868</v>
      </c>
      <c r="D403" s="1" t="str">
        <f>_xlfn.XLOOKUP(C403,mfscreener.portfolio_holdings_v!$C:$C,mfscreener.portfolio_holdings_v!$E:$E)</f>
        <v>Large &amp; Mid Cap</v>
      </c>
      <c r="E403" s="1" t="str">
        <f>_xlfn.XLOOKUP(C403,mfscreener.portfolio_holdings_v!$C:$C,mfscreener.portfolio_holdings_v!$D:$D)</f>
        <v>Equity</v>
      </c>
      <c r="F403" s="4">
        <v>6769.88</v>
      </c>
      <c r="G403" s="4">
        <v>1.19</v>
      </c>
      <c r="H403" s="4">
        <v>0.61</v>
      </c>
      <c r="I403" s="2" t="s">
        <v>869</v>
      </c>
      <c r="J403" s="5">
        <v>25</v>
      </c>
      <c r="K403" s="1"/>
    </row>
    <row r="404" spans="1:11" ht="14.5">
      <c r="A404" s="20" t="s">
        <v>626</v>
      </c>
      <c r="B404" s="21" t="s">
        <v>856</v>
      </c>
      <c r="C404" s="21" t="s">
        <v>870</v>
      </c>
      <c r="D404" s="1" t="str">
        <f>_xlfn.XLOOKUP(C404,mfscreener.portfolio_holdings_v!$C:$C,mfscreener.portfolio_holdings_v!$E:$E)</f>
        <v>Mid Cap</v>
      </c>
      <c r="E404" s="1" t="str">
        <f>_xlfn.XLOOKUP(C404,mfscreener.portfolio_holdings_v!$C:$C,mfscreener.portfolio_holdings_v!$D:$D)</f>
        <v>Equity</v>
      </c>
      <c r="F404" s="7">
        <v>41675.56</v>
      </c>
      <c r="G404" s="4">
        <v>0.73</v>
      </c>
      <c r="H404" s="4">
        <v>0.06</v>
      </c>
      <c r="I404" s="2" t="s">
        <v>858</v>
      </c>
      <c r="J404" s="5">
        <v>26</v>
      </c>
      <c r="K404" s="1"/>
    </row>
    <row r="405" spans="1:11" ht="14.5">
      <c r="A405" s="20" t="s">
        <v>626</v>
      </c>
      <c r="B405" s="21" t="s">
        <v>856</v>
      </c>
      <c r="C405" s="21" t="s">
        <v>871</v>
      </c>
      <c r="D405" s="1" t="str">
        <f>_xlfn.XLOOKUP(C405,mfscreener.portfolio_holdings_v!$C:$C,mfscreener.portfolio_holdings_v!$E:$E)</f>
        <v>Multi Cap</v>
      </c>
      <c r="E405" s="1" t="str">
        <f>_xlfn.XLOOKUP(C405,mfscreener.portfolio_holdings_v!$C:$C,mfscreener.portfolio_holdings_v!$D:$D)</f>
        <v>Equity</v>
      </c>
      <c r="F405" s="7">
        <v>49660.79</v>
      </c>
      <c r="G405" s="4">
        <v>0.71</v>
      </c>
      <c r="H405" s="4">
        <v>0.27</v>
      </c>
      <c r="I405" s="1" t="s">
        <v>872</v>
      </c>
      <c r="J405" s="5" t="s">
        <v>873</v>
      </c>
      <c r="K405" s="1"/>
    </row>
    <row r="406" spans="1:11" ht="14.5">
      <c r="A406" s="20" t="s">
        <v>626</v>
      </c>
      <c r="B406" s="21" t="s">
        <v>856</v>
      </c>
      <c r="C406" s="21" t="s">
        <v>874</v>
      </c>
      <c r="D406" s="1" t="str">
        <f>_xlfn.XLOOKUP(C406,mfscreener.portfolio_holdings_v!$C:$C,mfscreener.portfolio_holdings_v!$E:$E)</f>
        <v>Small Cap</v>
      </c>
      <c r="E406" s="1" t="str">
        <f>_xlfn.XLOOKUP(C406,mfscreener.portfolio_holdings_v!$C:$C,mfscreener.portfolio_holdings_v!$D:$D)</f>
        <v>Equity</v>
      </c>
      <c r="F406" s="7">
        <v>68758.41</v>
      </c>
      <c r="G406" s="4">
        <v>0.63</v>
      </c>
      <c r="H406" s="4">
        <v>0.12</v>
      </c>
      <c r="I406" s="2" t="s">
        <v>875</v>
      </c>
      <c r="J406" s="5">
        <v>34</v>
      </c>
      <c r="K406" s="1"/>
    </row>
    <row r="407" spans="1:11" ht="14.5">
      <c r="A407" s="20" t="s">
        <v>626</v>
      </c>
      <c r="B407" s="21" t="s">
        <v>856</v>
      </c>
      <c r="C407" s="21" t="s">
        <v>876</v>
      </c>
      <c r="D407" s="1" t="str">
        <f>_xlfn.XLOOKUP(C407,mfscreener.portfolio_holdings_v!$C:$C,mfscreener.portfolio_holdings_v!$E:$E)</f>
        <v>Value</v>
      </c>
      <c r="E407" s="1" t="str">
        <f>_xlfn.XLOOKUP(C407,mfscreener.portfolio_holdings_v!$C:$C,mfscreener.portfolio_holdings_v!$D:$D)</f>
        <v>Equity</v>
      </c>
      <c r="F407" s="7">
        <v>9209.94</v>
      </c>
      <c r="G407" s="4">
        <v>1.08</v>
      </c>
      <c r="H407" s="4">
        <v>0.42</v>
      </c>
      <c r="I407" s="1" t="s">
        <v>877</v>
      </c>
      <c r="J407" s="5" t="s">
        <v>878</v>
      </c>
      <c r="K407" s="1"/>
    </row>
    <row r="408" spans="1:11" ht="14.5">
      <c r="A408" s="20" t="s">
        <v>626</v>
      </c>
      <c r="B408" s="21" t="s">
        <v>856</v>
      </c>
      <c r="C408" s="21" t="s">
        <v>879</v>
      </c>
      <c r="D408" s="1" t="s">
        <v>1438</v>
      </c>
      <c r="E408" s="1" t="str">
        <f>_xlfn.XLOOKUP(C408,mfscreener.portfolio_holdings_v!$C:$C,mfscreener.portfolio_holdings_v!$D:$D)</f>
        <v>Equity</v>
      </c>
      <c r="F408" s="7">
        <v>7677.83</v>
      </c>
      <c r="G408" s="4">
        <v>0.96</v>
      </c>
      <c r="H408" s="4">
        <v>0.23</v>
      </c>
      <c r="I408" s="1" t="s">
        <v>880</v>
      </c>
      <c r="J408" s="5">
        <v>21</v>
      </c>
      <c r="K408" s="1"/>
    </row>
    <row r="409" spans="1:11" ht="14.5">
      <c r="A409" s="20" t="s">
        <v>626</v>
      </c>
      <c r="B409" s="21" t="s">
        <v>856</v>
      </c>
      <c r="C409" s="21" t="s">
        <v>881</v>
      </c>
      <c r="D409" s="1" t="s">
        <v>1480</v>
      </c>
      <c r="E409" s="1" t="str">
        <f>_xlfn.XLOOKUP(C409,mfscreener.portfolio_holdings_v!$C:$C,mfscreener.portfolio_holdings_v!$D:$D)</f>
        <v>Equity</v>
      </c>
      <c r="F409" s="7">
        <v>8398.65</v>
      </c>
      <c r="G409" s="4">
        <v>0.91</v>
      </c>
      <c r="H409" s="4">
        <v>0.17</v>
      </c>
      <c r="I409" s="1" t="s">
        <v>882</v>
      </c>
      <c r="J409" s="5">
        <v>30</v>
      </c>
      <c r="K409" s="1"/>
    </row>
    <row r="410" spans="1:11" ht="14">
      <c r="A410" s="20" t="s">
        <v>626</v>
      </c>
      <c r="B410" s="21" t="s">
        <v>856</v>
      </c>
      <c r="C410" s="21" t="s">
        <v>883</v>
      </c>
      <c r="D410" s="1" t="s">
        <v>1445</v>
      </c>
      <c r="E410" s="1" t="str">
        <f>_xlfn.XLOOKUP(C410,mfscreener.portfolio_holdings_v!$C:$C,mfscreener.portfolio_holdings_v!$D:$D)</f>
        <v>Equity</v>
      </c>
      <c r="F410" s="7">
        <v>7399.66</v>
      </c>
      <c r="G410" s="4">
        <v>0.95</v>
      </c>
      <c r="H410" s="4">
        <v>0.39</v>
      </c>
      <c r="I410" s="1" t="s">
        <v>884</v>
      </c>
      <c r="J410" s="4">
        <v>19</v>
      </c>
      <c r="K410" s="1"/>
    </row>
    <row r="411" spans="1:11" ht="14">
      <c r="A411" s="20" t="s">
        <v>626</v>
      </c>
      <c r="B411" s="21" t="s">
        <v>856</v>
      </c>
      <c r="C411" s="21" t="s">
        <v>885</v>
      </c>
      <c r="D411" s="1" t="s">
        <v>1459</v>
      </c>
      <c r="E411" s="1" t="str">
        <f>_xlfn.XLOOKUP(C411,mfscreener.portfolio_holdings_v!$C:$C,mfscreener.portfolio_holdings_v!$D:$D)</f>
        <v>Equity</v>
      </c>
      <c r="F411" s="7">
        <v>2790.35</v>
      </c>
      <c r="G411" s="4">
        <v>0.55000000000000004</v>
      </c>
      <c r="H411" s="4">
        <v>0.28999999999999998</v>
      </c>
      <c r="I411" s="1" t="s">
        <v>886</v>
      </c>
      <c r="J411" s="4">
        <v>12</v>
      </c>
      <c r="K411" s="1"/>
    </row>
    <row r="412" spans="1:11" ht="14">
      <c r="A412" s="20" t="s">
        <v>626</v>
      </c>
      <c r="B412" s="21" t="s">
        <v>856</v>
      </c>
      <c r="C412" s="21" t="s">
        <v>887</v>
      </c>
      <c r="D412" s="1" t="s">
        <v>1448</v>
      </c>
      <c r="E412" s="1" t="str">
        <f>_xlfn.XLOOKUP(C412,mfscreener.portfolio_holdings_v!$C:$C,mfscreener.portfolio_holdings_v!$D:$D)</f>
        <v>Equity</v>
      </c>
      <c r="F412" s="4">
        <v>108.07</v>
      </c>
      <c r="G412" s="4">
        <v>0.53</v>
      </c>
      <c r="H412" s="4">
        <v>0.96</v>
      </c>
      <c r="I412" s="1" t="s">
        <v>888</v>
      </c>
      <c r="J412" s="4">
        <v>20</v>
      </c>
      <c r="K412" s="1"/>
    </row>
    <row r="413" spans="1:11" ht="14">
      <c r="A413" s="20" t="s">
        <v>626</v>
      </c>
      <c r="B413" s="21" t="s">
        <v>856</v>
      </c>
      <c r="C413" s="21" t="s">
        <v>889</v>
      </c>
      <c r="D413" s="1" t="str">
        <f>_xlfn.XLOOKUP(C413,mfscreener.portfolio_holdings_v!$C:$C,mfscreener.portfolio_holdings_v!$E:$E)</f>
        <v>International - Japan</v>
      </c>
      <c r="E413" s="1" t="str">
        <f>_xlfn.XLOOKUP(C413,mfscreener.portfolio_holdings_v!$C:$C,mfscreener.portfolio_holdings_v!$D:$D)</f>
        <v>Equity</v>
      </c>
      <c r="F413" s="4">
        <v>288.5</v>
      </c>
      <c r="G413" s="4">
        <v>0.55000000000000004</v>
      </c>
      <c r="H413" s="4">
        <v>0.28999999999999998</v>
      </c>
      <c r="I413" s="1" t="s">
        <v>886</v>
      </c>
      <c r="J413" s="4">
        <v>12</v>
      </c>
      <c r="K413" s="1"/>
    </row>
    <row r="414" spans="1:11" ht="14">
      <c r="A414" s="20" t="s">
        <v>626</v>
      </c>
      <c r="B414" s="21" t="s">
        <v>856</v>
      </c>
      <c r="C414" s="21" t="s">
        <v>890</v>
      </c>
      <c r="D414" s="1" t="str">
        <f>_xlfn.XLOOKUP(C414,mfscreener.portfolio_holdings_v!$C:$C,mfscreener.portfolio_holdings_v!$E:$E)</f>
        <v>International - USA</v>
      </c>
      <c r="E414" s="1" t="str">
        <f>_xlfn.XLOOKUP(C414,mfscreener.portfolio_holdings_v!$C:$C,mfscreener.portfolio_holdings_v!$D:$D)</f>
        <v>Equity</v>
      </c>
      <c r="F414" s="4">
        <v>710.71</v>
      </c>
      <c r="G414" s="4">
        <v>1.25</v>
      </c>
      <c r="H414" s="4">
        <v>0.06</v>
      </c>
      <c r="I414" s="1" t="s">
        <v>886</v>
      </c>
      <c r="J414" s="4">
        <v>12</v>
      </c>
      <c r="K414" s="1"/>
    </row>
    <row r="415" spans="1:11" ht="14">
      <c r="A415" s="20" t="s">
        <v>626</v>
      </c>
      <c r="B415" s="21" t="s">
        <v>856</v>
      </c>
      <c r="C415" s="21" t="s">
        <v>891</v>
      </c>
      <c r="D415" s="1" t="str">
        <f>_xlfn.XLOOKUP(C415,mfscreener.portfolio_holdings_v!$C:$C,mfscreener.portfolio_holdings_v!$E:$E)</f>
        <v>International - Taiwan</v>
      </c>
      <c r="E415" s="1" t="str">
        <f>_xlfn.XLOOKUP(C415,mfscreener.portfolio_holdings_v!$C:$C,mfscreener.portfolio_holdings_v!$D:$D)</f>
        <v>Equity</v>
      </c>
      <c r="F415" s="4">
        <v>405.59</v>
      </c>
      <c r="G415" s="4">
        <v>1.01</v>
      </c>
      <c r="H415" s="4">
        <v>0.74</v>
      </c>
      <c r="I415" s="1" t="s">
        <v>886</v>
      </c>
      <c r="J415" s="4">
        <v>12</v>
      </c>
      <c r="K415" s="1"/>
    </row>
    <row r="416" spans="1:11" ht="14.5">
      <c r="A416" s="20" t="s">
        <v>626</v>
      </c>
      <c r="B416" s="21" t="s">
        <v>856</v>
      </c>
      <c r="C416" s="21" t="s">
        <v>892</v>
      </c>
      <c r="D416" s="1" t="s">
        <v>1493</v>
      </c>
      <c r="E416" s="1" t="str">
        <f>_xlfn.XLOOKUP(C416,mfscreener.portfolio_holdings_v!$C:$C,mfscreener.portfolio_holdings_v!$D:$D)</f>
        <v>Equity</v>
      </c>
      <c r="F416" s="7">
        <v>2866.23</v>
      </c>
      <c r="G416" s="4">
        <v>0.62</v>
      </c>
      <c r="H416" s="4">
        <v>0.45</v>
      </c>
      <c r="I416" s="1" t="s">
        <v>863</v>
      </c>
      <c r="J416" s="2" t="s">
        <v>864</v>
      </c>
      <c r="K416" s="1"/>
    </row>
    <row r="417" spans="1:11" ht="14">
      <c r="A417" s="20" t="s">
        <v>626</v>
      </c>
      <c r="B417" s="21" t="s">
        <v>856</v>
      </c>
      <c r="C417" s="21" t="s">
        <v>893</v>
      </c>
      <c r="D417" s="1" t="s">
        <v>1500</v>
      </c>
      <c r="E417" s="1" t="str">
        <f>_xlfn.XLOOKUP(C417,mfscreener.portfolio_holdings_v!$C:$C,mfscreener.portfolio_holdings_v!$D:$D)</f>
        <v>Equity</v>
      </c>
      <c r="F417" s="4">
        <v>296.79000000000002</v>
      </c>
      <c r="G417" s="4">
        <v>0.69</v>
      </c>
      <c r="H417" s="1"/>
      <c r="I417" s="1" t="s">
        <v>888</v>
      </c>
      <c r="J417" s="4">
        <v>20</v>
      </c>
      <c r="K417" s="1"/>
    </row>
    <row r="418" spans="1:11" ht="14">
      <c r="A418" s="20" t="s">
        <v>626</v>
      </c>
      <c r="B418" s="21" t="s">
        <v>856</v>
      </c>
      <c r="C418" s="21" t="s">
        <v>894</v>
      </c>
      <c r="D418" s="1" t="s">
        <v>1447</v>
      </c>
      <c r="E418" s="1" t="str">
        <f>_xlfn.XLOOKUP(C418,mfscreener.portfolio_holdings_v!$C:$C,mfscreener.portfolio_holdings_v!$D:$D)</f>
        <v>Equity</v>
      </c>
      <c r="F418" s="4">
        <v>431.81</v>
      </c>
      <c r="G418" s="4">
        <v>1.19</v>
      </c>
      <c r="H418" s="1"/>
      <c r="I418" s="1" t="s">
        <v>895</v>
      </c>
      <c r="J418" s="4">
        <v>19</v>
      </c>
      <c r="K418" s="1"/>
    </row>
    <row r="419" spans="1:11" ht="14">
      <c r="A419" s="20" t="s">
        <v>626</v>
      </c>
      <c r="B419" s="21" t="s">
        <v>856</v>
      </c>
      <c r="C419" s="21" t="s">
        <v>896</v>
      </c>
      <c r="D419" s="1" t="s">
        <v>1463</v>
      </c>
      <c r="E419" s="1" t="str">
        <f>_xlfn.XLOOKUP(C419,mfscreener.portfolio_holdings_v!$C:$C,mfscreener.portfolio_holdings_v!$D:$D)</f>
        <v>Equity</v>
      </c>
      <c r="F419" s="7">
        <v>4101.28</v>
      </c>
      <c r="G419" s="4">
        <v>1.08</v>
      </c>
      <c r="H419" s="4">
        <v>0.35</v>
      </c>
      <c r="I419" s="1" t="s">
        <v>897</v>
      </c>
      <c r="J419" s="1" t="s">
        <v>262</v>
      </c>
      <c r="K419" s="1"/>
    </row>
    <row r="420" spans="1:11" ht="14">
      <c r="A420" s="20" t="s">
        <v>626</v>
      </c>
      <c r="B420" s="21" t="s">
        <v>856</v>
      </c>
      <c r="C420" s="21" t="s">
        <v>898</v>
      </c>
      <c r="D420" s="1" t="s">
        <v>1462</v>
      </c>
      <c r="E420" s="1" t="str">
        <f>_xlfn.XLOOKUP(C420,mfscreener.portfolio_holdings_v!$C:$C,mfscreener.portfolio_holdings_v!$D:$D)</f>
        <v>Equity</v>
      </c>
      <c r="F420" s="4">
        <v>921.69</v>
      </c>
      <c r="G420" s="4">
        <v>1.0900000000000001</v>
      </c>
      <c r="H420" s="1"/>
      <c r="I420" s="1" t="s">
        <v>899</v>
      </c>
      <c r="J420" s="1" t="s">
        <v>900</v>
      </c>
      <c r="K420" s="1"/>
    </row>
    <row r="421" spans="1:11" ht="14">
      <c r="A421" s="20" t="s">
        <v>626</v>
      </c>
      <c r="B421" s="21" t="s">
        <v>856</v>
      </c>
      <c r="C421" s="21" t="s">
        <v>901</v>
      </c>
      <c r="D421" s="1" t="s">
        <v>1450</v>
      </c>
      <c r="E421" s="1" t="str">
        <f>_xlfn.XLOOKUP(C421,mfscreener.portfolio_holdings_v!$C:$C,mfscreener.portfolio_holdings_v!$D:$D)</f>
        <v>Equity</v>
      </c>
      <c r="F421" s="7">
        <v>9706.0499999999993</v>
      </c>
      <c r="G421" s="4">
        <v>0.56999999999999995</v>
      </c>
      <c r="H421" s="4">
        <v>1.98</v>
      </c>
      <c r="I421" s="1" t="s">
        <v>902</v>
      </c>
      <c r="J421" s="1" t="s">
        <v>903</v>
      </c>
      <c r="K421" s="1"/>
    </row>
    <row r="422" spans="1:11" ht="14">
      <c r="A422" s="20" t="s">
        <v>626</v>
      </c>
      <c r="B422" s="21" t="s">
        <v>856</v>
      </c>
      <c r="C422" s="21" t="s">
        <v>904</v>
      </c>
      <c r="D422" s="1" t="s">
        <v>1453</v>
      </c>
      <c r="E422" s="1" t="str">
        <f>_xlfn.XLOOKUP(C422,mfscreener.portfolio_holdings_v!$C:$C,mfscreener.portfolio_holdings_v!$D:$D)</f>
        <v>Equity</v>
      </c>
      <c r="F422" s="4">
        <v>888.32</v>
      </c>
      <c r="G422" s="4">
        <v>0.74</v>
      </c>
      <c r="H422" s="4">
        <v>5.83</v>
      </c>
      <c r="I422" s="1" t="s">
        <v>905</v>
      </c>
      <c r="J422" s="1" t="s">
        <v>906</v>
      </c>
      <c r="K422" s="4">
        <v>6</v>
      </c>
    </row>
    <row r="423" spans="1:11" ht="14">
      <c r="A423" s="20" t="s">
        <v>626</v>
      </c>
      <c r="B423" s="21" t="s">
        <v>856</v>
      </c>
      <c r="C423" s="21" t="s">
        <v>907</v>
      </c>
      <c r="D423" s="1" t="s">
        <v>1451</v>
      </c>
      <c r="E423" s="1" t="str">
        <f>_xlfn.XLOOKUP(C423,mfscreener.portfolio_holdings_v!$C:$C,mfscreener.portfolio_holdings_v!$D:$D)</f>
        <v>Equity</v>
      </c>
      <c r="F423" s="7">
        <v>9151.09</v>
      </c>
      <c r="G423" s="4">
        <v>0.27</v>
      </c>
      <c r="H423" s="4">
        <v>0.71</v>
      </c>
      <c r="I423" s="1" t="s">
        <v>908</v>
      </c>
      <c r="J423" s="1" t="s">
        <v>909</v>
      </c>
      <c r="K423" s="1"/>
    </row>
    <row r="424" spans="1:11" ht="14">
      <c r="A424" s="20"/>
      <c r="B424" s="25" t="s">
        <v>856</v>
      </c>
      <c r="C424" s="25" t="s">
        <v>910</v>
      </c>
      <c r="D424" s="1" t="e">
        <f>_xlfn.XLOOKUP(C424,mfscreener.portfolio_holdings_v!$C:$C,mfscreener.portfolio_holdings_v!$E:$E)</f>
        <v>#N/A</v>
      </c>
      <c r="E424" s="1" t="e">
        <f>_xlfn.XLOOKUP(C424,mfscreener.portfolio_holdings_v!$C:$C,mfscreener.portfolio_holdings_v!$D:$D)</f>
        <v>#N/A</v>
      </c>
      <c r="F424" s="7">
        <v>16028.87</v>
      </c>
      <c r="G424" s="4">
        <v>0.38</v>
      </c>
      <c r="H424" s="4">
        <v>12.2</v>
      </c>
      <c r="I424" s="1" t="s">
        <v>911</v>
      </c>
      <c r="J424" s="1" t="s">
        <v>912</v>
      </c>
      <c r="K424" s="1"/>
    </row>
    <row r="425" spans="1:11" ht="14.5">
      <c r="A425" s="20" t="s">
        <v>626</v>
      </c>
      <c r="B425" s="21" t="s">
        <v>913</v>
      </c>
      <c r="C425" s="21" t="s">
        <v>914</v>
      </c>
      <c r="D425" s="1" t="str">
        <f>_xlfn.XLOOKUP(C425,mfscreener.portfolio_holdings_v!$C:$C,mfscreener.portfolio_holdings_v!$E:$E)</f>
        <v>Flexi Cap</v>
      </c>
      <c r="E425" s="1" t="str">
        <f>_xlfn.XLOOKUP(C425,mfscreener.portfolio_holdings_v!$C:$C,mfscreener.portfolio_holdings_v!$D:$D)</f>
        <v>Equity</v>
      </c>
      <c r="F425" s="5">
        <v>131520</v>
      </c>
      <c r="G425" s="5">
        <v>0.63</v>
      </c>
      <c r="H425" s="5">
        <v>0.128</v>
      </c>
      <c r="I425" s="2" t="s">
        <v>915</v>
      </c>
      <c r="J425" s="2" t="s">
        <v>916</v>
      </c>
      <c r="K425" s="1"/>
    </row>
    <row r="426" spans="1:11" ht="14.5">
      <c r="A426" s="20" t="s">
        <v>626</v>
      </c>
      <c r="B426" s="21" t="s">
        <v>913</v>
      </c>
      <c r="C426" s="21" t="s">
        <v>917</v>
      </c>
      <c r="D426" s="1" t="str">
        <f>_xlfn.XLOOKUP(C426,mfscreener.portfolio_holdings_v!$C:$C,mfscreener.portfolio_holdings_v!$E:$E)</f>
        <v>ELSS</v>
      </c>
      <c r="E426" s="1" t="str">
        <f>_xlfn.XLOOKUP(C426,mfscreener.portfolio_holdings_v!$C:$C,mfscreener.portfolio_holdings_v!$D:$D)</f>
        <v>Equity</v>
      </c>
      <c r="F426" s="5">
        <v>5883.43</v>
      </c>
      <c r="G426" s="5">
        <v>0.62</v>
      </c>
      <c r="H426" s="5">
        <v>0.1452</v>
      </c>
      <c r="I426" s="2" t="s">
        <v>915</v>
      </c>
      <c r="J426" s="2" t="s">
        <v>916</v>
      </c>
      <c r="K426" s="1"/>
    </row>
    <row r="427" spans="1:11" ht="14">
      <c r="A427" s="20" t="s">
        <v>626</v>
      </c>
      <c r="B427" s="21" t="s">
        <v>913</v>
      </c>
      <c r="C427" s="21" t="s">
        <v>918</v>
      </c>
      <c r="D427" s="1" t="str">
        <f>_xlfn.XLOOKUP(C427,mfscreener.portfolio_holdings_v!$C:$C,mfscreener.portfolio_holdings_v!$E:$E)</f>
        <v>Liquid</v>
      </c>
      <c r="E427" s="1" t="str">
        <f>_xlfn.XLOOKUP(C427,mfscreener.portfolio_holdings_v!$C:$C,mfscreener.portfolio_holdings_v!$D:$D)</f>
        <v>Debt</v>
      </c>
      <c r="F427" s="32">
        <v>5056.84</v>
      </c>
      <c r="G427" s="1">
        <v>0.11</v>
      </c>
      <c r="H427" s="1"/>
      <c r="I427" s="1" t="s">
        <v>919</v>
      </c>
      <c r="J427" s="1" t="s">
        <v>920</v>
      </c>
      <c r="K427" s="1"/>
    </row>
    <row r="428" spans="1:11" ht="14.5">
      <c r="A428" s="20" t="s">
        <v>626</v>
      </c>
      <c r="B428" s="21" t="s">
        <v>913</v>
      </c>
      <c r="C428" s="21" t="s">
        <v>921</v>
      </c>
      <c r="D428" s="1" t="str">
        <f>_xlfn.XLOOKUP(C428,mfscreener.portfolio_holdings_v!$C:$C,mfscreener.portfolio_holdings_v!$E:$E)</f>
        <v>Dynamic Asset Allocation</v>
      </c>
      <c r="E428" s="1" t="str">
        <f>_xlfn.XLOOKUP(C428,mfscreener.portfolio_holdings_v!$C:$C,mfscreener.portfolio_holdings_v!$D:$D)</f>
        <v>Hybrid</v>
      </c>
      <c r="F428" s="8">
        <v>2716.19</v>
      </c>
      <c r="G428" s="5">
        <v>0.33</v>
      </c>
      <c r="H428" s="2"/>
      <c r="I428" s="2" t="s">
        <v>915</v>
      </c>
      <c r="J428" s="2" t="s">
        <v>916</v>
      </c>
      <c r="K428" s="1"/>
    </row>
    <row r="429" spans="1:11" ht="14.5">
      <c r="A429" s="20" t="s">
        <v>626</v>
      </c>
      <c r="B429" s="21" t="s">
        <v>913</v>
      </c>
      <c r="C429" s="21" t="s">
        <v>922</v>
      </c>
      <c r="D429" s="1" t="str">
        <f>_xlfn.XLOOKUP(C429,mfscreener.portfolio_holdings_v!$C:$C,mfscreener.portfolio_holdings_v!$E:$E)</f>
        <v>Conservative Hybrid Fund</v>
      </c>
      <c r="E429" s="1" t="str">
        <f>_xlfn.XLOOKUP(C429,mfscreener.portfolio_holdings_v!$C:$C,mfscreener.portfolio_holdings_v!$D:$D)</f>
        <v>Hybrid</v>
      </c>
      <c r="F429" s="32">
        <v>3194.11</v>
      </c>
      <c r="G429" s="1">
        <v>0.34</v>
      </c>
      <c r="H429" s="1"/>
      <c r="I429" s="2" t="s">
        <v>915</v>
      </c>
      <c r="J429" s="2" t="s">
        <v>916</v>
      </c>
      <c r="K429" s="1"/>
    </row>
    <row r="430" spans="1:11" ht="14.5">
      <c r="A430" s="20" t="s">
        <v>626</v>
      </c>
      <c r="B430" s="21" t="s">
        <v>923</v>
      </c>
      <c r="C430" s="21" t="s">
        <v>924</v>
      </c>
      <c r="D430" s="1" t="str">
        <f>_xlfn.XLOOKUP(C430,mfscreener.portfolio_holdings_v!$C:$C,mfscreener.portfolio_holdings_v!$E:$E)</f>
        <v>Large Cap</v>
      </c>
      <c r="E430" s="1" t="str">
        <f>_xlfn.XLOOKUP(C430,mfscreener.portfolio_holdings_v!$C:$C,mfscreener.portfolio_holdings_v!$D:$D)</f>
        <v>Equity</v>
      </c>
      <c r="F430" s="5">
        <v>598.95000000000005</v>
      </c>
      <c r="G430" s="5">
        <v>0.84</v>
      </c>
      <c r="H430" s="5">
        <v>0.21</v>
      </c>
      <c r="I430" s="1" t="s">
        <v>925</v>
      </c>
      <c r="J430" s="2" t="s">
        <v>926</v>
      </c>
      <c r="K430" s="1"/>
    </row>
    <row r="431" spans="1:11" ht="14.5">
      <c r="A431" s="20" t="s">
        <v>626</v>
      </c>
      <c r="B431" s="21" t="s">
        <v>923</v>
      </c>
      <c r="C431" s="21" t="s">
        <v>927</v>
      </c>
      <c r="D431" s="1" t="str">
        <f>_xlfn.XLOOKUP(C431,mfscreener.portfolio_holdings_v!$C:$C,mfscreener.portfolio_holdings_v!$E:$E)</f>
        <v>Large &amp; Mid Cap</v>
      </c>
      <c r="E431" s="1" t="str">
        <f>_xlfn.XLOOKUP(C431,mfscreener.portfolio_holdings_v!$C:$C,mfscreener.portfolio_holdings_v!$D:$D)</f>
        <v>Equity</v>
      </c>
      <c r="F431" s="5">
        <v>808.99</v>
      </c>
      <c r="G431" s="5">
        <v>0.6</v>
      </c>
      <c r="H431" s="5">
        <v>0.23</v>
      </c>
      <c r="I431" s="1" t="s">
        <v>928</v>
      </c>
      <c r="J431" s="2" t="s">
        <v>929</v>
      </c>
      <c r="K431" s="1"/>
    </row>
    <row r="432" spans="1:11" ht="14.5">
      <c r="A432" s="20" t="s">
        <v>626</v>
      </c>
      <c r="B432" s="21" t="s">
        <v>923</v>
      </c>
      <c r="C432" s="21" t="s">
        <v>930</v>
      </c>
      <c r="D432" s="1" t="str">
        <f>_xlfn.XLOOKUP(C432,mfscreener.portfolio_holdings_v!$C:$C,mfscreener.portfolio_holdings_v!$E:$E)</f>
        <v>Mid Cap</v>
      </c>
      <c r="E432" s="1" t="str">
        <f>_xlfn.XLOOKUP(C432,mfscreener.portfolio_holdings_v!$C:$C,mfscreener.portfolio_holdings_v!$D:$D)</f>
        <v>Equity</v>
      </c>
      <c r="F432" s="5">
        <v>11271.9</v>
      </c>
      <c r="G432" s="5">
        <v>0.47</v>
      </c>
      <c r="H432" s="5">
        <v>0.4</v>
      </c>
      <c r="I432" s="1" t="s">
        <v>931</v>
      </c>
      <c r="J432" s="2" t="s">
        <v>932</v>
      </c>
      <c r="K432" s="1"/>
    </row>
    <row r="433" spans="1:11" ht="14.5">
      <c r="A433" s="20" t="s">
        <v>626</v>
      </c>
      <c r="B433" s="21" t="s">
        <v>923</v>
      </c>
      <c r="C433" s="21" t="s">
        <v>933</v>
      </c>
      <c r="D433" s="1" t="str">
        <f>_xlfn.XLOOKUP(C433,mfscreener.portfolio_holdings_v!$C:$C,mfscreener.portfolio_holdings_v!$E:$E)</f>
        <v>Small Cap</v>
      </c>
      <c r="E433" s="1" t="str">
        <f>_xlfn.XLOOKUP(C433,mfscreener.portfolio_holdings_v!$C:$C,mfscreener.portfolio_holdings_v!$D:$D)</f>
        <v>Equity</v>
      </c>
      <c r="F433" s="5">
        <v>1564.75</v>
      </c>
      <c r="G433" s="5">
        <v>0.56000000000000005</v>
      </c>
      <c r="H433" s="5">
        <v>0.42</v>
      </c>
      <c r="I433" s="1" t="s">
        <v>934</v>
      </c>
      <c r="J433" s="2" t="s">
        <v>932</v>
      </c>
      <c r="K433" s="1"/>
    </row>
    <row r="434" spans="1:11" ht="14.5">
      <c r="A434" s="20" t="s">
        <v>626</v>
      </c>
      <c r="B434" s="21" t="s">
        <v>923</v>
      </c>
      <c r="C434" s="21" t="s">
        <v>935</v>
      </c>
      <c r="D434" s="1" t="str">
        <f>_xlfn.XLOOKUP(C434,mfscreener.portfolio_holdings_v!$C:$C,mfscreener.portfolio_holdings_v!$E:$E)</f>
        <v>Flexi Cap</v>
      </c>
      <c r="E434" s="1" t="str">
        <f>_xlfn.XLOOKUP(C434,mfscreener.portfolio_holdings_v!$C:$C,mfscreener.portfolio_holdings_v!$D:$D)</f>
        <v>Equity</v>
      </c>
      <c r="F434" s="5">
        <v>6288.49</v>
      </c>
      <c r="G434" s="5">
        <v>0.45</v>
      </c>
      <c r="H434" s="5">
        <v>0.28999999999999998</v>
      </c>
      <c r="I434" s="1" t="s">
        <v>936</v>
      </c>
      <c r="J434" s="2" t="s">
        <v>937</v>
      </c>
      <c r="K434" s="1"/>
    </row>
    <row r="435" spans="1:11" ht="14.5">
      <c r="A435" s="20" t="s">
        <v>626</v>
      </c>
      <c r="B435" s="21" t="s">
        <v>923</v>
      </c>
      <c r="C435" s="21" t="s">
        <v>938</v>
      </c>
      <c r="D435" s="1" t="str">
        <f>_xlfn.XLOOKUP(C435,mfscreener.portfolio_holdings_v!$C:$C,mfscreener.portfolio_holdings_v!$E:$E)</f>
        <v>Multi Cap</v>
      </c>
      <c r="E435" s="1" t="str">
        <f>_xlfn.XLOOKUP(C435,mfscreener.portfolio_holdings_v!$C:$C,mfscreener.portfolio_holdings_v!$D:$D)</f>
        <v>Equity</v>
      </c>
      <c r="F435" s="5">
        <v>417.6</v>
      </c>
      <c r="G435" s="5">
        <v>0.71</v>
      </c>
      <c r="H435" s="5">
        <v>0.24</v>
      </c>
      <c r="I435" s="1" t="s">
        <v>939</v>
      </c>
      <c r="J435" s="2" t="s">
        <v>940</v>
      </c>
      <c r="K435" s="1"/>
    </row>
    <row r="436" spans="1:11" ht="14.5">
      <c r="A436" s="20" t="s">
        <v>626</v>
      </c>
      <c r="B436" s="21" t="s">
        <v>923</v>
      </c>
      <c r="C436" s="21" t="s">
        <v>941</v>
      </c>
      <c r="D436" s="1" t="s">
        <v>1480</v>
      </c>
      <c r="E436" s="1" t="str">
        <f>_xlfn.XLOOKUP(C436,mfscreener.portfolio_holdings_v!$C:$C,mfscreener.portfolio_holdings_v!$D:$D)</f>
        <v>Equity</v>
      </c>
      <c r="F436" s="9">
        <v>97.02</v>
      </c>
      <c r="G436" s="1">
        <v>0.65</v>
      </c>
      <c r="H436" s="1">
        <v>0.25</v>
      </c>
      <c r="I436" s="1" t="s">
        <v>939</v>
      </c>
      <c r="J436" s="2" t="s">
        <v>940</v>
      </c>
      <c r="K436" s="1"/>
    </row>
    <row r="437" spans="1:11" ht="14.5">
      <c r="A437" s="20" t="s">
        <v>626</v>
      </c>
      <c r="B437" s="21" t="s">
        <v>923</v>
      </c>
      <c r="C437" s="21" t="s">
        <v>942</v>
      </c>
      <c r="D437" s="1" t="s">
        <v>1436</v>
      </c>
      <c r="E437" s="1" t="str">
        <f>_xlfn.XLOOKUP(C437,mfscreener.portfolio_holdings_v!$C:$C,mfscreener.portfolio_holdings_v!$D:$D)</f>
        <v>Equity</v>
      </c>
      <c r="F437" s="5">
        <v>770.58</v>
      </c>
      <c r="G437" s="5">
        <v>0.72</v>
      </c>
      <c r="H437" s="5">
        <v>0.28000000000000003</v>
      </c>
      <c r="I437" s="1" t="s">
        <v>943</v>
      </c>
      <c r="J437" s="2" t="s">
        <v>944</v>
      </c>
      <c r="K437" s="1"/>
    </row>
    <row r="438" spans="1:11" ht="14.5">
      <c r="A438" s="20" t="s">
        <v>626</v>
      </c>
      <c r="B438" s="21" t="s">
        <v>923</v>
      </c>
      <c r="C438" s="21" t="s">
        <v>945</v>
      </c>
      <c r="D438" s="1" t="str">
        <f>_xlfn.XLOOKUP(C438,mfscreener.portfolio_holdings_v!$C:$C,mfscreener.portfolio_holdings_v!$E:$E)</f>
        <v>Aggressive Hybrid Equity</v>
      </c>
      <c r="E438" s="1" t="str">
        <f>_xlfn.XLOOKUP(C438,mfscreener.portfolio_holdings_v!$C:$C,mfscreener.portfolio_holdings_v!$D:$D)</f>
        <v>Hybrid</v>
      </c>
      <c r="F438" s="9">
        <v>216.45</v>
      </c>
      <c r="G438" s="1">
        <v>0.79</v>
      </c>
      <c r="H438" s="1">
        <v>0.21</v>
      </c>
      <c r="I438" s="1" t="s">
        <v>936</v>
      </c>
      <c r="J438" s="2" t="s">
        <v>937</v>
      </c>
      <c r="K438" s="1"/>
    </row>
    <row r="439" spans="1:11" ht="14.5">
      <c r="A439" s="20" t="s">
        <v>626</v>
      </c>
      <c r="B439" s="21" t="s">
        <v>923</v>
      </c>
      <c r="C439" s="21" t="s">
        <v>946</v>
      </c>
      <c r="D439" s="1" t="str">
        <f>_xlfn.XLOOKUP(C439,mfscreener.portfolio_holdings_v!$C:$C,mfscreener.portfolio_holdings_v!$E:$E)</f>
        <v>Balanced Advantage</v>
      </c>
      <c r="E439" s="1" t="str">
        <f>_xlfn.XLOOKUP(C439,mfscreener.portfolio_holdings_v!$C:$C,mfscreener.portfolio_holdings_v!$D:$D)</f>
        <v>Hybrid</v>
      </c>
      <c r="F439" s="9">
        <v>935.39</v>
      </c>
      <c r="G439" s="1">
        <v>0.56999999999999995</v>
      </c>
      <c r="H439" s="1">
        <v>0.16</v>
      </c>
      <c r="I439" s="1" t="s">
        <v>947</v>
      </c>
      <c r="J439" s="2" t="s">
        <v>948</v>
      </c>
      <c r="K439" s="1"/>
    </row>
    <row r="440" spans="1:11" ht="14.5">
      <c r="A440" s="20" t="s">
        <v>626</v>
      </c>
      <c r="B440" s="21" t="s">
        <v>923</v>
      </c>
      <c r="C440" s="21" t="s">
        <v>949</v>
      </c>
      <c r="D440" s="1" t="str">
        <f>_xlfn.XLOOKUP(C440,mfscreener.portfolio_holdings_v!$C:$C,mfscreener.portfolio_holdings_v!$E:$E)</f>
        <v>Equity Savings</v>
      </c>
      <c r="E440" s="1" t="str">
        <f>_xlfn.XLOOKUP(C440,mfscreener.portfolio_holdings_v!$C:$C,mfscreener.portfolio_holdings_v!$D:$D)</f>
        <v>Hybrid</v>
      </c>
      <c r="F440" s="9">
        <v>67.349999999999994</v>
      </c>
      <c r="G440" s="1">
        <v>0.57999999999999996</v>
      </c>
      <c r="H440" s="1">
        <v>0.02</v>
      </c>
      <c r="I440" s="1" t="s">
        <v>939</v>
      </c>
      <c r="J440" s="2" t="s">
        <v>940</v>
      </c>
      <c r="K440" s="1"/>
    </row>
    <row r="441" spans="1:11" ht="14.5">
      <c r="A441" s="20" t="s">
        <v>626</v>
      </c>
      <c r="B441" s="21" t="s">
        <v>923</v>
      </c>
      <c r="C441" s="21" t="s">
        <v>950</v>
      </c>
      <c r="D441" s="1" t="str">
        <f>_xlfn.XLOOKUP(C441,mfscreener.portfolio_holdings_v!$C:$C,mfscreener.portfolio_holdings_v!$E:$E)</f>
        <v>Multi Asset Allocation</v>
      </c>
      <c r="E441" s="1" t="str">
        <f>_xlfn.XLOOKUP(C441,mfscreener.portfolio_holdings_v!$C:$C,mfscreener.portfolio_holdings_v!$D:$D)</f>
        <v>Hybrid</v>
      </c>
      <c r="F441" s="9">
        <v>166.27</v>
      </c>
      <c r="G441" s="1">
        <v>0.62</v>
      </c>
      <c r="H441" s="1">
        <v>0.01</v>
      </c>
      <c r="I441" s="1" t="s">
        <v>951</v>
      </c>
      <c r="J441" s="2" t="s">
        <v>952</v>
      </c>
      <c r="K441" s="1"/>
    </row>
    <row r="442" spans="1:11" ht="14">
      <c r="A442" s="20" t="s">
        <v>626</v>
      </c>
      <c r="B442" s="21" t="s">
        <v>923</v>
      </c>
      <c r="C442" s="21" t="s">
        <v>953</v>
      </c>
      <c r="D442" s="1" t="str">
        <f>_xlfn.XLOOKUP(C442,mfscreener.portfolio_holdings_v!$C:$C,mfscreener.portfolio_holdings_v!$E:$E)</f>
        <v>Arbitrage Fund</v>
      </c>
      <c r="E442" s="1" t="str">
        <f>_xlfn.XLOOKUP(C442,mfscreener.portfolio_holdings_v!$C:$C,mfscreener.portfolio_holdings_v!$D:$D)</f>
        <v>Hybrid</v>
      </c>
      <c r="F442" s="9">
        <v>92.42</v>
      </c>
      <c r="G442" s="1">
        <v>0.36</v>
      </c>
      <c r="H442" s="1">
        <v>1.24</v>
      </c>
      <c r="I442" s="9" t="s">
        <v>954</v>
      </c>
      <c r="J442" s="1" t="s">
        <v>955</v>
      </c>
      <c r="K442" s="1"/>
    </row>
    <row r="443" spans="1:11" ht="14">
      <c r="A443" s="20" t="s">
        <v>626</v>
      </c>
      <c r="B443" s="21" t="s">
        <v>956</v>
      </c>
      <c r="C443" s="21" t="s">
        <v>957</v>
      </c>
      <c r="D443" s="1" t="str">
        <f>_xlfn.XLOOKUP(C443,mfscreener.portfolio_holdings_v!$C:$C,mfscreener.portfolio_holdings_v!$E:$E)</f>
        <v>Large Cap</v>
      </c>
      <c r="E443" s="1" t="str">
        <f>_xlfn.XLOOKUP(C443,mfscreener.portfolio_holdings_v!$C:$C,mfscreener.portfolio_holdings_v!$D:$D)</f>
        <v>Equity</v>
      </c>
      <c r="F443" s="1">
        <v>2917</v>
      </c>
      <c r="G443" s="1">
        <v>0.35</v>
      </c>
      <c r="H443" s="1">
        <v>5.29</v>
      </c>
      <c r="I443" s="9" t="s">
        <v>958</v>
      </c>
      <c r="J443" s="1" t="s">
        <v>959</v>
      </c>
      <c r="K443" s="1"/>
    </row>
    <row r="444" spans="1:11" ht="14">
      <c r="A444" s="20" t="s">
        <v>626</v>
      </c>
      <c r="B444" s="21" t="s">
        <v>956</v>
      </c>
      <c r="C444" s="21" t="s">
        <v>960</v>
      </c>
      <c r="D444" s="1" t="str">
        <f>_xlfn.XLOOKUP(C444,mfscreener.portfolio_holdings_v!$C:$C,mfscreener.portfolio_holdings_v!$E:$E)</f>
        <v>Large &amp; Mid Cap</v>
      </c>
      <c r="E444" s="1" t="str">
        <f>_xlfn.XLOOKUP(C444,mfscreener.portfolio_holdings_v!$C:$C,mfscreener.portfolio_holdings_v!$D:$D)</f>
        <v>Equity</v>
      </c>
      <c r="F444" s="1">
        <v>3512</v>
      </c>
      <c r="G444" s="1">
        <v>0.6</v>
      </c>
      <c r="H444" s="1">
        <v>2.25</v>
      </c>
      <c r="I444" s="9" t="s">
        <v>961</v>
      </c>
      <c r="J444" s="1" t="s">
        <v>962</v>
      </c>
      <c r="K444" s="1"/>
    </row>
    <row r="445" spans="1:11" ht="14">
      <c r="A445" s="20" t="s">
        <v>626</v>
      </c>
      <c r="B445" s="21" t="s">
        <v>956</v>
      </c>
      <c r="C445" s="21" t="s">
        <v>963</v>
      </c>
      <c r="D445" s="1" t="str">
        <f>_xlfn.XLOOKUP(C445,mfscreener.portfolio_holdings_v!$C:$C,mfscreener.portfolio_holdings_v!$E:$E)</f>
        <v>Mid Cap</v>
      </c>
      <c r="E445" s="1" t="str">
        <f>_xlfn.XLOOKUP(C445,mfscreener.portfolio_holdings_v!$C:$C,mfscreener.portfolio_holdings_v!$D:$D)</f>
        <v>Equity</v>
      </c>
      <c r="F445" s="1">
        <v>8352</v>
      </c>
      <c r="G445" s="1">
        <v>0.61</v>
      </c>
      <c r="H445" s="1">
        <v>2.73</v>
      </c>
      <c r="I445" s="9" t="s">
        <v>961</v>
      </c>
      <c r="J445" s="1" t="s">
        <v>962</v>
      </c>
      <c r="K445" s="1"/>
    </row>
    <row r="446" spans="1:11" ht="14">
      <c r="A446" s="20" t="s">
        <v>626</v>
      </c>
      <c r="B446" s="21" t="s">
        <v>956</v>
      </c>
      <c r="C446" s="21" t="s">
        <v>964</v>
      </c>
      <c r="D446" s="1" t="str">
        <f>_xlfn.XLOOKUP(C446,mfscreener.portfolio_holdings_v!$C:$C,mfscreener.portfolio_holdings_v!$E:$E)</f>
        <v>Small Cap</v>
      </c>
      <c r="E446" s="1" t="str">
        <f>_xlfn.XLOOKUP(C446,mfscreener.portfolio_holdings_v!$C:$C,mfscreener.portfolio_holdings_v!$D:$D)</f>
        <v>Equity</v>
      </c>
      <c r="F446" s="1">
        <v>30170</v>
      </c>
      <c r="G446" s="1">
        <v>0.61</v>
      </c>
      <c r="H446" s="1">
        <v>0.62</v>
      </c>
      <c r="I446" s="9" t="s">
        <v>961</v>
      </c>
      <c r="J446" s="1" t="s">
        <v>962</v>
      </c>
      <c r="K446" s="1"/>
    </row>
    <row r="447" spans="1:11" ht="14">
      <c r="A447" s="20" t="s">
        <v>626</v>
      </c>
      <c r="B447" s="21" t="s">
        <v>956</v>
      </c>
      <c r="C447" s="21" t="s">
        <v>965</v>
      </c>
      <c r="D447" s="1" t="str">
        <f>_xlfn.XLOOKUP(C447,mfscreener.portfolio_holdings_v!$C:$C,mfscreener.portfolio_holdings_v!$E:$E)</f>
        <v>Flexi Cap</v>
      </c>
      <c r="E447" s="1" t="str">
        <f>_xlfn.XLOOKUP(C447,mfscreener.portfolio_holdings_v!$C:$C,mfscreener.portfolio_holdings_v!$D:$D)</f>
        <v>Equity</v>
      </c>
      <c r="F447" s="1">
        <v>6867</v>
      </c>
      <c r="G447" s="1">
        <v>0.55000000000000004</v>
      </c>
      <c r="H447" s="1">
        <v>2.52</v>
      </c>
      <c r="I447" s="9" t="s">
        <v>958</v>
      </c>
      <c r="J447" s="1" t="s">
        <v>959</v>
      </c>
      <c r="K447" s="1"/>
    </row>
    <row r="448" spans="1:11" ht="14">
      <c r="A448" s="20" t="s">
        <v>626</v>
      </c>
      <c r="B448" s="21" t="s">
        <v>956</v>
      </c>
      <c r="C448" s="21" t="s">
        <v>966</v>
      </c>
      <c r="D448" s="1" t="str">
        <f>_xlfn.XLOOKUP(C448,mfscreener.portfolio_holdings_v!$C:$C,mfscreener.portfolio_holdings_v!$E:$E)</f>
        <v>Multi Cap</v>
      </c>
      <c r="E448" s="1" t="str">
        <f>_xlfn.XLOOKUP(C448,mfscreener.portfolio_holdings_v!$C:$C,mfscreener.portfolio_holdings_v!$D:$D)</f>
        <v>Equity</v>
      </c>
      <c r="F448" s="1">
        <v>8804</v>
      </c>
      <c r="G448" s="1">
        <v>0.53</v>
      </c>
      <c r="H448" s="1">
        <v>2.14</v>
      </c>
      <c r="I448" s="9" t="s">
        <v>958</v>
      </c>
      <c r="J448" s="1" t="s">
        <v>959</v>
      </c>
      <c r="K448" s="1"/>
    </row>
    <row r="449" spans="1:11" ht="14">
      <c r="A449" s="20" t="s">
        <v>626</v>
      </c>
      <c r="B449" s="21" t="s">
        <v>956</v>
      </c>
      <c r="C449" s="21" t="s">
        <v>967</v>
      </c>
      <c r="D449" s="1" t="str">
        <f>_xlfn.XLOOKUP(C449,mfscreener.portfolio_holdings_v!$C:$C,mfscreener.portfolio_holdings_v!$E:$E)</f>
        <v>Focused Fund</v>
      </c>
      <c r="E449" s="1" t="str">
        <f>_xlfn.XLOOKUP(C449,mfscreener.portfolio_holdings_v!$C:$C,mfscreener.portfolio_holdings_v!$D:$D)</f>
        <v>Equity</v>
      </c>
      <c r="F449" s="1">
        <v>944</v>
      </c>
      <c r="G449" s="1">
        <v>0.64</v>
      </c>
      <c r="H449" s="1">
        <v>5.21</v>
      </c>
      <c r="I449" s="9" t="s">
        <v>958</v>
      </c>
      <c r="J449" s="1" t="s">
        <v>959</v>
      </c>
      <c r="K449" s="1"/>
    </row>
    <row r="450" spans="1:11" ht="14">
      <c r="A450" s="20" t="s">
        <v>626</v>
      </c>
      <c r="B450" s="21" t="s">
        <v>956</v>
      </c>
      <c r="C450" s="21" t="s">
        <v>968</v>
      </c>
      <c r="D450" s="1" t="str">
        <f>_xlfn.XLOOKUP(C450,mfscreener.portfolio_holdings_v!$C:$C,mfscreener.portfolio_holdings_v!$E:$E)</f>
        <v>Value Fund</v>
      </c>
      <c r="E450" s="1" t="str">
        <f>_xlfn.XLOOKUP(C450,mfscreener.portfolio_holdings_v!$C:$C,mfscreener.portfolio_holdings_v!$D:$D)</f>
        <v>Equity</v>
      </c>
      <c r="F450" s="1">
        <v>1738</v>
      </c>
      <c r="G450" s="1">
        <v>0.43</v>
      </c>
      <c r="H450" s="1">
        <v>2.15</v>
      </c>
      <c r="I450" s="9" t="s">
        <v>961</v>
      </c>
      <c r="J450" s="1" t="s">
        <v>962</v>
      </c>
      <c r="K450" s="1"/>
    </row>
    <row r="451" spans="1:11" ht="14">
      <c r="A451" s="20" t="s">
        <v>626</v>
      </c>
      <c r="B451" s="21" t="s">
        <v>956</v>
      </c>
      <c r="C451" s="21" t="s">
        <v>969</v>
      </c>
      <c r="D451" s="1" t="s">
        <v>1436</v>
      </c>
      <c r="E451" s="1" t="str">
        <f>_xlfn.XLOOKUP(C451,mfscreener.portfolio_holdings_v!$C:$C,mfscreener.portfolio_holdings_v!$D:$D)</f>
        <v>Equity</v>
      </c>
      <c r="F451" s="1">
        <v>12514</v>
      </c>
      <c r="G451" s="1">
        <v>0.57999999999999996</v>
      </c>
      <c r="H451" s="1">
        <v>0.63</v>
      </c>
      <c r="I451" s="9" t="s">
        <v>961</v>
      </c>
      <c r="J451" s="1" t="s">
        <v>962</v>
      </c>
      <c r="K451" s="1"/>
    </row>
    <row r="452" spans="1:11" ht="14">
      <c r="A452" s="20" t="s">
        <v>626</v>
      </c>
      <c r="B452" s="21" t="s">
        <v>956</v>
      </c>
      <c r="C452" s="21" t="s">
        <v>970</v>
      </c>
      <c r="D452" s="1" t="str">
        <f>_xlfn.XLOOKUP(C452,mfscreener.portfolio_holdings_v!$C:$C,mfscreener.portfolio_holdings_v!$E:$E)</f>
        <v>Banking &amp; Financial Services</v>
      </c>
      <c r="E452" s="1" t="str">
        <f>_xlfn.XLOOKUP(C452,mfscreener.portfolio_holdings_v!$C:$C,mfscreener.portfolio_holdings_v!$D:$D)</f>
        <v>Equity</v>
      </c>
      <c r="F452" s="1">
        <v>729</v>
      </c>
      <c r="G452" s="1">
        <v>0.61</v>
      </c>
      <c r="H452" s="1">
        <v>6.34</v>
      </c>
      <c r="I452" s="9" t="s">
        <v>961</v>
      </c>
      <c r="J452" s="1" t="s">
        <v>962</v>
      </c>
      <c r="K452" s="1"/>
    </row>
    <row r="453" spans="1:11" ht="14">
      <c r="A453" s="20" t="s">
        <v>626</v>
      </c>
      <c r="B453" s="21" t="s">
        <v>956</v>
      </c>
      <c r="C453" s="21" t="s">
        <v>971</v>
      </c>
      <c r="D453" s="1" t="str">
        <f>_xlfn.XLOOKUP(C453,mfscreener.portfolio_holdings_v!$C:$C,mfscreener.portfolio_holdings_v!$E:$E)</f>
        <v>PSU Fund</v>
      </c>
      <c r="E453" s="1" t="str">
        <f>_xlfn.XLOOKUP(C453,mfscreener.portfolio_holdings_v!$C:$C,mfscreener.portfolio_holdings_v!$D:$D)</f>
        <v>Equity</v>
      </c>
      <c r="F453" s="1">
        <v>568</v>
      </c>
      <c r="G453" s="1">
        <v>0.89</v>
      </c>
      <c r="H453" s="1">
        <v>5.69</v>
      </c>
      <c r="I453" s="9" t="s">
        <v>961</v>
      </c>
      <c r="J453" s="1" t="s">
        <v>962</v>
      </c>
      <c r="K453" s="1"/>
    </row>
    <row r="454" spans="1:11" ht="14">
      <c r="A454" s="20" t="s">
        <v>626</v>
      </c>
      <c r="B454" s="21" t="s">
        <v>956</v>
      </c>
      <c r="C454" s="21" t="s">
        <v>972</v>
      </c>
      <c r="D454" s="1" t="s">
        <v>1491</v>
      </c>
      <c r="E454" s="1" t="str">
        <f>_xlfn.XLOOKUP(C454,mfscreener.portfolio_holdings_v!$C:$C,mfscreener.portfolio_holdings_v!$D:$D)</f>
        <v>Equity</v>
      </c>
      <c r="F454" s="1">
        <v>317</v>
      </c>
      <c r="G454" s="1">
        <v>0.71</v>
      </c>
      <c r="H454" s="1">
        <v>4.08</v>
      </c>
      <c r="I454" s="9" t="s">
        <v>961</v>
      </c>
      <c r="J454" s="1" t="s">
        <v>962</v>
      </c>
      <c r="K454" s="1"/>
    </row>
    <row r="455" spans="1:11" ht="14">
      <c r="A455" s="20" t="s">
        <v>626</v>
      </c>
      <c r="B455" s="21" t="s">
        <v>956</v>
      </c>
      <c r="C455" s="21" t="s">
        <v>973</v>
      </c>
      <c r="D455" s="1" t="s">
        <v>1445</v>
      </c>
      <c r="E455" s="1" t="str">
        <f>_xlfn.XLOOKUP(C455,mfscreener.portfolio_holdings_v!$C:$C,mfscreener.portfolio_holdings_v!$D:$D)</f>
        <v>Equity</v>
      </c>
      <c r="F455" s="1">
        <v>3188</v>
      </c>
      <c r="G455" s="1">
        <v>0.57999999999999996</v>
      </c>
      <c r="H455" s="1">
        <v>1.75</v>
      </c>
      <c r="I455" s="9" t="s">
        <v>958</v>
      </c>
      <c r="J455" s="1" t="s">
        <v>959</v>
      </c>
      <c r="K455" s="1"/>
    </row>
    <row r="456" spans="1:11" ht="14">
      <c r="A456" s="20" t="s">
        <v>626</v>
      </c>
      <c r="B456" s="21" t="s">
        <v>956</v>
      </c>
      <c r="C456" s="21" t="s">
        <v>974</v>
      </c>
      <c r="D456" s="1" t="s">
        <v>1458</v>
      </c>
      <c r="E456" s="1" t="str">
        <f>_xlfn.XLOOKUP(C456,mfscreener.portfolio_holdings_v!$C:$C,mfscreener.portfolio_holdings_v!$D:$D)</f>
        <v>Equity</v>
      </c>
      <c r="F456" s="1">
        <v>730</v>
      </c>
      <c r="G456" s="1">
        <v>0.8</v>
      </c>
      <c r="H456" s="1">
        <v>3.1</v>
      </c>
      <c r="I456" s="9" t="s">
        <v>958</v>
      </c>
      <c r="J456" s="1" t="s">
        <v>959</v>
      </c>
      <c r="K456" s="1"/>
    </row>
    <row r="457" spans="1:11" ht="14">
      <c r="A457" s="20" t="s">
        <v>626</v>
      </c>
      <c r="B457" s="21" t="s">
        <v>956</v>
      </c>
      <c r="C457" s="21" t="s">
        <v>975</v>
      </c>
      <c r="D457" s="1" t="s">
        <v>1480</v>
      </c>
      <c r="E457" s="1" t="str">
        <f>_xlfn.XLOOKUP(C457,mfscreener.portfolio_holdings_v!$C:$C,mfscreener.portfolio_holdings_v!$D:$D)</f>
        <v>Equity</v>
      </c>
      <c r="F457" s="1">
        <v>379</v>
      </c>
      <c r="G457" s="1">
        <v>0.66</v>
      </c>
      <c r="H457" s="1">
        <v>2.85</v>
      </c>
      <c r="I457" s="9" t="s">
        <v>961</v>
      </c>
      <c r="J457" s="1" t="s">
        <v>962</v>
      </c>
      <c r="K457" s="1"/>
    </row>
    <row r="458" spans="1:11" ht="14">
      <c r="A458" s="20" t="s">
        <v>626</v>
      </c>
      <c r="B458" s="21" t="s">
        <v>956</v>
      </c>
      <c r="C458" s="21" t="s">
        <v>976</v>
      </c>
      <c r="D458" s="1" t="s">
        <v>1459</v>
      </c>
      <c r="E458" s="1" t="str">
        <f>_xlfn.XLOOKUP(C458,mfscreener.portfolio_holdings_v!$C:$C,mfscreener.portfolio_holdings_v!$D:$D)</f>
        <v>Equity</v>
      </c>
      <c r="F458" s="1">
        <v>218</v>
      </c>
      <c r="G458" s="1">
        <v>0.77</v>
      </c>
      <c r="H458" s="1">
        <v>4.28</v>
      </c>
      <c r="I458" s="9" t="s">
        <v>961</v>
      </c>
      <c r="J458" s="1" t="s">
        <v>962</v>
      </c>
      <c r="K458" s="1"/>
    </row>
    <row r="459" spans="1:11" ht="14">
      <c r="A459" s="20" t="s">
        <v>626</v>
      </c>
      <c r="B459" s="21" t="s">
        <v>956</v>
      </c>
      <c r="C459" s="21" t="s">
        <v>977</v>
      </c>
      <c r="D459" s="1" t="s">
        <v>1592</v>
      </c>
      <c r="E459" s="1" t="str">
        <f>_xlfn.XLOOKUP(C459,mfscreener.portfolio_holdings_v!$C:$C,mfscreener.portfolio_holdings_v!$D:$D)</f>
        <v>Equity</v>
      </c>
      <c r="F459" s="1">
        <v>331</v>
      </c>
      <c r="G459" s="1">
        <v>0.81</v>
      </c>
      <c r="H459" s="1">
        <v>3.73</v>
      </c>
      <c r="I459" s="9" t="s">
        <v>961</v>
      </c>
      <c r="J459" s="1" t="s">
        <v>962</v>
      </c>
      <c r="K459" s="1"/>
    </row>
    <row r="460" spans="1:11" ht="14">
      <c r="A460" s="20" t="s">
        <v>626</v>
      </c>
      <c r="B460" s="21" t="s">
        <v>956</v>
      </c>
      <c r="C460" s="21" t="s">
        <v>978</v>
      </c>
      <c r="D460" s="1" t="str">
        <f>_xlfn.XLOOKUP(C460,mfscreener.portfolio_holdings_v!$C:$C,mfscreener.portfolio_holdings_v!$E:$E)</f>
        <v>Business Cycle</v>
      </c>
      <c r="E460" s="1" t="str">
        <f>_xlfn.XLOOKUP(C460,mfscreener.portfolio_holdings_v!$C:$C,mfscreener.portfolio_holdings_v!$D:$D)</f>
        <v>Equity</v>
      </c>
      <c r="F460" s="1">
        <v>1129</v>
      </c>
      <c r="G460" s="1">
        <v>0.56000000000000005</v>
      </c>
      <c r="H460" s="1">
        <v>4.1900000000000004</v>
      </c>
      <c r="I460" s="9" t="s">
        <v>958</v>
      </c>
      <c r="J460" s="1" t="s">
        <v>959</v>
      </c>
      <c r="K460" s="1"/>
    </row>
    <row r="461" spans="1:11" ht="14">
      <c r="A461" s="20" t="s">
        <v>626</v>
      </c>
      <c r="B461" s="21" t="s">
        <v>956</v>
      </c>
      <c r="C461" s="21" t="s">
        <v>979</v>
      </c>
      <c r="D461" s="1" t="s">
        <v>1593</v>
      </c>
      <c r="E461" s="1" t="str">
        <f>_xlfn.XLOOKUP(C461,mfscreener.portfolio_holdings_v!$C:$C,mfscreener.portfolio_holdings_v!$D:$D)</f>
        <v>Equity</v>
      </c>
      <c r="F461" s="1">
        <v>1462</v>
      </c>
      <c r="G461" s="1">
        <v>0.82</v>
      </c>
      <c r="H461" s="1">
        <v>5.18</v>
      </c>
      <c r="I461" s="9" t="s">
        <v>961</v>
      </c>
      <c r="J461" s="1" t="s">
        <v>962</v>
      </c>
      <c r="K461" s="1"/>
    </row>
    <row r="462" spans="1:11" ht="14">
      <c r="A462" s="20" t="s">
        <v>626</v>
      </c>
      <c r="B462" s="21" t="s">
        <v>956</v>
      </c>
      <c r="C462" s="21" t="s">
        <v>980</v>
      </c>
      <c r="D462" s="1" t="s">
        <v>1448</v>
      </c>
      <c r="E462" s="1" t="str">
        <f>_xlfn.XLOOKUP(C462,mfscreener.portfolio_holdings_v!$C:$C,mfscreener.portfolio_holdings_v!$D:$D)</f>
        <v>Equity</v>
      </c>
      <c r="F462" s="1">
        <v>1715</v>
      </c>
      <c r="G462" s="1">
        <v>0.65</v>
      </c>
      <c r="H462" s="1">
        <v>4.4000000000000004</v>
      </c>
      <c r="I462" s="9" t="s">
        <v>961</v>
      </c>
      <c r="J462" s="1" t="s">
        <v>962</v>
      </c>
      <c r="K462" s="1"/>
    </row>
    <row r="463" spans="1:11" ht="14">
      <c r="A463" s="20" t="s">
        <v>626</v>
      </c>
      <c r="B463" s="21" t="s">
        <v>956</v>
      </c>
      <c r="C463" s="21" t="s">
        <v>981</v>
      </c>
      <c r="D463" s="1" t="s">
        <v>1457</v>
      </c>
      <c r="E463" s="1" t="str">
        <f>_xlfn.XLOOKUP(C463,mfscreener.portfolio_holdings_v!$C:$C,mfscreener.portfolio_holdings_v!$D:$D)</f>
        <v>Equity</v>
      </c>
      <c r="F463" s="1">
        <v>273</v>
      </c>
      <c r="G463" s="1">
        <v>0.76</v>
      </c>
      <c r="H463" s="1">
        <v>5.01</v>
      </c>
      <c r="I463" s="9" t="s">
        <v>961</v>
      </c>
      <c r="J463" s="1" t="s">
        <v>962</v>
      </c>
      <c r="K463" s="1"/>
    </row>
    <row r="464" spans="1:11" ht="14">
      <c r="A464" s="20" t="s">
        <v>626</v>
      </c>
      <c r="B464" s="21" t="s">
        <v>956</v>
      </c>
      <c r="C464" s="21" t="s">
        <v>982</v>
      </c>
      <c r="D464" s="1" t="str">
        <f>_xlfn.XLOOKUP(C464,mfscreener.portfolio_holdings_v!$C:$C,mfscreener.portfolio_holdings_v!$E:$E)</f>
        <v>Aggressive Hybrid</v>
      </c>
      <c r="E464" s="1" t="str">
        <f>_xlfn.XLOOKUP(C464,mfscreener.portfolio_holdings_v!$C:$C,mfscreener.portfolio_holdings_v!$D:$D)</f>
        <v>Hybrid</v>
      </c>
      <c r="F464" s="1">
        <v>2110</v>
      </c>
      <c r="G464" s="1">
        <v>0.63</v>
      </c>
      <c r="H464" s="1">
        <v>2.16</v>
      </c>
      <c r="I464" s="9" t="s">
        <v>958</v>
      </c>
      <c r="J464" s="1" t="s">
        <v>959</v>
      </c>
      <c r="K464" s="1"/>
    </row>
    <row r="465" spans="1:11" ht="14">
      <c r="A465" s="20" t="s">
        <v>626</v>
      </c>
      <c r="B465" s="21" t="s">
        <v>956</v>
      </c>
      <c r="C465" s="21" t="s">
        <v>983</v>
      </c>
      <c r="D465" s="1" t="str">
        <f>_xlfn.XLOOKUP(C465,mfscreener.portfolio_holdings_v!$C:$C,mfscreener.portfolio_holdings_v!$E:$E)</f>
        <v>Dynamic Asset Allocation</v>
      </c>
      <c r="E465" s="1" t="str">
        <f>_xlfn.XLOOKUP(C465,mfscreener.portfolio_holdings_v!$C:$C,mfscreener.portfolio_holdings_v!$D:$D)</f>
        <v>Hybrid</v>
      </c>
      <c r="F465" s="21">
        <v>1104</v>
      </c>
      <c r="G465" s="1">
        <v>0.62</v>
      </c>
      <c r="H465" s="1">
        <v>4.17</v>
      </c>
      <c r="I465" s="9" t="s">
        <v>961</v>
      </c>
      <c r="J465" s="1" t="s">
        <v>962</v>
      </c>
      <c r="K465" s="1"/>
    </row>
    <row r="466" spans="1:11" ht="14">
      <c r="A466" s="20" t="s">
        <v>626</v>
      </c>
      <c r="B466" s="21" t="s">
        <v>956</v>
      </c>
      <c r="C466" s="21" t="s">
        <v>984</v>
      </c>
      <c r="D466" s="1" t="str">
        <f>_xlfn.XLOOKUP(C466,mfscreener.portfolio_holdings_v!$C:$C,mfscreener.portfolio_holdings_v!$E:$E)</f>
        <v>Equity Savings</v>
      </c>
      <c r="E466" s="1" t="str">
        <f>_xlfn.XLOOKUP(C466,mfscreener.portfolio_holdings_v!$C:$C,mfscreener.portfolio_holdings_v!$D:$D)</f>
        <v>Hybrid</v>
      </c>
      <c r="F466" s="1">
        <v>44</v>
      </c>
      <c r="G466" s="1">
        <v>0.46</v>
      </c>
      <c r="H466" s="1">
        <v>5.72</v>
      </c>
      <c r="I466" s="9" t="s">
        <v>985</v>
      </c>
      <c r="J466" s="1" t="s">
        <v>986</v>
      </c>
      <c r="K466" s="1"/>
    </row>
    <row r="467" spans="1:11" ht="14">
      <c r="A467" s="20" t="s">
        <v>626</v>
      </c>
      <c r="B467" s="21" t="s">
        <v>956</v>
      </c>
      <c r="C467" s="21" t="s">
        <v>987</v>
      </c>
      <c r="D467" s="1" t="str">
        <f>_xlfn.XLOOKUP(C467,mfscreener.portfolio_holdings_v!$C:$C,mfscreener.portfolio_holdings_v!$E:$E)</f>
        <v>Multi Asset Allocation</v>
      </c>
      <c r="E467" s="1" t="str">
        <f>_xlfn.XLOOKUP(C467,mfscreener.portfolio_holdings_v!$C:$C,mfscreener.portfolio_holdings_v!$D:$D)</f>
        <v>Hybrid</v>
      </c>
      <c r="F467" s="1">
        <v>4182</v>
      </c>
      <c r="G467" s="1">
        <v>0.45</v>
      </c>
      <c r="H467" s="1">
        <v>3.97</v>
      </c>
      <c r="I467" s="9" t="s">
        <v>961</v>
      </c>
      <c r="J467" s="1" t="s">
        <v>962</v>
      </c>
      <c r="K467" s="1"/>
    </row>
    <row r="468" spans="1:11" ht="14">
      <c r="A468" s="20" t="s">
        <v>626</v>
      </c>
      <c r="B468" s="21" t="s">
        <v>956</v>
      </c>
      <c r="C468" s="21" t="s">
        <v>988</v>
      </c>
      <c r="D468" s="1" t="s">
        <v>1465</v>
      </c>
      <c r="E468" s="1" t="str">
        <f>_xlfn.XLOOKUP(C468,mfscreener.portfolio_holdings_v!$C:$C,mfscreener.portfolio_holdings_v!$D:$D)</f>
        <v>Hybrid</v>
      </c>
      <c r="F468" s="1">
        <v>168</v>
      </c>
      <c r="G468" s="1">
        <v>0.23</v>
      </c>
      <c r="H468" s="1">
        <v>10.6</v>
      </c>
      <c r="I468" s="9" t="s">
        <v>989</v>
      </c>
      <c r="J468" s="1" t="s">
        <v>990</v>
      </c>
      <c r="K468" s="1"/>
    </row>
    <row r="469" spans="1:11" ht="14.5">
      <c r="A469" s="20" t="s">
        <v>626</v>
      </c>
      <c r="B469" s="21" t="s">
        <v>991</v>
      </c>
      <c r="C469" s="21" t="s">
        <v>992</v>
      </c>
      <c r="D469" s="1" t="str">
        <f>_xlfn.XLOOKUP(C469,mfscreener.portfolio_holdings_v!$C:$C,mfscreener.portfolio_holdings_v!$E:$E)</f>
        <v>Value</v>
      </c>
      <c r="E469" s="1" t="str">
        <f>_xlfn.XLOOKUP(C469,mfscreener.portfolio_holdings_v!$C:$C,mfscreener.portfolio_holdings_v!$D:$D)</f>
        <v>Equity</v>
      </c>
      <c r="F469" s="4">
        <v>103.93</v>
      </c>
      <c r="G469" s="4">
        <v>1.1000000000000001</v>
      </c>
      <c r="H469" s="4">
        <v>13.37</v>
      </c>
      <c r="I469" s="1" t="s">
        <v>993</v>
      </c>
      <c r="J469" s="2" t="s">
        <v>994</v>
      </c>
      <c r="K469" s="1"/>
    </row>
    <row r="470" spans="1:11" ht="14.5">
      <c r="A470" s="20" t="s">
        <v>626</v>
      </c>
      <c r="B470" s="21" t="s">
        <v>991</v>
      </c>
      <c r="C470" s="21" t="s">
        <v>995</v>
      </c>
      <c r="D470" s="1" t="str">
        <f>_xlfn.XLOOKUP(C470,mfscreener.portfolio_holdings_v!$C:$C,mfscreener.portfolio_holdings_v!$E:$E)</f>
        <v>ELSS</v>
      </c>
      <c r="E470" s="1" t="str">
        <f>_xlfn.XLOOKUP(C470,mfscreener.portfolio_holdings_v!$C:$C,mfscreener.portfolio_holdings_v!$D:$D)</f>
        <v>Equity</v>
      </c>
      <c r="F470" s="4">
        <v>226.61</v>
      </c>
      <c r="G470" s="4">
        <v>0.89</v>
      </c>
      <c r="H470" s="4">
        <v>10.76</v>
      </c>
      <c r="I470" s="1" t="s">
        <v>996</v>
      </c>
      <c r="J470" s="2" t="s">
        <v>997</v>
      </c>
      <c r="K470" s="1"/>
    </row>
    <row r="471" spans="1:11" ht="14.5">
      <c r="A471" s="20" t="s">
        <v>626</v>
      </c>
      <c r="B471" s="21" t="s">
        <v>991</v>
      </c>
      <c r="C471" s="21" t="s">
        <v>998</v>
      </c>
      <c r="D471" s="1" t="str">
        <f>_xlfn.XLOOKUP(C471,mfscreener.portfolio_holdings_v!$C:$C,mfscreener.portfolio_holdings_v!$E:$E)</f>
        <v>Small Cap</v>
      </c>
      <c r="E471" s="1" t="str">
        <f>_xlfn.XLOOKUP(C471,mfscreener.portfolio_holdings_v!$C:$C,mfscreener.portfolio_holdings_v!$D:$D)</f>
        <v>Equity</v>
      </c>
      <c r="F471" s="4">
        <v>173.4</v>
      </c>
      <c r="G471" s="4">
        <v>0.7</v>
      </c>
      <c r="H471" s="4">
        <v>6.35</v>
      </c>
      <c r="I471" s="1" t="s">
        <v>999</v>
      </c>
      <c r="J471" s="2" t="s">
        <v>1000</v>
      </c>
      <c r="K471" s="1"/>
    </row>
    <row r="472" spans="1:11" ht="14.5">
      <c r="A472" s="20" t="s">
        <v>626</v>
      </c>
      <c r="B472" s="21" t="s">
        <v>991</v>
      </c>
      <c r="C472" s="21" t="s">
        <v>1001</v>
      </c>
      <c r="D472" s="1" t="str">
        <f>_xlfn.XLOOKUP(C472,mfscreener.portfolio_holdings_v!$C:$C,mfscreener.portfolio_holdings_v!$E:$E)</f>
        <v>ESG</v>
      </c>
      <c r="E472" s="1" t="str">
        <f>_xlfn.XLOOKUP(C472,mfscreener.portfolio_holdings_v!$C:$C,mfscreener.portfolio_holdings_v!$D:$D)</f>
        <v>Equity</v>
      </c>
      <c r="F472" s="4">
        <v>102.42</v>
      </c>
      <c r="G472" s="4">
        <v>2.1800000000000002</v>
      </c>
      <c r="H472" s="4">
        <v>24.77</v>
      </c>
      <c r="I472" s="1" t="s">
        <v>1002</v>
      </c>
      <c r="J472" s="2" t="s">
        <v>1003</v>
      </c>
      <c r="K472" s="1"/>
    </row>
    <row r="473" spans="1:11" ht="14">
      <c r="A473" s="20" t="s">
        <v>626</v>
      </c>
      <c r="B473" s="21" t="s">
        <v>991</v>
      </c>
      <c r="C473" s="21" t="s">
        <v>1004</v>
      </c>
      <c r="D473" s="1" t="str">
        <f>_xlfn.XLOOKUP(C473,mfscreener.portfolio_holdings_v!$C:$C,mfscreener.portfolio_holdings_v!$E:$E)</f>
        <v>Ethical</v>
      </c>
      <c r="E473" s="1" t="str">
        <f>_xlfn.XLOOKUP(C473,mfscreener.portfolio_holdings_v!$C:$C,mfscreener.portfolio_holdings_v!$D:$D)</f>
        <v>Equity</v>
      </c>
      <c r="F473" s="4">
        <v>89.4</v>
      </c>
      <c r="G473" s="4">
        <v>0.75</v>
      </c>
      <c r="H473" s="4">
        <v>4.8499999999999996</v>
      </c>
      <c r="I473" s="1" t="s">
        <v>1005</v>
      </c>
      <c r="J473" s="4">
        <v>23</v>
      </c>
      <c r="K473" s="1"/>
    </row>
    <row r="474" spans="1:11" ht="14.5">
      <c r="A474" s="20" t="s">
        <v>626</v>
      </c>
      <c r="B474" s="21" t="s">
        <v>991</v>
      </c>
      <c r="C474" s="33" t="s">
        <v>1006</v>
      </c>
      <c r="D474" s="1" t="str">
        <f>_xlfn.XLOOKUP(C474,mfscreener.portfolio_holdings_v!$C:$C,mfscreener.portfolio_holdings_v!$E:$E)</f>
        <v>Multi Asset Allocation</v>
      </c>
      <c r="E474" s="1" t="str">
        <f>_xlfn.XLOOKUP(C474,mfscreener.portfolio_holdings_v!$C:$C,mfscreener.portfolio_holdings_v!$D:$D)</f>
        <v>Hybrid</v>
      </c>
      <c r="F474" s="4">
        <v>50.8</v>
      </c>
      <c r="G474" s="4">
        <v>0.41</v>
      </c>
      <c r="H474" s="4">
        <v>3.01</v>
      </c>
      <c r="I474" s="1" t="s">
        <v>1007</v>
      </c>
      <c r="J474" s="2" t="s">
        <v>1008</v>
      </c>
      <c r="K474" s="1"/>
    </row>
    <row r="475" spans="1:11" ht="14.5">
      <c r="A475" s="34" t="s">
        <v>1009</v>
      </c>
      <c r="B475" s="21" t="s">
        <v>1010</v>
      </c>
      <c r="C475" s="21" t="s">
        <v>1011</v>
      </c>
      <c r="D475" s="1" t="str">
        <f>_xlfn.XLOOKUP(C475,mfscreener.portfolio_holdings_v!$C:$C,mfscreener.portfolio_holdings_v!$E:$E)</f>
        <v>ELSS</v>
      </c>
      <c r="E475" s="1" t="str">
        <f>_xlfn.XLOOKUP(C475,mfscreener.portfolio_holdings_v!$C:$C,mfscreener.portfolio_holdings_v!$D:$D)</f>
        <v>Equity</v>
      </c>
      <c r="F475" s="4">
        <v>119.97</v>
      </c>
      <c r="G475" s="4">
        <v>0.97</v>
      </c>
      <c r="H475" s="4">
        <v>1.1299999999999999</v>
      </c>
      <c r="I475" s="1" t="s">
        <v>1012</v>
      </c>
      <c r="J475" s="2" t="s">
        <v>1013</v>
      </c>
      <c r="K475" s="1"/>
    </row>
    <row r="476" spans="1:11" ht="14.5">
      <c r="A476" s="34" t="s">
        <v>1009</v>
      </c>
      <c r="B476" s="21" t="s">
        <v>1010</v>
      </c>
      <c r="C476" s="21" t="s">
        <v>1014</v>
      </c>
      <c r="D476" s="1" t="str">
        <f>_xlfn.XLOOKUP(C476,mfscreener.portfolio_holdings_v!$C:$C,mfscreener.portfolio_holdings_v!$E:$E)</f>
        <v>Flexi Cap</v>
      </c>
      <c r="E476" s="1" t="str">
        <f>_xlfn.XLOOKUP(C476,mfscreener.portfolio_holdings_v!$C:$C,mfscreener.portfolio_holdings_v!$D:$D)</f>
        <v>Equity</v>
      </c>
      <c r="F476" s="4">
        <v>324.77999999999997</v>
      </c>
      <c r="G476" s="4">
        <v>0.91</v>
      </c>
      <c r="H476" s="4">
        <v>1.83</v>
      </c>
      <c r="I476" s="1" t="s">
        <v>1012</v>
      </c>
      <c r="J476" s="2" t="s">
        <v>1013</v>
      </c>
      <c r="K476" s="1"/>
    </row>
    <row r="477" spans="1:11" ht="14.5">
      <c r="A477" s="34" t="s">
        <v>1009</v>
      </c>
      <c r="B477" s="21" t="s">
        <v>1010</v>
      </c>
      <c r="C477" s="21" t="s">
        <v>1015</v>
      </c>
      <c r="D477" s="1" t="str">
        <f>_xlfn.XLOOKUP(C477,mfscreener.portfolio_holdings_v!$C:$C,mfscreener.portfolio_holdings_v!$E:$E)</f>
        <v>Large Cap</v>
      </c>
      <c r="E477" s="1" t="str">
        <f>_xlfn.XLOOKUP(C477,mfscreener.portfolio_holdings_v!$C:$C,mfscreener.portfolio_holdings_v!$D:$D)</f>
        <v>Equity</v>
      </c>
      <c r="F477" s="4">
        <v>131.25</v>
      </c>
      <c r="G477" s="4">
        <v>0.74</v>
      </c>
      <c r="H477" s="1"/>
      <c r="I477" s="1" t="s">
        <v>1012</v>
      </c>
      <c r="J477" s="2" t="s">
        <v>1013</v>
      </c>
      <c r="K477" s="1"/>
    </row>
    <row r="478" spans="1:11" ht="14.5">
      <c r="A478" s="34" t="s">
        <v>1009</v>
      </c>
      <c r="B478" s="21" t="s">
        <v>1010</v>
      </c>
      <c r="C478" s="21" t="s">
        <v>1016</v>
      </c>
      <c r="D478" s="1" t="str">
        <f>_xlfn.XLOOKUP(C478,mfscreener.portfolio_holdings_v!$C:$C,mfscreener.portfolio_holdings_v!$E:$E)</f>
        <v>Large &amp; Mid Cap</v>
      </c>
      <c r="E478" s="1" t="str">
        <f>_xlfn.XLOOKUP(C478,mfscreener.portfolio_holdings_v!$C:$C,mfscreener.portfolio_holdings_v!$D:$D)</f>
        <v>Equity</v>
      </c>
      <c r="F478" s="4">
        <v>133.77000000000001</v>
      </c>
      <c r="G478" s="4">
        <v>0.79</v>
      </c>
      <c r="H478" s="1"/>
      <c r="I478" s="1" t="s">
        <v>1012</v>
      </c>
      <c r="J478" s="2" t="s">
        <v>1013</v>
      </c>
      <c r="K478" s="1"/>
    </row>
    <row r="479" spans="1:11" ht="14.5">
      <c r="A479" s="34" t="s">
        <v>1009</v>
      </c>
      <c r="B479" s="21" t="s">
        <v>1010</v>
      </c>
      <c r="C479" s="21" t="s">
        <v>1017</v>
      </c>
      <c r="D479" s="1" t="str">
        <f>_xlfn.XLOOKUP(C479,mfscreener.portfolio_holdings_v!$C:$C,mfscreener.portfolio_holdings_v!$E:$E)</f>
        <v>Multi Cap</v>
      </c>
      <c r="E479" s="1" t="str">
        <f>_xlfn.XLOOKUP(C479,mfscreener.portfolio_holdings_v!$C:$C,mfscreener.portfolio_holdings_v!$D:$D)</f>
        <v>Equity</v>
      </c>
      <c r="F479" s="4">
        <v>298.64999999999998</v>
      </c>
      <c r="G479" s="4">
        <v>0.78</v>
      </c>
      <c r="H479" s="4">
        <v>8.5299999999999994</v>
      </c>
      <c r="I479" s="1" t="s">
        <v>1012</v>
      </c>
      <c r="J479" s="2" t="s">
        <v>1013</v>
      </c>
      <c r="K479" s="1"/>
    </row>
    <row r="480" spans="1:11" ht="14.5">
      <c r="A480" s="34" t="s">
        <v>1009</v>
      </c>
      <c r="B480" s="21" t="s">
        <v>1010</v>
      </c>
      <c r="C480" s="21" t="s">
        <v>1018</v>
      </c>
      <c r="D480" s="1" t="str">
        <f>_xlfn.XLOOKUP(C480,mfscreener.portfolio_holdings_v!$C:$C,mfscreener.portfolio_holdings_v!$E:$E)</f>
        <v>Small Cap</v>
      </c>
      <c r="E480" s="1" t="str">
        <f>_xlfn.XLOOKUP(C480,mfscreener.portfolio_holdings_v!$C:$C,mfscreener.portfolio_holdings_v!$D:$D)</f>
        <v>Equity</v>
      </c>
      <c r="F480" s="4">
        <v>131.9</v>
      </c>
      <c r="G480" s="4">
        <v>0.85</v>
      </c>
      <c r="H480" s="1"/>
      <c r="I480" s="1" t="s">
        <v>1012</v>
      </c>
      <c r="J480" s="2" t="s">
        <v>1013</v>
      </c>
      <c r="K480" s="1"/>
    </row>
    <row r="481" spans="1:11" ht="14.5">
      <c r="A481" s="34" t="s">
        <v>1009</v>
      </c>
      <c r="B481" s="21" t="s">
        <v>1010</v>
      </c>
      <c r="C481" s="21" t="s">
        <v>1019</v>
      </c>
      <c r="D481" s="1" t="str">
        <f>_xlfn.XLOOKUP(C481,mfscreener.portfolio_holdings_v!$C:$C,mfscreener.portfolio_holdings_v!$E:$E)</f>
        <v>Active Momentum</v>
      </c>
      <c r="E481" s="1" t="str">
        <f>_xlfn.XLOOKUP(C481,mfscreener.portfolio_holdings_v!$C:$C,mfscreener.portfolio_holdings_v!$D:$D)</f>
        <v>Equity</v>
      </c>
      <c r="F481" s="4">
        <v>714.57</v>
      </c>
      <c r="G481" s="4">
        <v>0.86</v>
      </c>
      <c r="H481" s="4">
        <v>9.07</v>
      </c>
      <c r="I481" s="1" t="s">
        <v>1012</v>
      </c>
      <c r="J481" s="2" t="s">
        <v>1013</v>
      </c>
      <c r="K481" s="1"/>
    </row>
    <row r="482" spans="1:11" ht="14.5">
      <c r="A482" s="34" t="s">
        <v>1009</v>
      </c>
      <c r="B482" s="21" t="s">
        <v>1010</v>
      </c>
      <c r="C482" s="21" t="s">
        <v>1020</v>
      </c>
      <c r="D482" s="1" t="str">
        <f>_xlfn.XLOOKUP(C482,mfscreener.portfolio_holdings_v!$C:$C,mfscreener.portfolio_holdings_v!$E:$E)</f>
        <v>Special Opportunities</v>
      </c>
      <c r="E482" s="1" t="str">
        <f>_xlfn.XLOOKUP(C482,mfscreener.portfolio_holdings_v!$C:$C,mfscreener.portfolio_holdings_v!$D:$D)</f>
        <v>Equity</v>
      </c>
      <c r="F482" s="4">
        <v>141.44999999999999</v>
      </c>
      <c r="G482" s="4">
        <v>0.86</v>
      </c>
      <c r="H482" s="4">
        <v>3.37</v>
      </c>
      <c r="I482" s="1" t="s">
        <v>1012</v>
      </c>
      <c r="J482" s="2" t="s">
        <v>1013</v>
      </c>
      <c r="K482" s="1"/>
    </row>
    <row r="483" spans="1:11" ht="14.5">
      <c r="A483" s="34" t="s">
        <v>1009</v>
      </c>
      <c r="B483" s="21" t="s">
        <v>1010</v>
      </c>
      <c r="C483" s="21" t="s">
        <v>1021</v>
      </c>
      <c r="D483" s="1" t="str">
        <f>_xlfn.XLOOKUP(C483,mfscreener.portfolio_holdings_v!$C:$C,mfscreener.portfolio_holdings_v!$E:$E)</f>
        <v>Dynamic Asset Allocation</v>
      </c>
      <c r="E483" s="1" t="str">
        <f>_xlfn.XLOOKUP(C483,mfscreener.portfolio_holdings_v!$C:$C,mfscreener.portfolio_holdings_v!$D:$D)</f>
        <v>Hybrid</v>
      </c>
      <c r="F483" s="4">
        <v>270.43</v>
      </c>
      <c r="G483" s="4">
        <v>0.87</v>
      </c>
      <c r="H483" s="4">
        <v>9.93</v>
      </c>
      <c r="I483" s="1" t="s">
        <v>1012</v>
      </c>
      <c r="J483" s="2" t="s">
        <v>1013</v>
      </c>
      <c r="K483" s="1"/>
    </row>
    <row r="484" spans="1:11" ht="14.5">
      <c r="A484" s="34" t="s">
        <v>1009</v>
      </c>
      <c r="B484" s="21" t="s">
        <v>1010</v>
      </c>
      <c r="C484" s="21" t="s">
        <v>1022</v>
      </c>
      <c r="D484" s="1" t="str">
        <f>_xlfn.XLOOKUP(C484,mfscreener.portfolio_holdings_v!$C:$C,mfscreener.portfolio_holdings_v!$E:$E)</f>
        <v>Multi Asset Allocation</v>
      </c>
      <c r="E484" s="1" t="str">
        <f>_xlfn.XLOOKUP(C484,mfscreener.portfolio_holdings_v!$C:$C,mfscreener.portfolio_holdings_v!$D:$D)</f>
        <v>Hybrid</v>
      </c>
      <c r="F484" s="4">
        <v>373.8</v>
      </c>
      <c r="G484" s="4">
        <v>0.56000000000000005</v>
      </c>
      <c r="H484" s="4">
        <v>11.35</v>
      </c>
      <c r="I484" s="1" t="s">
        <v>1012</v>
      </c>
      <c r="J484" s="2" t="s">
        <v>1013</v>
      </c>
      <c r="K484" s="1"/>
    </row>
    <row r="485" spans="1:11" ht="14">
      <c r="A485" s="34" t="s">
        <v>1009</v>
      </c>
      <c r="B485" s="21" t="s">
        <v>1023</v>
      </c>
      <c r="C485" s="21" t="s">
        <v>1024</v>
      </c>
      <c r="D485" s="1" t="str">
        <f>_xlfn.XLOOKUP(C485,mfscreener.portfolio_holdings_v!$C:$C,mfscreener.portfolio_holdings_v!$E:$E)</f>
        <v>Contra</v>
      </c>
      <c r="E485" s="1" t="str">
        <f>_xlfn.XLOOKUP(C485,mfscreener.portfolio_holdings_v!$C:$C,mfscreener.portfolio_holdings_v!$D:$D)</f>
        <v>Equity</v>
      </c>
      <c r="F485" s="7">
        <v>49602.6</v>
      </c>
      <c r="G485" s="4">
        <v>0.68</v>
      </c>
      <c r="H485" s="4">
        <v>0.12</v>
      </c>
      <c r="I485" s="1" t="s">
        <v>1025</v>
      </c>
      <c r="J485" s="4">
        <v>24</v>
      </c>
      <c r="K485" s="1"/>
    </row>
    <row r="486" spans="1:11" ht="14">
      <c r="A486" s="34" t="s">
        <v>1009</v>
      </c>
      <c r="B486" s="21" t="s">
        <v>1023</v>
      </c>
      <c r="C486" s="21" t="s">
        <v>1026</v>
      </c>
      <c r="D486" s="1" t="str">
        <f>_xlfn.XLOOKUP(C486,mfscreener.portfolio_holdings_v!$C:$C,mfscreener.portfolio_holdings_v!$E:$E)</f>
        <v>ELSS</v>
      </c>
      <c r="E486" s="1" t="str">
        <f>_xlfn.XLOOKUP(C486,mfscreener.portfolio_holdings_v!$C:$C,mfscreener.portfolio_holdings_v!$D:$D)</f>
        <v>Equity</v>
      </c>
      <c r="F486" s="4">
        <v>32225.88</v>
      </c>
      <c r="G486" s="4">
        <v>0.92</v>
      </c>
      <c r="H486" s="4">
        <v>0.12</v>
      </c>
      <c r="I486" s="1" t="s">
        <v>1025</v>
      </c>
      <c r="J486" s="4">
        <v>24</v>
      </c>
      <c r="K486" s="1"/>
    </row>
    <row r="487" spans="1:11" ht="14.5">
      <c r="A487" s="34" t="s">
        <v>1009</v>
      </c>
      <c r="B487" s="21" t="s">
        <v>1023</v>
      </c>
      <c r="C487" s="21" t="s">
        <v>1027</v>
      </c>
      <c r="D487" s="1" t="str">
        <f>_xlfn.XLOOKUP(C487,mfscreener.portfolio_holdings_v!$C:$C,mfscreener.portfolio_holdings_v!$E:$E)</f>
        <v>Flexi Cap</v>
      </c>
      <c r="E487" s="1" t="str">
        <f>_xlfn.XLOOKUP(C487,mfscreener.portfolio_holdings_v!$C:$C,mfscreener.portfolio_holdings_v!$D:$D)</f>
        <v>Equity</v>
      </c>
      <c r="F487" s="4">
        <v>23516.21</v>
      </c>
      <c r="G487" s="4">
        <v>0.83</v>
      </c>
      <c r="H487" s="4">
        <v>0.62</v>
      </c>
      <c r="I487" s="1" t="s">
        <v>1028</v>
      </c>
      <c r="J487" s="2" t="s">
        <v>1029</v>
      </c>
      <c r="K487" s="1"/>
    </row>
    <row r="488" spans="1:11" ht="14">
      <c r="A488" s="34" t="s">
        <v>1009</v>
      </c>
      <c r="B488" s="21" t="s">
        <v>1023</v>
      </c>
      <c r="C488" s="21" t="s">
        <v>1030</v>
      </c>
      <c r="D488" s="1" t="str">
        <f>_xlfn.XLOOKUP(C488,mfscreener.portfolio_holdings_v!$C:$C,mfscreener.portfolio_holdings_v!$E:$E)</f>
        <v>Focused</v>
      </c>
      <c r="E488" s="1" t="str">
        <f>_xlfn.XLOOKUP(C488,mfscreener.portfolio_holdings_v!$C:$C,mfscreener.portfolio_holdings_v!$D:$D)</f>
        <v>Equity</v>
      </c>
      <c r="F488" s="4">
        <v>42953.02</v>
      </c>
      <c r="G488" s="4">
        <v>0.74</v>
      </c>
      <c r="H488" s="4">
        <v>0.41</v>
      </c>
      <c r="I488" s="1" t="s">
        <v>1031</v>
      </c>
      <c r="J488" s="4">
        <v>33</v>
      </c>
      <c r="K488" s="1"/>
    </row>
    <row r="489" spans="1:11" ht="14.5">
      <c r="A489" s="34" t="s">
        <v>1009</v>
      </c>
      <c r="B489" s="21" t="s">
        <v>1023</v>
      </c>
      <c r="C489" s="21" t="s">
        <v>1032</v>
      </c>
      <c r="D489" s="1" t="str">
        <f>_xlfn.XLOOKUP(C489,mfscreener.portfolio_holdings_v!$C:$C,mfscreener.portfolio_holdings_v!$E:$E)</f>
        <v>Large Cap</v>
      </c>
      <c r="E489" s="1" t="str">
        <f>_xlfn.XLOOKUP(C489,mfscreener.portfolio_holdings_v!$C:$C,mfscreener.portfolio_holdings_v!$D:$D)</f>
        <v>Equity</v>
      </c>
      <c r="F489" s="4">
        <v>55534.47</v>
      </c>
      <c r="G489" s="4">
        <v>0.79</v>
      </c>
      <c r="H489" s="4">
        <v>0.33</v>
      </c>
      <c r="I489" s="2" t="s">
        <v>1033</v>
      </c>
      <c r="J489" s="5">
        <v>18</v>
      </c>
      <c r="K489" s="1"/>
    </row>
    <row r="490" spans="1:11" ht="14.5">
      <c r="A490" s="34" t="s">
        <v>1009</v>
      </c>
      <c r="B490" s="21" t="s">
        <v>1023</v>
      </c>
      <c r="C490" s="21" t="s">
        <v>1034</v>
      </c>
      <c r="D490" s="1" t="str">
        <f>_xlfn.XLOOKUP(C490,mfscreener.portfolio_holdings_v!$C:$C,mfscreener.portfolio_holdings_v!$E:$E)</f>
        <v>Large &amp; Mid Cap</v>
      </c>
      <c r="E490" s="1" t="str">
        <f>_xlfn.XLOOKUP(C490,mfscreener.portfolio_holdings_v!$C:$C,mfscreener.portfolio_holdings_v!$D:$D)</f>
        <v>Equity</v>
      </c>
      <c r="F490" s="4">
        <v>36969.39</v>
      </c>
      <c r="G490" s="4">
        <v>0.73</v>
      </c>
      <c r="H490" s="4">
        <v>0.28999999999999998</v>
      </c>
      <c r="I490" s="2" t="s">
        <v>1033</v>
      </c>
      <c r="J490" s="5">
        <v>18</v>
      </c>
      <c r="K490" s="1"/>
    </row>
    <row r="491" spans="1:11" ht="14.5">
      <c r="A491" s="34" t="s">
        <v>1009</v>
      </c>
      <c r="B491" s="21" t="s">
        <v>1023</v>
      </c>
      <c r="C491" s="21" t="s">
        <v>1035</v>
      </c>
      <c r="D491" s="1" t="str">
        <f>_xlfn.XLOOKUP(C491,mfscreener.portfolio_holdings_v!$C:$C,mfscreener.portfolio_holdings_v!$E:$E)</f>
        <v>Mid Cap</v>
      </c>
      <c r="E491" s="1" t="str">
        <f>_xlfn.XLOOKUP(C491,mfscreener.portfolio_holdings_v!$C:$C,mfscreener.portfolio_holdings_v!$D:$D)</f>
        <v>Equity</v>
      </c>
      <c r="F491" s="4">
        <v>23077.05</v>
      </c>
      <c r="G491" s="4">
        <v>0.84</v>
      </c>
      <c r="H491" s="4">
        <v>0.43</v>
      </c>
      <c r="I491" s="1" t="s">
        <v>1036</v>
      </c>
      <c r="J491" s="5">
        <v>22</v>
      </c>
      <c r="K491" s="1"/>
    </row>
    <row r="492" spans="1:11" ht="14.5">
      <c r="A492" s="34" t="s">
        <v>1009</v>
      </c>
      <c r="B492" s="21" t="s">
        <v>1023</v>
      </c>
      <c r="C492" s="21" t="s">
        <v>1037</v>
      </c>
      <c r="D492" s="1" t="str">
        <f>_xlfn.XLOOKUP(C492,mfscreener.portfolio_holdings_v!$C:$C,mfscreener.portfolio_holdings_v!$E:$E)</f>
        <v>Multi Cap</v>
      </c>
      <c r="E492" s="1" t="str">
        <f>_xlfn.XLOOKUP(C492,mfscreener.portfolio_holdings_v!$C:$C,mfscreener.portfolio_holdings_v!$D:$D)</f>
        <v>Equity</v>
      </c>
      <c r="F492" s="4">
        <v>23678.560000000001</v>
      </c>
      <c r="G492" s="4">
        <v>0.83</v>
      </c>
      <c r="H492" s="4">
        <v>0.28999999999999998</v>
      </c>
      <c r="I492" s="1" t="s">
        <v>1038</v>
      </c>
      <c r="J492" s="2" t="s">
        <v>1039</v>
      </c>
      <c r="K492" s="1"/>
    </row>
    <row r="493" spans="1:11" ht="14">
      <c r="A493" s="34" t="s">
        <v>1009</v>
      </c>
      <c r="B493" s="21" t="s">
        <v>1023</v>
      </c>
      <c r="C493" s="21" t="s">
        <v>1040</v>
      </c>
      <c r="D493" s="1" t="str">
        <f>_xlfn.XLOOKUP(C493,mfscreener.portfolio_holdings_v!$C:$C,mfscreener.portfolio_holdings_v!$E:$E)</f>
        <v>Small Cap</v>
      </c>
      <c r="E493" s="1" t="str">
        <f>_xlfn.XLOOKUP(C493,mfscreener.portfolio_holdings_v!$C:$C,mfscreener.portfolio_holdings_v!$D:$D)</f>
        <v>Equity</v>
      </c>
      <c r="F493" s="4">
        <v>35946.639999999999</v>
      </c>
      <c r="G493" s="4">
        <v>0.75</v>
      </c>
      <c r="H493" s="4">
        <v>0.1</v>
      </c>
      <c r="I493" s="1" t="s">
        <v>1031</v>
      </c>
      <c r="J493" s="4">
        <v>33</v>
      </c>
      <c r="K493" s="1"/>
    </row>
    <row r="494" spans="1:11" ht="14">
      <c r="A494" s="34" t="s">
        <v>1009</v>
      </c>
      <c r="B494" s="21" t="s">
        <v>1023</v>
      </c>
      <c r="C494" s="21" t="s">
        <v>1041</v>
      </c>
      <c r="D494" s="1" t="str">
        <f>_xlfn.XLOOKUP(C494,mfscreener.portfolio_holdings_v!$C:$C,mfscreener.portfolio_holdings_v!$E:$E)</f>
        <v>Dividend Yield</v>
      </c>
      <c r="E494" s="1" t="str">
        <f>_xlfn.XLOOKUP(C494,mfscreener.portfolio_holdings_v!$C:$C,mfscreener.portfolio_holdings_v!$D:$D)</f>
        <v>Equity</v>
      </c>
      <c r="F494" s="7">
        <v>9114.7999999999993</v>
      </c>
      <c r="G494" s="4">
        <v>0.83</v>
      </c>
      <c r="H494" s="4">
        <v>0.14000000000000001</v>
      </c>
      <c r="I494" s="1" t="s">
        <v>1042</v>
      </c>
      <c r="J494" s="4">
        <v>19</v>
      </c>
      <c r="K494" s="1"/>
    </row>
    <row r="495" spans="1:11" ht="14.5">
      <c r="A495" s="34" t="s">
        <v>1009</v>
      </c>
      <c r="B495" s="21" t="s">
        <v>1023</v>
      </c>
      <c r="C495" s="21" t="s">
        <v>1043</v>
      </c>
      <c r="D495" s="1" t="str">
        <f>_xlfn.XLOOKUP(C495,mfscreener.portfolio_holdings_v!$C:$C,mfscreener.portfolio_holdings_v!$E:$E)</f>
        <v>Minimum Variance</v>
      </c>
      <c r="E495" s="1" t="str">
        <f>_xlfn.XLOOKUP(C495,mfscreener.portfolio_holdings_v!$C:$C,mfscreener.portfolio_holdings_v!$D:$D)</f>
        <v>Equity</v>
      </c>
      <c r="F495" s="4">
        <v>220.82</v>
      </c>
      <c r="G495" s="4">
        <v>0.42</v>
      </c>
      <c r="H495" s="4">
        <v>0.49</v>
      </c>
      <c r="I495" s="1" t="s">
        <v>1044</v>
      </c>
      <c r="J495" s="5">
        <v>26</v>
      </c>
      <c r="K495" s="1"/>
    </row>
    <row r="496" spans="1:11" ht="14.5">
      <c r="A496" s="34" t="s">
        <v>1009</v>
      </c>
      <c r="B496" s="21" t="s">
        <v>1023</v>
      </c>
      <c r="C496" s="21" t="s">
        <v>1045</v>
      </c>
      <c r="D496" s="1" t="str">
        <f>_xlfn.XLOOKUP(C496,mfscreener.portfolio_holdings_v!$C:$C,mfscreener.portfolio_holdings_v!$E:$E)</f>
        <v>Quant</v>
      </c>
      <c r="E496" s="1" t="str">
        <f>_xlfn.XLOOKUP(C496,mfscreener.portfolio_holdings_v!$C:$C,mfscreener.portfolio_holdings_v!$D:$D)</f>
        <v>Equity</v>
      </c>
      <c r="F496" s="7">
        <v>3636.47</v>
      </c>
      <c r="G496" s="4">
        <v>0.76</v>
      </c>
      <c r="H496" s="4">
        <v>2.67</v>
      </c>
      <c r="I496" s="1" t="s">
        <v>1046</v>
      </c>
      <c r="J496" s="5">
        <v>20</v>
      </c>
      <c r="K496" s="1"/>
    </row>
    <row r="497" spans="1:11" ht="14">
      <c r="A497" s="34" t="s">
        <v>1009</v>
      </c>
      <c r="B497" s="21" t="s">
        <v>1023</v>
      </c>
      <c r="C497" s="21" t="s">
        <v>1047</v>
      </c>
      <c r="D497" s="1" t="str">
        <f>_xlfn.XLOOKUP(C497,mfscreener.portfolio_holdings_v!$C:$C,mfscreener.portfolio_holdings_v!$E:$E)</f>
        <v>MNC</v>
      </c>
      <c r="E497" s="1" t="str">
        <f>_xlfn.XLOOKUP(C497,mfscreener.portfolio_holdings_v!$C:$C,mfscreener.portfolio_holdings_v!$D:$D)</f>
        <v>Equity</v>
      </c>
      <c r="F497" s="7">
        <v>5892.3</v>
      </c>
      <c r="G497" s="4">
        <v>1.24</v>
      </c>
      <c r="H497" s="4">
        <v>0.62</v>
      </c>
      <c r="I497" s="1" t="s">
        <v>1048</v>
      </c>
      <c r="J497" s="4">
        <v>17</v>
      </c>
      <c r="K497" s="1"/>
    </row>
    <row r="498" spans="1:11" ht="14">
      <c r="A498" s="34" t="s">
        <v>1009</v>
      </c>
      <c r="B498" s="21" t="s">
        <v>1023</v>
      </c>
      <c r="C498" s="21" t="s">
        <v>1049</v>
      </c>
      <c r="D498" s="1" t="str">
        <f>_xlfn.XLOOKUP(C498,mfscreener.portfolio_holdings_v!$C:$C,mfscreener.portfolio_holdings_v!$E:$E)</f>
        <v>ESG</v>
      </c>
      <c r="E498" s="1" t="str">
        <f>_xlfn.XLOOKUP(C498,mfscreener.portfolio_holdings_v!$C:$C,mfscreener.portfolio_holdings_v!$D:$D)</f>
        <v>Equity</v>
      </c>
      <c r="F498" s="7">
        <v>5718.87</v>
      </c>
      <c r="G498" s="4">
        <v>1.1299999999999999</v>
      </c>
      <c r="H498" s="4">
        <v>0.23</v>
      </c>
      <c r="I498" s="1" t="s">
        <v>1042</v>
      </c>
      <c r="J498" s="4">
        <v>19</v>
      </c>
      <c r="K498" s="1"/>
    </row>
    <row r="499" spans="1:11" ht="14">
      <c r="A499" s="34" t="s">
        <v>1009</v>
      </c>
      <c r="B499" s="21" t="s">
        <v>1023</v>
      </c>
      <c r="C499" s="21" t="s">
        <v>1050</v>
      </c>
      <c r="D499" s="1" t="str">
        <f>_xlfn.XLOOKUP(C499,mfscreener.portfolio_holdings_v!$C:$C,mfscreener.portfolio_holdings_v!$E:$E)</f>
        <v>Consumption</v>
      </c>
      <c r="E499" s="1" t="str">
        <f>_xlfn.XLOOKUP(C499,mfscreener.portfolio_holdings_v!$C:$C,mfscreener.portfolio_holdings_v!$D:$D)</f>
        <v>Equity</v>
      </c>
      <c r="F499" s="7">
        <v>3180.58</v>
      </c>
      <c r="G499" s="4">
        <v>0.92</v>
      </c>
      <c r="H499" s="4">
        <v>0.5</v>
      </c>
      <c r="I499" s="1" t="s">
        <v>1046</v>
      </c>
      <c r="J499" s="4">
        <v>20</v>
      </c>
      <c r="K499" s="1"/>
    </row>
    <row r="500" spans="1:11" ht="14">
      <c r="A500" s="34" t="s">
        <v>1009</v>
      </c>
      <c r="B500" s="21" t="s">
        <v>1023</v>
      </c>
      <c r="C500" s="21" t="s">
        <v>1051</v>
      </c>
      <c r="D500" s="1" t="str">
        <f>_xlfn.XLOOKUP(C500,mfscreener.portfolio_holdings_v!$C:$C,mfscreener.portfolio_holdings_v!$E:$E)</f>
        <v>Technology</v>
      </c>
      <c r="E500" s="1" t="str">
        <f>_xlfn.XLOOKUP(C500,mfscreener.portfolio_holdings_v!$C:$C,mfscreener.portfolio_holdings_v!$D:$D)</f>
        <v>Equity</v>
      </c>
      <c r="F500" s="7">
        <v>5253.35</v>
      </c>
      <c r="G500" s="4">
        <v>0.89</v>
      </c>
      <c r="H500" s="4">
        <v>0.25</v>
      </c>
      <c r="I500" s="1" t="s">
        <v>1052</v>
      </c>
      <c r="J500" s="4">
        <v>15</v>
      </c>
      <c r="K500" s="1"/>
    </row>
    <row r="501" spans="1:11" ht="14">
      <c r="A501" s="34" t="s">
        <v>1009</v>
      </c>
      <c r="B501" s="21" t="s">
        <v>1023</v>
      </c>
      <c r="C501" s="21" t="s">
        <v>1053</v>
      </c>
      <c r="D501" s="1" t="str">
        <f>_xlfn.XLOOKUP(C501,mfscreener.portfolio_holdings_v!$C:$C,mfscreener.portfolio_holdings_v!$E:$E)</f>
        <v>Healthcare</v>
      </c>
      <c r="E501" s="1" t="str">
        <f>_xlfn.XLOOKUP(C501,mfscreener.portfolio_holdings_v!$C:$C,mfscreener.portfolio_holdings_v!$D:$D)</f>
        <v>Equity</v>
      </c>
      <c r="F501" s="7">
        <v>4021.64</v>
      </c>
      <c r="G501" s="4">
        <v>0.91</v>
      </c>
      <c r="H501" s="4">
        <v>0.12</v>
      </c>
      <c r="I501" s="1" t="s">
        <v>1048</v>
      </c>
      <c r="J501" s="4">
        <v>17</v>
      </c>
      <c r="K501" s="1"/>
    </row>
    <row r="502" spans="1:11" ht="14.5">
      <c r="A502" s="34" t="s">
        <v>1009</v>
      </c>
      <c r="B502" s="21" t="s">
        <v>1023</v>
      </c>
      <c r="C502" s="21" t="s">
        <v>1054</v>
      </c>
      <c r="D502" s="1" t="str">
        <f>_xlfn.XLOOKUP(C502,mfscreener.portfolio_holdings_v!$C:$C,mfscreener.portfolio_holdings_v!$E:$E)</f>
        <v>Infrastructure</v>
      </c>
      <c r="E502" s="1" t="str">
        <f>_xlfn.XLOOKUP(C502,mfscreener.portfolio_holdings_v!$C:$C,mfscreener.portfolio_holdings_v!$D:$D)</f>
        <v>Equity</v>
      </c>
      <c r="F502" s="7">
        <v>4718.99</v>
      </c>
      <c r="G502" s="4">
        <v>1.06</v>
      </c>
      <c r="H502" s="4">
        <v>0.44</v>
      </c>
      <c r="I502" s="1" t="s">
        <v>1036</v>
      </c>
      <c r="J502" s="5">
        <v>22</v>
      </c>
      <c r="K502" s="1"/>
    </row>
    <row r="503" spans="1:11" ht="14">
      <c r="A503" s="34" t="s">
        <v>1009</v>
      </c>
      <c r="B503" s="21" t="s">
        <v>1023</v>
      </c>
      <c r="C503" s="21" t="s">
        <v>1055</v>
      </c>
      <c r="D503" s="1" t="str">
        <f>_xlfn.XLOOKUP(C503,mfscreener.portfolio_holdings_v!$C:$C,mfscreener.portfolio_holdings_v!$E:$E)</f>
        <v>PSU</v>
      </c>
      <c r="E503" s="1" t="str">
        <f>_xlfn.XLOOKUP(C503,mfscreener.portfolio_holdings_v!$C:$C,mfscreener.portfolio_holdings_v!$D:$D)</f>
        <v>Equity</v>
      </c>
      <c r="F503" s="7">
        <v>5714.25</v>
      </c>
      <c r="G503" s="4">
        <v>0.84</v>
      </c>
      <c r="H503" s="4">
        <v>0.1</v>
      </c>
      <c r="I503" s="1" t="s">
        <v>1042</v>
      </c>
      <c r="J503" s="4">
        <v>19</v>
      </c>
      <c r="K503" s="1"/>
    </row>
    <row r="504" spans="1:11" ht="14">
      <c r="A504" s="34" t="s">
        <v>1009</v>
      </c>
      <c r="B504" s="21" t="s">
        <v>1023</v>
      </c>
      <c r="C504" s="21" t="s">
        <v>1056</v>
      </c>
      <c r="D504" s="1" t="str">
        <f>_xlfn.XLOOKUP(C504,mfscreener.portfolio_holdings_v!$C:$C,mfscreener.portfolio_holdings_v!$E:$E)</f>
        <v>Banking &amp; PSU</v>
      </c>
      <c r="E504" s="1" t="str">
        <f>_xlfn.XLOOKUP(C504,mfscreener.portfolio_holdings_v!$C:$C,mfscreener.portfolio_holdings_v!$D:$D)</f>
        <v>Equity</v>
      </c>
      <c r="F504" s="1"/>
      <c r="G504" s="1"/>
      <c r="H504" s="1"/>
      <c r="I504" s="1"/>
      <c r="J504" s="1"/>
      <c r="K504" s="1"/>
    </row>
    <row r="505" spans="1:11" ht="14">
      <c r="A505" s="34" t="s">
        <v>1009</v>
      </c>
      <c r="B505" s="21" t="s">
        <v>1023</v>
      </c>
      <c r="C505" s="21" t="s">
        <v>1057</v>
      </c>
      <c r="D505" s="1" t="str">
        <f>_xlfn.XLOOKUP(C505,mfscreener.portfolio_holdings_v!$C:$C,mfscreener.portfolio_holdings_v!$E:$E)</f>
        <v>Banking &amp; Financial Services</v>
      </c>
      <c r="E505" s="1" t="str">
        <f>_xlfn.XLOOKUP(C505,mfscreener.portfolio_holdings_v!$C:$C,mfscreener.portfolio_holdings_v!$D:$D)</f>
        <v>Equity</v>
      </c>
      <c r="F505" s="7">
        <v>9931.2000000000007</v>
      </c>
      <c r="G505" s="4">
        <v>0.73</v>
      </c>
      <c r="H505" s="4">
        <v>0.89</v>
      </c>
      <c r="I505" s="1" t="s">
        <v>1058</v>
      </c>
      <c r="J505" s="4">
        <v>18</v>
      </c>
      <c r="K505" s="1"/>
    </row>
    <row r="506" spans="1:11" ht="14">
      <c r="A506" s="34" t="s">
        <v>1009</v>
      </c>
      <c r="B506" s="21" t="s">
        <v>1023</v>
      </c>
      <c r="C506" s="21" t="s">
        <v>1059</v>
      </c>
      <c r="D506" s="1" t="str">
        <f>_xlfn.XLOOKUP(C506,mfscreener.portfolio_holdings_v!$C:$C,mfscreener.portfolio_holdings_v!$E:$E)</f>
        <v>Energy</v>
      </c>
      <c r="E506" s="1" t="str">
        <f>_xlfn.XLOOKUP(C506,mfscreener.portfolio_holdings_v!$C:$C,mfscreener.portfolio_holdings_v!$D:$D)</f>
        <v>Equity</v>
      </c>
      <c r="F506" s="7">
        <v>8994.83</v>
      </c>
      <c r="G506" s="4">
        <v>0.8</v>
      </c>
      <c r="H506" s="4">
        <v>0.35</v>
      </c>
      <c r="I506" s="1" t="s">
        <v>1060</v>
      </c>
      <c r="J506" s="4">
        <v>20</v>
      </c>
      <c r="K506" s="1"/>
    </row>
    <row r="507" spans="1:11" ht="14">
      <c r="A507" s="34" t="s">
        <v>1009</v>
      </c>
      <c r="B507" s="21" t="s">
        <v>1023</v>
      </c>
      <c r="C507" s="21" t="s">
        <v>1061</v>
      </c>
      <c r="D507" s="1" t="str">
        <f>_xlfn.XLOOKUP(C507,mfscreener.portfolio_holdings_v!$C:$C,mfscreener.portfolio_holdings_v!$E:$E)</f>
        <v>Automotive</v>
      </c>
      <c r="E507" s="1" t="str">
        <f>_xlfn.XLOOKUP(C507,mfscreener.portfolio_holdings_v!$C:$C,mfscreener.portfolio_holdings_v!$D:$D)</f>
        <v>Equity</v>
      </c>
      <c r="F507" s="7">
        <v>5323.91</v>
      </c>
      <c r="G507" s="4">
        <v>0.83</v>
      </c>
      <c r="H507" s="4">
        <v>0.33</v>
      </c>
      <c r="I507" s="1" t="s">
        <v>1048</v>
      </c>
      <c r="J507" s="4">
        <v>17</v>
      </c>
      <c r="K507" s="1"/>
    </row>
    <row r="508" spans="1:11" ht="14">
      <c r="A508" s="34" t="s">
        <v>1009</v>
      </c>
      <c r="B508" s="21" t="s">
        <v>1023</v>
      </c>
      <c r="C508" s="21" t="s">
        <v>1062</v>
      </c>
      <c r="D508" s="1" t="str">
        <f>_xlfn.XLOOKUP(C508,mfscreener.portfolio_holdings_v!$C:$C,mfscreener.portfolio_holdings_v!$E:$E)</f>
        <v>Innovative Opportunities</v>
      </c>
      <c r="E508" s="1" t="str">
        <f>_xlfn.XLOOKUP(C508,mfscreener.portfolio_holdings_v!$C:$C,mfscreener.portfolio_holdings_v!$D:$D)</f>
        <v>Equity</v>
      </c>
      <c r="F508" s="7">
        <v>6083.48</v>
      </c>
      <c r="G508" s="4">
        <v>0.91</v>
      </c>
      <c r="H508" s="4">
        <v>0.41</v>
      </c>
      <c r="I508" s="1" t="s">
        <v>1052</v>
      </c>
      <c r="J508" s="4">
        <v>15</v>
      </c>
      <c r="K508" s="1"/>
    </row>
    <row r="509" spans="1:11" ht="14">
      <c r="A509" s="34" t="s">
        <v>1009</v>
      </c>
      <c r="B509" s="21" t="s">
        <v>1023</v>
      </c>
      <c r="C509" s="21" t="s">
        <v>1063</v>
      </c>
      <c r="D509" s="1" t="str">
        <f>_xlfn.XLOOKUP(C509,mfscreener.portfolio_holdings_v!$C:$C,mfscreener.portfolio_holdings_v!$E:$E)</f>
        <v>Special Opportunities</v>
      </c>
      <c r="E509" s="1" t="str">
        <f>_xlfn.XLOOKUP(C509,mfscreener.portfolio_holdings_v!$C:$C,mfscreener.portfolio_holdings_v!$D:$D)</f>
        <v>Equity</v>
      </c>
      <c r="F509" s="1"/>
      <c r="G509" s="1"/>
      <c r="H509" s="1"/>
      <c r="I509" s="1"/>
      <c r="J509" s="1"/>
      <c r="K509" s="1"/>
    </row>
    <row r="510" spans="1:11" ht="14">
      <c r="A510" s="34" t="s">
        <v>1009</v>
      </c>
      <c r="B510" s="21" t="s">
        <v>1023</v>
      </c>
      <c r="C510" s="21" t="s">
        <v>1064</v>
      </c>
      <c r="D510" s="1" t="str">
        <f>_xlfn.XLOOKUP(C510,mfscreener.portfolio_holdings_v!$C:$C,mfscreener.portfolio_holdings_v!$E:$E)</f>
        <v>Aggressive Hybrid</v>
      </c>
      <c r="E510" s="1" t="str">
        <f>_xlfn.XLOOKUP(C510,mfscreener.portfolio_holdings_v!$C:$C,mfscreener.portfolio_holdings_v!$D:$D)</f>
        <v>Hybrid</v>
      </c>
      <c r="F510" s="7">
        <v>82584.23</v>
      </c>
      <c r="G510" s="4">
        <v>0.71</v>
      </c>
      <c r="H510" s="4">
        <v>0.25</v>
      </c>
      <c r="I510" s="1" t="s">
        <v>1065</v>
      </c>
      <c r="J510" s="1" t="s">
        <v>1066</v>
      </c>
      <c r="K510" s="1"/>
    </row>
    <row r="511" spans="1:11" ht="14">
      <c r="A511" s="34" t="s">
        <v>1009</v>
      </c>
      <c r="B511" s="21" t="s">
        <v>1023</v>
      </c>
      <c r="C511" s="21" t="s">
        <v>1067</v>
      </c>
      <c r="D511" s="1" t="str">
        <f>_xlfn.XLOOKUP(C511,mfscreener.portfolio_holdings_v!$C:$C,mfscreener.portfolio_holdings_v!$E:$E)</f>
        <v>Conservative Hybrid</v>
      </c>
      <c r="E511" s="1" t="str">
        <f>_xlfn.XLOOKUP(C511,mfscreener.portfolio_holdings_v!$C:$C,mfscreener.portfolio_holdings_v!$D:$D)</f>
        <v>Hybrid</v>
      </c>
      <c r="F511" s="7">
        <v>9873.14</v>
      </c>
      <c r="G511" s="4">
        <v>1.05</v>
      </c>
      <c r="H511" s="1"/>
      <c r="I511" s="1" t="s">
        <v>1068</v>
      </c>
      <c r="J511" s="1" t="s">
        <v>1069</v>
      </c>
      <c r="K511" s="1"/>
    </row>
    <row r="512" spans="1:11" ht="14">
      <c r="A512" s="34" t="s">
        <v>1009</v>
      </c>
      <c r="B512" s="21" t="s">
        <v>1023</v>
      </c>
      <c r="C512" s="21" t="s">
        <v>1070</v>
      </c>
      <c r="D512" s="1" t="str">
        <f>_xlfn.XLOOKUP(C512,mfscreener.portfolio_holdings_v!$C:$C,mfscreener.portfolio_holdings_v!$E:$E)</f>
        <v>Arbitrage</v>
      </c>
      <c r="E512" s="1" t="str">
        <f>_xlfn.XLOOKUP(C512,mfscreener.portfolio_holdings_v!$C:$C,mfscreener.portfolio_holdings_v!$D:$D)</f>
        <v>Hybrid</v>
      </c>
      <c r="F512" s="7">
        <v>12555.51</v>
      </c>
      <c r="G512" s="4">
        <v>0.41</v>
      </c>
      <c r="H512" s="1"/>
      <c r="I512" s="1" t="s">
        <v>1625</v>
      </c>
      <c r="J512" s="1" t="s">
        <v>1071</v>
      </c>
      <c r="K512" s="1"/>
    </row>
    <row r="513" spans="1:11" ht="14">
      <c r="A513" s="34" t="s">
        <v>1009</v>
      </c>
      <c r="B513" s="21" t="s">
        <v>1023</v>
      </c>
      <c r="C513" s="21" t="s">
        <v>1072</v>
      </c>
      <c r="D513" s="1" t="str">
        <f>_xlfn.XLOOKUP(C513,mfscreener.portfolio_holdings_v!$C:$C,mfscreener.portfolio_holdings_v!$E:$E)</f>
        <v>Equity Savings</v>
      </c>
      <c r="E513" s="1" t="str">
        <f>_xlfn.XLOOKUP(C513,mfscreener.portfolio_holdings_v!$C:$C,mfscreener.portfolio_holdings_v!$D:$D)</f>
        <v>Hybrid</v>
      </c>
      <c r="F513" s="7">
        <v>5933.91</v>
      </c>
      <c r="G513" s="4">
        <v>0.96</v>
      </c>
      <c r="H513" s="1"/>
      <c r="I513" s="1" t="s">
        <v>1626</v>
      </c>
      <c r="J513" s="1" t="s">
        <v>1073</v>
      </c>
      <c r="K513" s="1"/>
    </row>
    <row r="514" spans="1:11" ht="14">
      <c r="A514" s="34" t="s">
        <v>1009</v>
      </c>
      <c r="B514" s="21" t="s">
        <v>1023</v>
      </c>
      <c r="C514" s="21" t="s">
        <v>1074</v>
      </c>
      <c r="D514" s="1" t="str">
        <f>_xlfn.XLOOKUP(C514,mfscreener.portfolio_holdings_v!$C:$C,mfscreener.portfolio_holdings_v!$E:$E)</f>
        <v>Multi Asset Allocation</v>
      </c>
      <c r="E514" s="1" t="str">
        <f>_xlfn.XLOOKUP(C514,mfscreener.portfolio_holdings_v!$C:$C,mfscreener.portfolio_holdings_v!$D:$D)</f>
        <v>Hybrid</v>
      </c>
      <c r="F514" s="7">
        <v>12555.51</v>
      </c>
      <c r="G514" s="4">
        <v>0.59</v>
      </c>
      <c r="H514" s="1"/>
      <c r="I514" s="1"/>
      <c r="J514" s="1"/>
      <c r="K514" s="1"/>
    </row>
    <row r="515" spans="1:11" ht="14">
      <c r="A515" s="34" t="s">
        <v>1009</v>
      </c>
      <c r="B515" s="21" t="s">
        <v>1023</v>
      </c>
      <c r="C515" s="21" t="s">
        <v>1075</v>
      </c>
      <c r="D515" s="1" t="str">
        <f>_xlfn.XLOOKUP(C515,mfscreener.portfolio_holdings_v!$C:$C,mfscreener.portfolio_holdings_v!$E:$E)</f>
        <v>Balanced Advantage</v>
      </c>
      <c r="E515" s="1" t="str">
        <f>_xlfn.XLOOKUP(C515,mfscreener.portfolio_holdings_v!$C:$C,mfscreener.portfolio_holdings_v!$D:$D)</f>
        <v>Hybrid</v>
      </c>
      <c r="F515" s="7">
        <v>39521.97</v>
      </c>
      <c r="G515" s="4">
        <v>0.7</v>
      </c>
      <c r="H515" s="4">
        <v>0.22</v>
      </c>
      <c r="I515" s="1" t="s">
        <v>1627</v>
      </c>
      <c r="J515" s="1" t="s">
        <v>1076</v>
      </c>
      <c r="K515" s="1"/>
    </row>
    <row r="516" spans="1:11" ht="14">
      <c r="A516" s="34" t="s">
        <v>1009</v>
      </c>
      <c r="B516" s="21" t="s">
        <v>1023</v>
      </c>
      <c r="C516" s="21" t="s">
        <v>1077</v>
      </c>
      <c r="D516" s="1" t="str">
        <f>_xlfn.XLOOKUP(C516,mfscreener.portfolio_holdings_v!$C:$C,mfscreener.portfolio_holdings_v!$E:$E)</f>
        <v>Retirement Aggressive</v>
      </c>
      <c r="E516" s="1" t="str">
        <f>_xlfn.XLOOKUP(C516,mfscreener.portfolio_holdings_v!$C:$C,mfscreener.portfolio_holdings_v!$D:$D)</f>
        <v>Hybrid</v>
      </c>
      <c r="F516" s="7">
        <v>3147.89</v>
      </c>
      <c r="G516" s="4">
        <v>0.88</v>
      </c>
      <c r="H516" s="1"/>
      <c r="I516" s="1" t="s">
        <v>1628</v>
      </c>
      <c r="J516" s="1" t="s">
        <v>1078</v>
      </c>
      <c r="K516" s="1"/>
    </row>
    <row r="517" spans="1:11" ht="14">
      <c r="A517" s="34" t="s">
        <v>1009</v>
      </c>
      <c r="B517" s="21" t="s">
        <v>1023</v>
      </c>
      <c r="C517" s="21" t="s">
        <v>1079</v>
      </c>
      <c r="D517" s="1" t="str">
        <f>_xlfn.XLOOKUP(C517,mfscreener.portfolio_holdings_v!$C:$C,mfscreener.portfolio_holdings_v!$E:$E)</f>
        <v>Retirement Aggressive Hybrid</v>
      </c>
      <c r="E517" s="1" t="str">
        <f>_xlfn.XLOOKUP(C517,mfscreener.portfolio_holdings_v!$C:$C,mfscreener.portfolio_holdings_v!$D:$D)</f>
        <v>Hybrid</v>
      </c>
      <c r="F517" s="7">
        <v>1692.19</v>
      </c>
      <c r="G517" s="4">
        <v>1.05</v>
      </c>
      <c r="H517" s="1"/>
      <c r="I517" s="1" t="s">
        <v>1628</v>
      </c>
      <c r="J517" s="1" t="s">
        <v>1078</v>
      </c>
      <c r="K517" s="1"/>
    </row>
    <row r="518" spans="1:11" ht="14">
      <c r="A518" s="34" t="s">
        <v>1009</v>
      </c>
      <c r="B518" s="21" t="s">
        <v>1023</v>
      </c>
      <c r="C518" s="21" t="s">
        <v>1080</v>
      </c>
      <c r="D518" s="1" t="str">
        <f>_xlfn.XLOOKUP(C518,mfscreener.portfolio_holdings_v!$C:$C,mfscreener.portfolio_holdings_v!$E:$E)</f>
        <v>Retirement Conservative Hybrid</v>
      </c>
      <c r="E518" s="1" t="str">
        <f>_xlfn.XLOOKUP(C518,mfscreener.portfolio_holdings_v!$C:$C,mfscreener.portfolio_holdings_v!$D:$D)</f>
        <v>Hybrid</v>
      </c>
      <c r="F518" s="4">
        <v>285.29000000000002</v>
      </c>
      <c r="G518" s="4">
        <v>1.1599999999999999</v>
      </c>
      <c r="H518" s="1"/>
      <c r="I518" s="1" t="s">
        <v>1628</v>
      </c>
      <c r="J518" s="1" t="s">
        <v>1078</v>
      </c>
      <c r="K518" s="1"/>
    </row>
    <row r="519" spans="1:11" ht="14">
      <c r="A519" s="34" t="s">
        <v>1009</v>
      </c>
      <c r="B519" s="21" t="s">
        <v>1023</v>
      </c>
      <c r="C519" s="21" t="s">
        <v>1081</v>
      </c>
      <c r="D519" s="1" t="str">
        <f>_xlfn.XLOOKUP(C519,mfscreener.portfolio_holdings_v!$C:$C,mfscreener.portfolio_holdings_v!$E:$E)</f>
        <v>Retirement Conservative</v>
      </c>
      <c r="E519" s="1" t="str">
        <f>_xlfn.XLOOKUP(C519,mfscreener.portfolio_holdings_v!$C:$C,mfscreener.portfolio_holdings_v!$D:$D)</f>
        <v>Hybrid</v>
      </c>
      <c r="F519" s="4">
        <v>173.9</v>
      </c>
      <c r="G519" s="4">
        <v>0.92</v>
      </c>
      <c r="H519" s="1"/>
      <c r="I519" s="1" t="s">
        <v>1629</v>
      </c>
      <c r="J519" s="1" t="s">
        <v>1078</v>
      </c>
      <c r="K519" s="1"/>
    </row>
    <row r="520" spans="1:11" ht="14.5">
      <c r="A520" s="34" t="s">
        <v>1009</v>
      </c>
      <c r="B520" s="21" t="s">
        <v>1082</v>
      </c>
      <c r="C520" s="21" t="s">
        <v>1083</v>
      </c>
      <c r="D520" s="1" t="str">
        <f>_xlfn.XLOOKUP(C520,mfscreener.portfolio_holdings_v!$C:$C,mfscreener.portfolio_holdings_v!$E:$E)</f>
        <v>Mid Cap</v>
      </c>
      <c r="E520" s="1" t="str">
        <f>_xlfn.XLOOKUP(C520,mfscreener.portfolio_holdings_v!$C:$C,mfscreener.portfolio_holdings_v!$D:$D)</f>
        <v>Equity</v>
      </c>
      <c r="F520" s="4">
        <v>13201</v>
      </c>
      <c r="G520" s="4">
        <v>0.86</v>
      </c>
      <c r="H520" s="4">
        <v>46.5</v>
      </c>
      <c r="I520" s="1" t="s">
        <v>1084</v>
      </c>
      <c r="J520" s="2" t="s">
        <v>1085</v>
      </c>
      <c r="K520" s="1"/>
    </row>
    <row r="521" spans="1:11" ht="14.5">
      <c r="A521" s="34" t="s">
        <v>1009</v>
      </c>
      <c r="B521" s="21" t="s">
        <v>1082</v>
      </c>
      <c r="C521" s="21" t="s">
        <v>1086</v>
      </c>
      <c r="D521" s="1" t="str">
        <f>_xlfn.XLOOKUP(C521,mfscreener.portfolio_holdings_v!$C:$C,mfscreener.portfolio_holdings_v!$E:$E)</f>
        <v>Small Cap</v>
      </c>
      <c r="E521" s="1" t="str">
        <f>_xlfn.XLOOKUP(C521,mfscreener.portfolio_holdings_v!$C:$C,mfscreener.portfolio_holdings_v!$D:$D)</f>
        <v>Equity</v>
      </c>
      <c r="F521" s="4">
        <v>3388</v>
      </c>
      <c r="G521" s="4">
        <v>0.82</v>
      </c>
      <c r="H521" s="4">
        <v>42.2</v>
      </c>
      <c r="I521" s="1" t="s">
        <v>1087</v>
      </c>
      <c r="J521" s="5">
        <v>23</v>
      </c>
      <c r="K521" s="1"/>
    </row>
    <row r="522" spans="1:11" ht="14">
      <c r="A522" s="34" t="s">
        <v>1009</v>
      </c>
      <c r="B522" s="21" t="s">
        <v>1082</v>
      </c>
      <c r="C522" s="21" t="s">
        <v>1088</v>
      </c>
      <c r="D522" s="1" t="e">
        <f>_xlfn.XLOOKUP(C522,mfscreener.portfolio_holdings_v!$C:$C,mfscreener.portfolio_holdings_v!$E:$E)</f>
        <v>#N/A</v>
      </c>
      <c r="E522" s="1" t="e">
        <f>_xlfn.XLOOKUP(C522,mfscreener.portfolio_holdings_v!$C:$C,mfscreener.portfolio_holdings_v!$D:$D)</f>
        <v>#N/A</v>
      </c>
      <c r="F522" s="1"/>
      <c r="G522" s="1"/>
      <c r="H522" s="1"/>
      <c r="I522" s="1"/>
      <c r="J522" s="1"/>
      <c r="K522" s="1"/>
    </row>
    <row r="523" spans="1:11" ht="14.5">
      <c r="A523" s="34" t="s">
        <v>1009</v>
      </c>
      <c r="B523" s="21" t="s">
        <v>1082</v>
      </c>
      <c r="C523" s="21" t="s">
        <v>1089</v>
      </c>
      <c r="D523" s="1" t="str">
        <f>_xlfn.XLOOKUP(C523,mfscreener.portfolio_holdings_v!$C:$C,mfscreener.portfolio_holdings_v!$E:$E)</f>
        <v>Multi Cap</v>
      </c>
      <c r="E523" s="1" t="str">
        <f>_xlfn.XLOOKUP(C523,mfscreener.portfolio_holdings_v!$C:$C,mfscreener.portfolio_holdings_v!$D:$D)</f>
        <v>Equity</v>
      </c>
      <c r="F523" s="4">
        <v>2884</v>
      </c>
      <c r="G523" s="4">
        <v>0.88</v>
      </c>
      <c r="H523" s="4">
        <v>51.1</v>
      </c>
      <c r="I523" s="1" t="s">
        <v>1090</v>
      </c>
      <c r="J523" s="5">
        <v>19</v>
      </c>
      <c r="K523" s="1"/>
    </row>
    <row r="524" spans="1:11" ht="14.5">
      <c r="A524" s="34" t="s">
        <v>1009</v>
      </c>
      <c r="B524" s="21" t="s">
        <v>1082</v>
      </c>
      <c r="C524" s="21" t="s">
        <v>1091</v>
      </c>
      <c r="D524" s="1" t="str">
        <f>_xlfn.XLOOKUP(C524,mfscreener.portfolio_holdings_v!$C:$C,mfscreener.portfolio_holdings_v!$E:$E)</f>
        <v>Focused</v>
      </c>
      <c r="E524" s="1" t="str">
        <f>_xlfn.XLOOKUP(C524,mfscreener.portfolio_holdings_v!$C:$C,mfscreener.portfolio_holdings_v!$D:$D)</f>
        <v>Equity</v>
      </c>
      <c r="F524" s="4">
        <v>1096</v>
      </c>
      <c r="G524" s="4">
        <v>1.21</v>
      </c>
      <c r="H524" s="4">
        <v>58.8</v>
      </c>
      <c r="I524" s="1" t="s">
        <v>1092</v>
      </c>
      <c r="J524" s="5">
        <v>19</v>
      </c>
      <c r="K524" s="1"/>
    </row>
    <row r="525" spans="1:11" ht="14">
      <c r="A525" s="34" t="s">
        <v>1009</v>
      </c>
      <c r="B525" s="21" t="s">
        <v>1082</v>
      </c>
      <c r="C525" s="21" t="s">
        <v>1093</v>
      </c>
      <c r="D525" s="1" t="str">
        <f>_xlfn.XLOOKUP(C525,mfscreener.portfolio_holdings_v!$C:$C,mfscreener.portfolio_holdings_v!$E:$E)</f>
        <v>Dividend Yield</v>
      </c>
      <c r="E525" s="1" t="str">
        <f>_xlfn.XLOOKUP(C525,mfscreener.portfolio_holdings_v!$C:$C,mfscreener.portfolio_holdings_v!$D:$D)</f>
        <v>Equity</v>
      </c>
      <c r="F525" s="4">
        <v>916</v>
      </c>
      <c r="G525" s="4">
        <v>1.03</v>
      </c>
      <c r="H525" s="4">
        <v>47.6</v>
      </c>
      <c r="I525" s="1" t="s">
        <v>1094</v>
      </c>
      <c r="J525" s="1">
        <v>18</v>
      </c>
      <c r="K525" s="1"/>
    </row>
    <row r="526" spans="1:11" ht="14.5">
      <c r="A526" s="34" t="s">
        <v>1009</v>
      </c>
      <c r="B526" s="21" t="s">
        <v>1082</v>
      </c>
      <c r="C526" s="21" t="s">
        <v>1095</v>
      </c>
      <c r="D526" s="1" t="str">
        <f>_xlfn.XLOOKUP(C526,mfscreener.portfolio_holdings_v!$C:$C,mfscreener.portfolio_holdings_v!$E:$E)</f>
        <v>ELSS</v>
      </c>
      <c r="E526" s="1" t="str">
        <f>_xlfn.XLOOKUP(C526,mfscreener.portfolio_holdings_v!$C:$C,mfscreener.portfolio_holdings_v!$D:$D)</f>
        <v>Equity</v>
      </c>
      <c r="F526" s="4">
        <v>1397</v>
      </c>
      <c r="G526" s="4">
        <v>1.52</v>
      </c>
      <c r="H526" s="4">
        <v>47.5</v>
      </c>
      <c r="I526" s="1" t="s">
        <v>1096</v>
      </c>
      <c r="J526" s="2" t="s">
        <v>1097</v>
      </c>
      <c r="K526" s="1"/>
    </row>
    <row r="527" spans="1:11" ht="14">
      <c r="A527" s="34" t="s">
        <v>1009</v>
      </c>
      <c r="B527" s="21" t="s">
        <v>1082</v>
      </c>
      <c r="C527" s="21" t="s">
        <v>1098</v>
      </c>
      <c r="D527" s="1" t="s">
        <v>1444</v>
      </c>
      <c r="E527" s="1" t="str">
        <f>_xlfn.XLOOKUP(C527,mfscreener.portfolio_holdings_v!$C:$C,mfscreener.portfolio_holdings_v!$D:$D)</f>
        <v>Equity</v>
      </c>
      <c r="F527" s="14">
        <v>1787</v>
      </c>
      <c r="G527" s="4">
        <v>0.57999999999999996</v>
      </c>
      <c r="H527" s="4">
        <v>42.4</v>
      </c>
      <c r="I527" s="1" t="s">
        <v>1630</v>
      </c>
      <c r="J527" s="1" t="s">
        <v>1099</v>
      </c>
      <c r="K527" s="1"/>
    </row>
    <row r="528" spans="1:11" ht="14">
      <c r="A528" s="34" t="s">
        <v>1009</v>
      </c>
      <c r="B528" s="21" t="s">
        <v>1082</v>
      </c>
      <c r="C528" s="21" t="s">
        <v>1100</v>
      </c>
      <c r="D528" s="1" t="s">
        <v>1459</v>
      </c>
      <c r="E528" s="1" t="str">
        <f>_xlfn.XLOOKUP(C528,mfscreener.portfolio_holdings_v!$C:$C,mfscreener.portfolio_holdings_v!$D:$D)</f>
        <v>Equity</v>
      </c>
      <c r="F528" s="14">
        <v>1587</v>
      </c>
      <c r="G528" s="4">
        <v>1.19</v>
      </c>
      <c r="H528" s="4">
        <v>22.3</v>
      </c>
      <c r="I528" s="1" t="s">
        <v>1090</v>
      </c>
      <c r="J528" s="4">
        <v>19</v>
      </c>
      <c r="K528" s="1"/>
    </row>
    <row r="529" spans="1:11" ht="14">
      <c r="A529" s="34" t="s">
        <v>1009</v>
      </c>
      <c r="B529" s="21" t="s">
        <v>1082</v>
      </c>
      <c r="C529" s="21" t="s">
        <v>1101</v>
      </c>
      <c r="D529" s="1" t="s">
        <v>1438</v>
      </c>
      <c r="E529" s="1" t="str">
        <f>_xlfn.XLOOKUP(C529,mfscreener.portfolio_holdings_v!$C:$C,mfscreener.portfolio_holdings_v!$D:$D)</f>
        <v>Equity</v>
      </c>
      <c r="F529" s="14">
        <v>1643</v>
      </c>
      <c r="G529" s="4">
        <v>0.76</v>
      </c>
      <c r="H529" s="4">
        <v>35.1</v>
      </c>
      <c r="I529" s="1" t="s">
        <v>1087</v>
      </c>
      <c r="J529" s="4">
        <v>23</v>
      </c>
      <c r="K529" s="1"/>
    </row>
    <row r="530" spans="1:11" ht="14">
      <c r="A530" s="34" t="s">
        <v>1009</v>
      </c>
      <c r="B530" s="21" t="s">
        <v>1082</v>
      </c>
      <c r="C530" s="21" t="s">
        <v>1102</v>
      </c>
      <c r="D530" s="1" t="str">
        <f>_xlfn.XLOOKUP(C530,mfscreener.portfolio_holdings_v!$C:$C,mfscreener.portfolio_holdings_v!$E:$E)</f>
        <v>Aggressive Hybrid</v>
      </c>
      <c r="E530" s="1" t="str">
        <f>_xlfn.XLOOKUP(C530,mfscreener.portfolio_holdings_v!$C:$C,mfscreener.portfolio_holdings_v!$D:$D)</f>
        <v>Hybrid</v>
      </c>
      <c r="F530" s="14">
        <v>7760</v>
      </c>
      <c r="G530" s="4">
        <v>0.73</v>
      </c>
      <c r="H530" s="4">
        <v>92.9</v>
      </c>
      <c r="I530" s="1" t="s">
        <v>1103</v>
      </c>
      <c r="J530" s="1" t="s">
        <v>1104</v>
      </c>
      <c r="K530" s="1"/>
    </row>
    <row r="531" spans="1:11" ht="14">
      <c r="A531" s="34" t="s">
        <v>1009</v>
      </c>
      <c r="B531" s="21" t="s">
        <v>1082</v>
      </c>
      <c r="C531" s="21" t="s">
        <v>1105</v>
      </c>
      <c r="D531" s="1" t="str">
        <f>_xlfn.XLOOKUP(C531,mfscreener.portfolio_holdings_v!$C:$C,mfscreener.portfolio_holdings_v!$E:$E)</f>
        <v>Arbitrage</v>
      </c>
      <c r="E531" s="1" t="str">
        <f>_xlfn.XLOOKUP(C531,mfscreener.portfolio_holdings_v!$C:$C,mfscreener.portfolio_holdings_v!$D:$D)</f>
        <v>Hybrid</v>
      </c>
      <c r="F531" s="4">
        <v>318</v>
      </c>
      <c r="G531" s="4">
        <v>0.3</v>
      </c>
      <c r="H531" s="4">
        <v>87.2</v>
      </c>
      <c r="I531" s="1" t="s">
        <v>1106</v>
      </c>
      <c r="J531" s="1" t="s">
        <v>1107</v>
      </c>
      <c r="K531" s="1"/>
    </row>
    <row r="532" spans="1:11" ht="14">
      <c r="A532" s="34" t="s">
        <v>1009</v>
      </c>
      <c r="B532" s="21" t="s">
        <v>1082</v>
      </c>
      <c r="C532" s="21" t="s">
        <v>1108</v>
      </c>
      <c r="D532" s="1" t="str">
        <f>_xlfn.XLOOKUP(C532,mfscreener.portfolio_holdings_v!$C:$C,mfscreener.portfolio_holdings_v!$E:$E)</f>
        <v>Balanced Advantage</v>
      </c>
      <c r="E532" s="1" t="str">
        <f>_xlfn.XLOOKUP(C532,mfscreener.portfolio_holdings_v!$C:$C,mfscreener.portfolio_holdings_v!$D:$D)</f>
        <v>Hybrid</v>
      </c>
      <c r="F532" s="14">
        <v>1739</v>
      </c>
      <c r="G532" s="4">
        <v>0.59</v>
      </c>
      <c r="H532" s="4">
        <v>73</v>
      </c>
      <c r="I532" s="1" t="s">
        <v>1109</v>
      </c>
      <c r="J532" s="1" t="s">
        <v>1110</v>
      </c>
      <c r="K532" s="1"/>
    </row>
    <row r="533" spans="1:11" ht="14">
      <c r="A533" s="34" t="s">
        <v>1009</v>
      </c>
      <c r="B533" s="21" t="s">
        <v>1082</v>
      </c>
      <c r="C533" s="21" t="s">
        <v>1111</v>
      </c>
      <c r="D533" s="1" t="str">
        <f>_xlfn.XLOOKUP(C533,mfscreener.portfolio_holdings_v!$C:$C,mfscreener.portfolio_holdings_v!$E:$E)</f>
        <v>Equity Savings</v>
      </c>
      <c r="E533" s="1" t="str">
        <f>_xlfn.XLOOKUP(C533,mfscreener.portfolio_holdings_v!$C:$C,mfscreener.portfolio_holdings_v!$D:$D)</f>
        <v>Hybrid</v>
      </c>
      <c r="F533" s="14">
        <v>1216</v>
      </c>
      <c r="G533" s="4">
        <v>0.71</v>
      </c>
      <c r="H533" s="4">
        <v>67.7</v>
      </c>
      <c r="I533" s="1" t="s">
        <v>1112</v>
      </c>
      <c r="J533" s="1" t="s">
        <v>1113</v>
      </c>
      <c r="K533" s="1"/>
    </row>
    <row r="534" spans="1:11" s="46" customFormat="1" ht="14">
      <c r="A534" s="53" t="s">
        <v>1009</v>
      </c>
      <c r="B534" s="54" t="s">
        <v>1082</v>
      </c>
      <c r="C534" s="54" t="s">
        <v>1114</v>
      </c>
      <c r="D534" s="44" t="str">
        <f>_xlfn.XLOOKUP(C534,mfscreener.portfolio_holdings_v!$C:$C,mfscreener.portfolio_holdings_v!$E:$E)</f>
        <v>Multi Asset Allocation</v>
      </c>
      <c r="E534" s="44" t="str">
        <f>_xlfn.XLOOKUP(C534,mfscreener.portfolio_holdings_v!$C:$C,mfscreener.portfolio_holdings_v!$D:$D)</f>
        <v>Hybrid</v>
      </c>
      <c r="F534" s="55">
        <v>3057</v>
      </c>
      <c r="G534" s="45">
        <v>0.4</v>
      </c>
      <c r="H534" s="44"/>
      <c r="I534" s="44" t="s">
        <v>1631</v>
      </c>
      <c r="J534" s="45" t="s">
        <v>1115</v>
      </c>
      <c r="K534" s="44"/>
    </row>
    <row r="535" spans="1:11" s="46" customFormat="1" ht="14.5">
      <c r="A535" s="53" t="s">
        <v>1009</v>
      </c>
      <c r="B535" s="56" t="s">
        <v>1082</v>
      </c>
      <c r="C535" s="56" t="s">
        <v>1116</v>
      </c>
      <c r="D535" s="44" t="str">
        <f>_xlfn.XLOOKUP(C535,mfscreener.portfolio_holdings_v!$C:$C,mfscreener.portfolio_holdings_v!$E:$E)</f>
        <v>Large Cap</v>
      </c>
      <c r="E535" s="44" t="str">
        <f>_xlfn.XLOOKUP(C535,mfscreener.portfolio_holdings_v!$C:$C,mfscreener.portfolio_holdings_v!$D:$D)</f>
        <v>Equity</v>
      </c>
      <c r="F535" s="45">
        <v>3361</v>
      </c>
      <c r="G535" s="45">
        <v>0.65</v>
      </c>
      <c r="H535" s="45">
        <v>32.5</v>
      </c>
      <c r="I535" s="44" t="s">
        <v>1092</v>
      </c>
      <c r="J535" s="57">
        <v>19</v>
      </c>
      <c r="K535" s="44"/>
    </row>
    <row r="536" spans="1:11" s="46" customFormat="1" ht="14.5">
      <c r="A536" s="53" t="s">
        <v>1009</v>
      </c>
      <c r="B536" s="56" t="s">
        <v>1082</v>
      </c>
      <c r="C536" s="56" t="s">
        <v>1117</v>
      </c>
      <c r="D536" s="44" t="str">
        <f>_xlfn.XLOOKUP(C536,mfscreener.portfolio_holdings_v!$C:$C,mfscreener.portfolio_holdings_v!$E:$E)</f>
        <v>Flexi Cap</v>
      </c>
      <c r="E536" s="44" t="str">
        <f>_xlfn.XLOOKUP(C536,mfscreener.portfolio_holdings_v!$C:$C,mfscreener.portfolio_holdings_v!$D:$D)</f>
        <v>Equity</v>
      </c>
      <c r="F536" s="45">
        <v>2125</v>
      </c>
      <c r="G536" s="45">
        <v>0.69</v>
      </c>
      <c r="H536" s="45">
        <v>48.4</v>
      </c>
      <c r="I536" s="44" t="s">
        <v>1118</v>
      </c>
      <c r="J536" s="58" t="s">
        <v>1107</v>
      </c>
      <c r="K536" s="44"/>
    </row>
    <row r="537" spans="1:11" s="46" customFormat="1" ht="14.5">
      <c r="A537" s="53" t="s">
        <v>1009</v>
      </c>
      <c r="B537" s="56" t="s">
        <v>1082</v>
      </c>
      <c r="C537" s="56" t="s">
        <v>1119</v>
      </c>
      <c r="D537" s="44" t="str">
        <f>_xlfn.XLOOKUP(C537,mfscreener.portfolio_holdings_v!$C:$C,mfscreener.portfolio_holdings_v!$E:$E)</f>
        <v>Large &amp; Mid Cap</v>
      </c>
      <c r="E537" s="44" t="str">
        <f>_xlfn.XLOOKUP(C537,mfscreener.portfolio_holdings_v!$C:$C,mfscreener.portfolio_holdings_v!$D:$D)</f>
        <v>Equity</v>
      </c>
      <c r="F537" s="45">
        <v>6949</v>
      </c>
      <c r="G537" s="45">
        <v>0.66</v>
      </c>
      <c r="H537" s="45">
        <v>44.9</v>
      </c>
      <c r="I537" s="44" t="s">
        <v>1120</v>
      </c>
      <c r="J537" s="57">
        <v>23</v>
      </c>
      <c r="K537" s="44"/>
    </row>
    <row r="538" spans="1:11" s="46" customFormat="1" ht="14.5">
      <c r="A538" s="53" t="s">
        <v>1009</v>
      </c>
      <c r="B538" s="56" t="s">
        <v>1082</v>
      </c>
      <c r="C538" s="56" t="s">
        <v>1121</v>
      </c>
      <c r="D538" s="44" t="str">
        <f>_xlfn.XLOOKUP(C538,mfscreener.portfolio_holdings_v!$C:$C,mfscreener.portfolio_holdings_v!$E:$E)</f>
        <v>Value</v>
      </c>
      <c r="E538" s="44" t="str">
        <f>_xlfn.XLOOKUP(C538,mfscreener.portfolio_holdings_v!$C:$C,mfscreener.portfolio_holdings_v!$D:$D)</f>
        <v>Equity</v>
      </c>
      <c r="F538" s="57">
        <v>1479</v>
      </c>
      <c r="G538" s="57">
        <v>1.65</v>
      </c>
      <c r="H538" s="57">
        <v>0.48699999999999999</v>
      </c>
      <c r="I538" s="44" t="s">
        <v>1122</v>
      </c>
      <c r="J538" s="58" t="s">
        <v>1123</v>
      </c>
      <c r="K538" s="44"/>
    </row>
    <row r="539" spans="1:11" s="46" customFormat="1" ht="14.5">
      <c r="A539" s="53" t="s">
        <v>1009</v>
      </c>
      <c r="B539" s="56" t="s">
        <v>1082</v>
      </c>
      <c r="C539" s="56" t="s">
        <v>1124</v>
      </c>
      <c r="D539" s="44" t="s">
        <v>1445</v>
      </c>
      <c r="E539" s="44" t="e">
        <f>_xlfn.XLOOKUP(C539,mfscreener.portfolio_holdings_v!$C:$C,mfscreener.portfolio_holdings_v!$D:$D)</f>
        <v>#N/A</v>
      </c>
      <c r="F539" s="57">
        <v>944</v>
      </c>
      <c r="G539" s="57">
        <v>1.59</v>
      </c>
      <c r="H539" s="57">
        <v>22</v>
      </c>
      <c r="I539" s="44" t="s">
        <v>1094</v>
      </c>
      <c r="J539" s="58">
        <v>18</v>
      </c>
      <c r="K539" s="44"/>
    </row>
    <row r="540" spans="1:11" ht="14">
      <c r="A540" s="34" t="s">
        <v>1009</v>
      </c>
      <c r="B540" s="23" t="s">
        <v>1125</v>
      </c>
      <c r="C540" s="23" t="s">
        <v>1126</v>
      </c>
      <c r="D540" s="1" t="str">
        <f>_xlfn.XLOOKUP(C540,mfscreener.portfolio_holdings_v!$C:$C,mfscreener.portfolio_holdings_v!$E:$E)</f>
        <v>ELSS</v>
      </c>
      <c r="E540" s="1" t="str">
        <f>_xlfn.XLOOKUP(C540,mfscreener.portfolio_holdings_v!$C:$C,mfscreener.portfolio_holdings_v!$D:$D)</f>
        <v>Equity</v>
      </c>
      <c r="F540" s="4">
        <v>4743.0200000000004</v>
      </c>
      <c r="G540" s="4">
        <v>0.72</v>
      </c>
      <c r="H540" s="4">
        <v>0.21</v>
      </c>
      <c r="I540" s="1" t="s">
        <v>1127</v>
      </c>
      <c r="J540" s="4">
        <v>22</v>
      </c>
      <c r="K540" s="1"/>
    </row>
    <row r="541" spans="1:11" ht="14">
      <c r="A541" s="34" t="s">
        <v>1009</v>
      </c>
      <c r="B541" s="21" t="s">
        <v>1125</v>
      </c>
      <c r="C541" s="21" t="s">
        <v>1128</v>
      </c>
      <c r="D541" s="1" t="str">
        <f>_xlfn.XLOOKUP(C541,mfscreener.portfolio_holdings_v!$C:$C,mfscreener.portfolio_holdings_v!$E:$E)</f>
        <v>Flexi Cap</v>
      </c>
      <c r="E541" s="1" t="str">
        <f>_xlfn.XLOOKUP(C541,mfscreener.portfolio_holdings_v!$C:$C,mfscreener.portfolio_holdings_v!$D:$D)</f>
        <v>Equity</v>
      </c>
      <c r="F541" s="4">
        <v>3665.88</v>
      </c>
      <c r="G541" s="4">
        <v>0.62</v>
      </c>
      <c r="H541" s="4">
        <v>0.55000000000000004</v>
      </c>
      <c r="I541" s="1" t="s">
        <v>1129</v>
      </c>
      <c r="J541" s="4">
        <v>12</v>
      </c>
      <c r="K541" s="1"/>
    </row>
    <row r="542" spans="1:11" ht="14">
      <c r="A542" s="34" t="s">
        <v>1009</v>
      </c>
      <c r="B542" s="21" t="s">
        <v>1125</v>
      </c>
      <c r="C542" s="21" t="s">
        <v>1130</v>
      </c>
      <c r="D542" s="1" t="str">
        <f>_xlfn.XLOOKUP(C542,mfscreener.portfolio_holdings_v!$C:$C,mfscreener.portfolio_holdings_v!$E:$E)</f>
        <v>Focused</v>
      </c>
      <c r="E542" s="1" t="str">
        <f>_xlfn.XLOOKUP(C542,mfscreener.portfolio_holdings_v!$C:$C,mfscreener.portfolio_holdings_v!$D:$D)</f>
        <v>Equity</v>
      </c>
      <c r="F542" s="4">
        <v>1865.29</v>
      </c>
      <c r="G542" s="4">
        <v>0.64</v>
      </c>
      <c r="H542" s="4">
        <v>0.52</v>
      </c>
      <c r="I542" s="1" t="s">
        <v>1131</v>
      </c>
      <c r="J542" s="4">
        <v>14</v>
      </c>
      <c r="K542" s="1"/>
    </row>
    <row r="543" spans="1:11" ht="14">
      <c r="A543" s="34" t="s">
        <v>1009</v>
      </c>
      <c r="B543" s="21" t="s">
        <v>1125</v>
      </c>
      <c r="C543" s="21" t="s">
        <v>1132</v>
      </c>
      <c r="D543" s="1" t="str">
        <f>_xlfn.XLOOKUP(C543,mfscreener.portfolio_holdings_v!$C:$C,mfscreener.portfolio_holdings_v!$E:$E)</f>
        <v>Large Cap</v>
      </c>
      <c r="E543" s="1" t="str">
        <f>_xlfn.XLOOKUP(C543,mfscreener.portfolio_holdings_v!$C:$C,mfscreener.portfolio_holdings_v!$D:$D)</f>
        <v>Equity</v>
      </c>
      <c r="F543" s="4">
        <v>2817</v>
      </c>
      <c r="G543" s="4">
        <v>0.97</v>
      </c>
      <c r="H543" s="4">
        <v>0.37</v>
      </c>
      <c r="I543" s="1" t="s">
        <v>1133</v>
      </c>
      <c r="J543" s="1" t="s">
        <v>1134</v>
      </c>
      <c r="K543" s="1"/>
    </row>
    <row r="544" spans="1:11" ht="14">
      <c r="A544" s="34" t="s">
        <v>1009</v>
      </c>
      <c r="B544" s="21" t="s">
        <v>1125</v>
      </c>
      <c r="C544" s="21" t="s">
        <v>1135</v>
      </c>
      <c r="D544" s="1" t="str">
        <f>_xlfn.XLOOKUP(C544,mfscreener.portfolio_holdings_v!$C:$C,mfscreener.portfolio_holdings_v!$E:$E)</f>
        <v>Large &amp; Mid Cap</v>
      </c>
      <c r="E544" s="1" t="str">
        <f>_xlfn.XLOOKUP(C544,mfscreener.portfolio_holdings_v!$C:$C,mfscreener.portfolio_holdings_v!$D:$D)</f>
        <v>Equity</v>
      </c>
      <c r="F544" s="4">
        <v>8653.99</v>
      </c>
      <c r="G544" s="4">
        <v>0.65</v>
      </c>
      <c r="H544" s="4">
        <v>0.16</v>
      </c>
      <c r="I544" s="1" t="s">
        <v>1136</v>
      </c>
      <c r="J544" s="4">
        <v>24</v>
      </c>
      <c r="K544" s="1"/>
    </row>
    <row r="545" spans="1:11" ht="14">
      <c r="A545" s="34" t="s">
        <v>1009</v>
      </c>
      <c r="B545" s="21" t="s">
        <v>1125</v>
      </c>
      <c r="C545" s="21" t="s">
        <v>1137</v>
      </c>
      <c r="D545" s="1" t="str">
        <f>_xlfn.XLOOKUP(C545,mfscreener.portfolio_holdings_v!$C:$C,mfscreener.portfolio_holdings_v!$E:$E)</f>
        <v>Mid Cap</v>
      </c>
      <c r="E545" s="1" t="str">
        <f>_xlfn.XLOOKUP(C545,mfscreener.portfolio_holdings_v!$C:$C,mfscreener.portfolio_holdings_v!$D:$D)</f>
        <v>Equity</v>
      </c>
      <c r="F545" s="4">
        <v>5418.61</v>
      </c>
      <c r="G545" s="4">
        <v>0.61</v>
      </c>
      <c r="H545" s="4">
        <v>0.31</v>
      </c>
      <c r="I545" s="1" t="s">
        <v>1138</v>
      </c>
      <c r="J545" s="4">
        <v>18</v>
      </c>
      <c r="K545" s="1"/>
    </row>
    <row r="546" spans="1:11" ht="14">
      <c r="A546" s="34" t="s">
        <v>1009</v>
      </c>
      <c r="B546" s="21" t="s">
        <v>1125</v>
      </c>
      <c r="C546" s="21" t="s">
        <v>1139</v>
      </c>
      <c r="D546" s="1" t="str">
        <f>_xlfn.XLOOKUP(C546,mfscreener.portfolio_holdings_v!$C:$C,mfscreener.portfolio_holdings_v!$E:$E)</f>
        <v>Multi Cap</v>
      </c>
      <c r="E546" s="1" t="str">
        <f>_xlfn.XLOOKUP(C546,mfscreener.portfolio_holdings_v!$C:$C,mfscreener.portfolio_holdings_v!$D:$D)</f>
        <v>Equity</v>
      </c>
      <c r="F546" s="4">
        <v>3200.6</v>
      </c>
      <c r="G546" s="4">
        <v>0.4</v>
      </c>
      <c r="H546" s="4">
        <v>0.47</v>
      </c>
      <c r="I546" s="1" t="s">
        <v>1140</v>
      </c>
      <c r="J546" s="1" t="s">
        <v>1141</v>
      </c>
      <c r="K546" s="1"/>
    </row>
    <row r="547" spans="1:11" ht="14">
      <c r="A547" s="34" t="s">
        <v>1009</v>
      </c>
      <c r="B547" s="21" t="s">
        <v>1125</v>
      </c>
      <c r="C547" s="21" t="s">
        <v>1142</v>
      </c>
      <c r="D547" s="1" t="str">
        <f>_xlfn.XLOOKUP(C547,mfscreener.portfolio_holdings_v!$C:$C,mfscreener.portfolio_holdings_v!$E:$E)</f>
        <v>Small Cap</v>
      </c>
      <c r="E547" s="1" t="str">
        <f>_xlfn.XLOOKUP(C547,mfscreener.portfolio_holdings_v!$C:$C,mfscreener.portfolio_holdings_v!$D:$D)</f>
        <v>Equity</v>
      </c>
      <c r="F547" s="4">
        <v>11239.93</v>
      </c>
      <c r="G547" s="4">
        <v>0.34</v>
      </c>
      <c r="H547" s="4">
        <v>0.13</v>
      </c>
      <c r="I547" s="1" t="s">
        <v>1136</v>
      </c>
      <c r="J547" s="4">
        <v>24</v>
      </c>
      <c r="K547" s="1"/>
    </row>
    <row r="548" spans="1:11" ht="14">
      <c r="A548" s="34" t="s">
        <v>1009</v>
      </c>
      <c r="B548" s="21" t="s">
        <v>1125</v>
      </c>
      <c r="C548" s="21" t="s">
        <v>1143</v>
      </c>
      <c r="D548" s="1" t="str">
        <f>_xlfn.XLOOKUP(C548,mfscreener.portfolio_holdings_v!$C:$C,mfscreener.portfolio_holdings_v!$E:$E)</f>
        <v>Value</v>
      </c>
      <c r="E548" s="1" t="str">
        <f>_xlfn.XLOOKUP(C548,mfscreener.portfolio_holdings_v!$C:$C,mfscreener.portfolio_holdings_v!$D:$D)</f>
        <v>Equity</v>
      </c>
      <c r="F548" s="4">
        <v>8973.61</v>
      </c>
      <c r="G548" s="4">
        <v>0.81</v>
      </c>
      <c r="H548" s="4">
        <v>0.41</v>
      </c>
      <c r="I548" s="1" t="s">
        <v>1144</v>
      </c>
      <c r="J548" s="4">
        <v>27</v>
      </c>
      <c r="K548" s="1"/>
    </row>
    <row r="549" spans="1:11" ht="14">
      <c r="A549" s="34" t="s">
        <v>1009</v>
      </c>
      <c r="B549" s="21" t="s">
        <v>1125</v>
      </c>
      <c r="C549" s="21" t="s">
        <v>1145</v>
      </c>
      <c r="D549" s="1" t="str">
        <f>_xlfn.XLOOKUP(C549,mfscreener.portfolio_holdings_v!$C:$C,mfscreener.portfolio_holdings_v!$E:$E)</f>
        <v>Banking &amp; Financial Services</v>
      </c>
      <c r="E549" s="1" t="str">
        <f>_xlfn.XLOOKUP(C549,mfscreener.portfolio_holdings_v!$C:$C,mfscreener.portfolio_holdings_v!$D:$D)</f>
        <v>Equity</v>
      </c>
      <c r="F549" s="4">
        <v>3225.32</v>
      </c>
      <c r="G549" s="4">
        <v>0.44</v>
      </c>
      <c r="H549" s="4">
        <v>0.41</v>
      </c>
      <c r="I549" s="1" t="s">
        <v>1146</v>
      </c>
      <c r="J549" s="4">
        <v>15</v>
      </c>
      <c r="K549" s="1"/>
    </row>
    <row r="550" spans="1:11" ht="14">
      <c r="A550" s="34" t="s">
        <v>1009</v>
      </c>
      <c r="B550" s="21" t="s">
        <v>1125</v>
      </c>
      <c r="C550" s="21" t="s">
        <v>1147</v>
      </c>
      <c r="D550" s="1" t="str">
        <f>_xlfn.XLOOKUP(C550,mfscreener.portfolio_holdings_v!$C:$C,mfscreener.portfolio_holdings_v!$E:$E)</f>
        <v>Business Cycle</v>
      </c>
      <c r="E550" s="1" t="str">
        <f>_xlfn.XLOOKUP(C550,mfscreener.portfolio_holdings_v!$C:$C,mfscreener.portfolio_holdings_v!$D:$D)</f>
        <v>Equity</v>
      </c>
      <c r="F550" s="4">
        <v>2829.63</v>
      </c>
      <c r="G550" s="4">
        <v>0.51</v>
      </c>
      <c r="H550" s="4">
        <v>0.57999999999999996</v>
      </c>
      <c r="I550" s="1" t="s">
        <v>1148</v>
      </c>
      <c r="J550" s="1" t="s">
        <v>1149</v>
      </c>
      <c r="K550" s="1"/>
    </row>
    <row r="551" spans="1:11" ht="14">
      <c r="A551" s="34" t="s">
        <v>1009</v>
      </c>
      <c r="B551" s="21" t="s">
        <v>1125</v>
      </c>
      <c r="C551" s="21" t="s">
        <v>1150</v>
      </c>
      <c r="D551" s="1" t="s">
        <v>1491</v>
      </c>
      <c r="E551" s="1" t="str">
        <f>_xlfn.XLOOKUP(C551,mfscreener.portfolio_holdings_v!$C:$C,mfscreener.portfolio_holdings_v!$D:$D)</f>
        <v>Equity</v>
      </c>
      <c r="F551" s="4">
        <v>12363.95</v>
      </c>
      <c r="G551" s="4">
        <v>0.43</v>
      </c>
      <c r="H551" s="4">
        <v>0.16</v>
      </c>
      <c r="I551" s="1" t="s">
        <v>1151</v>
      </c>
      <c r="J551" s="4">
        <v>18</v>
      </c>
      <c r="K551" s="1"/>
    </row>
    <row r="552" spans="1:11" ht="14">
      <c r="A552" s="34" t="s">
        <v>1009</v>
      </c>
      <c r="B552" s="21" t="s">
        <v>1125</v>
      </c>
      <c r="C552" s="21" t="s">
        <v>1152</v>
      </c>
      <c r="D552" s="1" t="str">
        <f>_xlfn.XLOOKUP(C552,mfscreener.portfolio_holdings_v!$C:$C,mfscreener.portfolio_holdings_v!$E:$E)</f>
        <v>Dividend Yield</v>
      </c>
      <c r="E552" s="1" t="str">
        <f>_xlfn.XLOOKUP(C552,mfscreener.portfolio_holdings_v!$C:$C,mfscreener.portfolio_holdings_v!$D:$D)</f>
        <v>Equity</v>
      </c>
      <c r="F552" s="4">
        <v>1015.46</v>
      </c>
      <c r="G552" s="4">
        <v>2.16</v>
      </c>
      <c r="H552" s="4">
        <v>0.31</v>
      </c>
      <c r="I552" s="1" t="s">
        <v>1127</v>
      </c>
      <c r="J552" s="4">
        <v>22</v>
      </c>
      <c r="K552" s="1"/>
    </row>
    <row r="553" spans="1:11" ht="14">
      <c r="A553" s="34" t="s">
        <v>1009</v>
      </c>
      <c r="B553" s="21" t="s">
        <v>1125</v>
      </c>
      <c r="C553" s="21" t="s">
        <v>1153</v>
      </c>
      <c r="D553" s="1" t="str">
        <f>_xlfn.XLOOKUP(C553,mfscreener.portfolio_holdings_v!$C:$C,mfscreener.portfolio_holdings_v!$E:$E)</f>
        <v>Ethical</v>
      </c>
      <c r="E553" s="1" t="str">
        <f>_xlfn.XLOOKUP(C553,mfscreener.portfolio_holdings_v!$C:$C,mfscreener.portfolio_holdings_v!$D:$D)</f>
        <v>Equity</v>
      </c>
      <c r="F553" s="4">
        <v>3796.7</v>
      </c>
      <c r="G553" s="4">
        <v>0.65</v>
      </c>
      <c r="H553" s="4">
        <v>0.17</v>
      </c>
      <c r="I553" s="1" t="s">
        <v>1154</v>
      </c>
      <c r="J553" s="4">
        <v>18</v>
      </c>
      <c r="K553" s="1"/>
    </row>
    <row r="554" spans="1:11" ht="14">
      <c r="A554" s="34" t="s">
        <v>1009</v>
      </c>
      <c r="B554" s="21" t="s">
        <v>1125</v>
      </c>
      <c r="C554" s="21" t="s">
        <v>1155</v>
      </c>
      <c r="D554" s="1" t="str">
        <f>_xlfn.XLOOKUP(C554,mfscreener.portfolio_holdings_v!$C:$C,mfscreener.portfolio_holdings_v!$E:$E)</f>
        <v>Housing Opportunities</v>
      </c>
      <c r="E554" s="1" t="str">
        <f>_xlfn.XLOOKUP(C554,mfscreener.portfolio_holdings_v!$C:$C,mfscreener.portfolio_holdings_v!$D:$D)</f>
        <v>Equity</v>
      </c>
      <c r="F554" s="4">
        <v>518.74</v>
      </c>
      <c r="G554" s="4">
        <v>0.73</v>
      </c>
      <c r="H554" s="4">
        <v>0.4</v>
      </c>
      <c r="I554" s="1" t="s">
        <v>1156</v>
      </c>
      <c r="J554" s="1" t="s">
        <v>1157</v>
      </c>
      <c r="K554" s="1"/>
    </row>
    <row r="555" spans="1:11" ht="14">
      <c r="A555" s="34" t="s">
        <v>1009</v>
      </c>
      <c r="B555" s="21" t="s">
        <v>1125</v>
      </c>
      <c r="C555" s="21" t="s">
        <v>1158</v>
      </c>
      <c r="D555" s="1" t="s">
        <v>1459</v>
      </c>
      <c r="E555" s="1" t="str">
        <f>_xlfn.XLOOKUP(C555,mfscreener.portfolio_holdings_v!$C:$C,mfscreener.portfolio_holdings_v!$D:$D)</f>
        <v>Equity</v>
      </c>
      <c r="F555" s="4">
        <v>2652.08</v>
      </c>
      <c r="G555" s="4">
        <v>0.69</v>
      </c>
      <c r="H555" s="4">
        <v>0.51</v>
      </c>
      <c r="I555" s="1" t="s">
        <v>1144</v>
      </c>
      <c r="J555" s="4">
        <v>27</v>
      </c>
      <c r="K555" s="1"/>
    </row>
    <row r="556" spans="1:11" ht="14">
      <c r="A556" s="34" t="s">
        <v>1009</v>
      </c>
      <c r="B556" s="21" t="s">
        <v>1125</v>
      </c>
      <c r="C556" s="21" t="s">
        <v>1159</v>
      </c>
      <c r="D556" s="1" t="s">
        <v>1493</v>
      </c>
      <c r="E556" s="1" t="str">
        <f>_xlfn.XLOOKUP(C556,mfscreener.portfolio_holdings_v!$C:$C,mfscreener.portfolio_holdings_v!$D:$D)</f>
        <v>Equity</v>
      </c>
      <c r="F556" s="4">
        <v>1648.77</v>
      </c>
      <c r="G556" s="4">
        <v>0.56000000000000005</v>
      </c>
      <c r="H556" s="4">
        <v>0.47</v>
      </c>
      <c r="I556" s="1" t="s">
        <v>1151</v>
      </c>
      <c r="J556" s="4">
        <v>18</v>
      </c>
      <c r="K556" s="1"/>
    </row>
    <row r="557" spans="1:11" ht="14">
      <c r="A557" s="34" t="s">
        <v>1009</v>
      </c>
      <c r="B557" s="21" t="s">
        <v>1125</v>
      </c>
      <c r="C557" s="21" t="s">
        <v>1160</v>
      </c>
      <c r="D557" s="1" t="s">
        <v>1480</v>
      </c>
      <c r="E557" s="1" t="str">
        <f>_xlfn.XLOOKUP(C557,mfscreener.portfolio_holdings_v!$C:$C,mfscreener.portfolio_holdings_v!$D:$D)</f>
        <v>Equity</v>
      </c>
      <c r="F557" s="4">
        <v>1317.69</v>
      </c>
      <c r="G557" s="4">
        <v>0.62</v>
      </c>
      <c r="H557" s="4">
        <v>0.78</v>
      </c>
      <c r="I557" s="1" t="s">
        <v>1161</v>
      </c>
      <c r="J557" s="4">
        <v>10</v>
      </c>
      <c r="K557" s="1"/>
    </row>
    <row r="558" spans="1:11" ht="14">
      <c r="A558" s="34" t="s">
        <v>1009</v>
      </c>
      <c r="B558" s="21" t="s">
        <v>1125</v>
      </c>
      <c r="C558" s="21" t="s">
        <v>1162</v>
      </c>
      <c r="D558" s="1" t="str">
        <f>_xlfn.XLOOKUP(C558,mfscreener.portfolio_holdings_v!$C:$C,mfscreener.portfolio_holdings_v!$E:$E)</f>
        <v>Infrastructure</v>
      </c>
      <c r="E558" s="1" t="str">
        <f>_xlfn.XLOOKUP(C558,mfscreener.portfolio_holdings_v!$C:$C,mfscreener.portfolio_holdings_v!$D:$D)</f>
        <v>Equity</v>
      </c>
      <c r="F558" s="4">
        <v>2027.63</v>
      </c>
      <c r="G558" s="4">
        <v>1.1399999999999999</v>
      </c>
      <c r="H558" s="4">
        <v>0.08</v>
      </c>
      <c r="I558" s="1" t="s">
        <v>1154</v>
      </c>
      <c r="J558" s="4">
        <v>18</v>
      </c>
      <c r="K558" s="1"/>
    </row>
    <row r="559" spans="1:11" ht="14">
      <c r="A559" s="34" t="s">
        <v>1009</v>
      </c>
      <c r="B559" s="21" t="s">
        <v>1125</v>
      </c>
      <c r="C559" s="21" t="s">
        <v>1163</v>
      </c>
      <c r="D559" s="1" t="str">
        <f>_xlfn.XLOOKUP(C559,mfscreener.portfolio_holdings_v!$C:$C,mfscreener.portfolio_holdings_v!$E:$E)</f>
        <v>Resources &amp; Energy</v>
      </c>
      <c r="E559" s="1" t="str">
        <f>_xlfn.XLOOKUP(C559,mfscreener.portfolio_holdings_v!$C:$C,mfscreener.portfolio_holdings_v!$D:$D)</f>
        <v>Equity</v>
      </c>
      <c r="F559" s="4">
        <v>1192.47</v>
      </c>
      <c r="G559" s="4">
        <v>0.53</v>
      </c>
      <c r="H559" s="4">
        <v>0.26</v>
      </c>
      <c r="I559" s="1" t="s">
        <v>1138</v>
      </c>
      <c r="J559" s="4">
        <v>18</v>
      </c>
      <c r="K559" s="1"/>
    </row>
    <row r="560" spans="1:11" ht="14">
      <c r="A560" s="34" t="s">
        <v>1009</v>
      </c>
      <c r="B560" s="21" t="s">
        <v>1125</v>
      </c>
      <c r="C560" s="21" t="s">
        <v>1164</v>
      </c>
      <c r="D560" s="1" t="str">
        <f>_xlfn.XLOOKUP(C560,mfscreener.portfolio_holdings_v!$C:$C,mfscreener.portfolio_holdings_v!$E:$E)</f>
        <v>Aggressive Hybrid</v>
      </c>
      <c r="E560" s="1" t="str">
        <f>_xlfn.XLOOKUP(C560,mfscreener.portfolio_holdings_v!$C:$C,mfscreener.portfolio_holdings_v!$D:$D)</f>
        <v>Hybrid</v>
      </c>
      <c r="F560" s="4">
        <v>4150.2299999999996</v>
      </c>
      <c r="G560" s="4">
        <v>0.98</v>
      </c>
      <c r="H560" s="4">
        <v>0.25</v>
      </c>
      <c r="I560" s="1" t="s">
        <v>1165</v>
      </c>
      <c r="J560" s="1" t="s">
        <v>1166</v>
      </c>
      <c r="K560" s="1"/>
    </row>
    <row r="561" spans="1:11" ht="14">
      <c r="A561" s="34" t="s">
        <v>1009</v>
      </c>
      <c r="B561" s="21" t="s">
        <v>1125</v>
      </c>
      <c r="C561" s="21" t="s">
        <v>1167</v>
      </c>
      <c r="D561" s="1" t="str">
        <f>_xlfn.XLOOKUP(C561,mfscreener.portfolio_holdings_v!$C:$C,mfscreener.portfolio_holdings_v!$E:$E)</f>
        <v>Balanced Advantage</v>
      </c>
      <c r="E561" s="1" t="str">
        <f>_xlfn.XLOOKUP(C561,mfscreener.portfolio_holdings_v!$C:$C,mfscreener.portfolio_holdings_v!$D:$D)</f>
        <v>Hybrid</v>
      </c>
      <c r="F561" s="4">
        <v>9737.7099999999991</v>
      </c>
      <c r="G561" s="4">
        <v>0.44</v>
      </c>
      <c r="H561" s="4">
        <v>0.33</v>
      </c>
      <c r="I561" s="1" t="s">
        <v>1168</v>
      </c>
      <c r="J561" s="1" t="s">
        <v>1169</v>
      </c>
      <c r="K561" s="1"/>
    </row>
    <row r="562" spans="1:11" ht="14">
      <c r="A562" s="34" t="s">
        <v>1009</v>
      </c>
      <c r="B562" s="21" t="s">
        <v>1125</v>
      </c>
      <c r="C562" s="21" t="s">
        <v>1170</v>
      </c>
      <c r="D562" s="1" t="str">
        <f>_xlfn.XLOOKUP(C562,mfscreener.portfolio_holdings_v!$C:$C,mfscreener.portfolio_holdings_v!$E:$E)</f>
        <v>Arbitrage</v>
      </c>
      <c r="E562" s="1" t="str">
        <f>_xlfn.XLOOKUP(C562,mfscreener.portfolio_holdings_v!$C:$C,mfscreener.portfolio_holdings_v!$D:$D)</f>
        <v>Hybrid</v>
      </c>
      <c r="F562" s="4">
        <v>19801.18</v>
      </c>
      <c r="G562" s="4">
        <v>0.31</v>
      </c>
      <c r="H562" s="4">
        <v>2.97</v>
      </c>
      <c r="I562" s="1" t="s">
        <v>1127</v>
      </c>
      <c r="J562" s="4">
        <v>22</v>
      </c>
      <c r="K562" s="1"/>
    </row>
    <row r="563" spans="1:11" ht="14">
      <c r="A563" s="34" t="s">
        <v>1009</v>
      </c>
      <c r="B563" s="21" t="s">
        <v>1125</v>
      </c>
      <c r="C563" s="21" t="s">
        <v>1171</v>
      </c>
      <c r="D563" s="1" t="str">
        <f>_xlfn.XLOOKUP(C563,mfscreener.portfolio_holdings_v!$C:$C,mfscreener.portfolio_holdings_v!$E:$E)</f>
        <v>Equity Savings</v>
      </c>
      <c r="E563" s="1" t="str">
        <f>_xlfn.XLOOKUP(C563,mfscreener.portfolio_holdings_v!$C:$C,mfscreener.portfolio_holdings_v!$D:$D)</f>
        <v>Hybrid</v>
      </c>
      <c r="F563" s="4">
        <v>274.92</v>
      </c>
      <c r="G563" s="4">
        <v>0.51</v>
      </c>
      <c r="H563" s="4">
        <v>0.24</v>
      </c>
      <c r="I563" s="1" t="s">
        <v>1172</v>
      </c>
      <c r="J563" s="1" t="s">
        <v>1173</v>
      </c>
      <c r="K563" s="1"/>
    </row>
    <row r="564" spans="1:11" ht="14">
      <c r="A564" s="34" t="s">
        <v>1009</v>
      </c>
      <c r="B564" s="21" t="s">
        <v>1125</v>
      </c>
      <c r="C564" s="21" t="s">
        <v>1174</v>
      </c>
      <c r="D564" s="1" t="str">
        <f>_xlfn.XLOOKUP(C564,mfscreener.portfolio_holdings_v!$C:$C,mfscreener.portfolio_holdings_v!$E:$E)</f>
        <v>Multi Asset Allocation</v>
      </c>
      <c r="E564" s="1" t="str">
        <f>_xlfn.XLOOKUP(C564,mfscreener.portfolio_holdings_v!$C:$C,mfscreener.portfolio_holdings_v!$D:$D)</f>
        <v>Hybrid</v>
      </c>
      <c r="F564" s="4">
        <v>4697.07</v>
      </c>
      <c r="G564" s="4">
        <v>0.39</v>
      </c>
      <c r="H564" s="4">
        <v>0.2</v>
      </c>
      <c r="I564" s="1" t="s">
        <v>1175</v>
      </c>
      <c r="J564" s="1" t="s">
        <v>1176</v>
      </c>
      <c r="K564" s="1"/>
    </row>
    <row r="565" spans="1:11" ht="14">
      <c r="A565" s="34" t="s">
        <v>1009</v>
      </c>
      <c r="B565" s="21" t="s">
        <v>1125</v>
      </c>
      <c r="C565" s="21" t="s">
        <v>1177</v>
      </c>
      <c r="D565" s="1" t="str">
        <f>_xlfn.XLOOKUP(C565,mfscreener.portfolio_holdings_v!$C:$C,mfscreener.portfolio_holdings_v!$E:$E)</f>
        <v>Retirement Moderate</v>
      </c>
      <c r="E565" s="1" t="str">
        <f>_xlfn.XLOOKUP(C565,mfscreener.portfolio_holdings_v!$C:$C,mfscreener.portfolio_holdings_v!$D:$D)</f>
        <v>Hybrid</v>
      </c>
      <c r="F565" s="1"/>
      <c r="G565" s="1"/>
      <c r="H565" s="1"/>
      <c r="I565" s="1"/>
      <c r="J565" s="1"/>
      <c r="K565" s="1"/>
    </row>
    <row r="566" spans="1:11" ht="14">
      <c r="A566" s="34" t="s">
        <v>1009</v>
      </c>
      <c r="B566" s="21" t="s">
        <v>1125</v>
      </c>
      <c r="C566" s="21" t="s">
        <v>1178</v>
      </c>
      <c r="D566" s="1" t="str">
        <f>_xlfn.XLOOKUP(C566,mfscreener.portfolio_holdings_v!$C:$C,mfscreener.portfolio_holdings_v!$E:$E)</f>
        <v>Retirement Progressive</v>
      </c>
      <c r="E566" s="1" t="str">
        <f>_xlfn.XLOOKUP(C566,mfscreener.portfolio_holdings_v!$C:$C,mfscreener.portfolio_holdings_v!$D:$D)</f>
        <v>Hybrid</v>
      </c>
      <c r="F566" s="1"/>
      <c r="G566" s="1"/>
      <c r="H566" s="1"/>
      <c r="I566" s="1"/>
      <c r="J566" s="1"/>
      <c r="K566" s="1"/>
    </row>
    <row r="567" spans="1:11" ht="14">
      <c r="A567" s="34" t="s">
        <v>1009</v>
      </c>
      <c r="B567" s="21" t="s">
        <v>1125</v>
      </c>
      <c r="C567" s="21"/>
      <c r="D567" s="1">
        <f>_xlfn.XLOOKUP(C567,mfscreener.portfolio_holdings_v!$C:$C,mfscreener.portfolio_holdings_v!$E:$E)</f>
        <v>0</v>
      </c>
      <c r="E567" s="1">
        <f>_xlfn.XLOOKUP(C567,mfscreener.portfolio_holdings_v!$C:$C,mfscreener.portfolio_holdings_v!$D:$D)</f>
        <v>0</v>
      </c>
      <c r="F567" s="1"/>
      <c r="G567" s="1"/>
      <c r="H567" s="1"/>
      <c r="I567" s="1"/>
      <c r="J567" s="1"/>
      <c r="K567" s="1"/>
    </row>
    <row r="568" spans="1:11" ht="14.5">
      <c r="A568" s="34" t="s">
        <v>1009</v>
      </c>
      <c r="B568" s="21" t="s">
        <v>1179</v>
      </c>
      <c r="C568" s="21" t="s">
        <v>1180</v>
      </c>
      <c r="D568" s="1" t="s">
        <v>1436</v>
      </c>
      <c r="E568" s="1" t="str">
        <f>_xlfn.XLOOKUP(C568,mfscreener.portfolio_holdings_v!$C:$C,mfscreener.portfolio_holdings_v!$D:$D)</f>
        <v>Equity</v>
      </c>
      <c r="F568" s="4">
        <v>76.13</v>
      </c>
      <c r="G568" s="4">
        <v>1.79</v>
      </c>
      <c r="H568" s="4">
        <v>0.8</v>
      </c>
      <c r="I568" s="1" t="s">
        <v>1181</v>
      </c>
      <c r="J568" s="5">
        <v>19</v>
      </c>
      <c r="K568" s="1"/>
    </row>
    <row r="569" spans="1:11" ht="14.5">
      <c r="A569" s="34" t="s">
        <v>1009</v>
      </c>
      <c r="B569" s="21" t="s">
        <v>1179</v>
      </c>
      <c r="C569" s="21" t="s">
        <v>1182</v>
      </c>
      <c r="D569" s="1" t="str">
        <f>_xlfn.XLOOKUP(C569,mfscreener.portfolio_holdings_v!$C:$C,mfscreener.portfolio_holdings_v!$E:$E)</f>
        <v>Flexi Cap</v>
      </c>
      <c r="E569" s="1" t="str">
        <f>_xlfn.XLOOKUP(C569,mfscreener.portfolio_holdings_v!$C:$C,mfscreener.portfolio_holdings_v!$D:$D)</f>
        <v>Equity</v>
      </c>
      <c r="F569" s="4">
        <v>357.86</v>
      </c>
      <c r="G569" s="4">
        <v>2.56</v>
      </c>
      <c r="H569" s="4">
        <v>0.86</v>
      </c>
      <c r="I569" s="1" t="s">
        <v>1181</v>
      </c>
      <c r="J569" s="5">
        <v>19</v>
      </c>
      <c r="K569" s="1"/>
    </row>
    <row r="570" spans="1:11" ht="14.5">
      <c r="A570" s="34" t="s">
        <v>1009</v>
      </c>
      <c r="B570" s="21" t="s">
        <v>1179</v>
      </c>
      <c r="C570" s="21" t="s">
        <v>1183</v>
      </c>
      <c r="D570" s="1" t="str">
        <f>_xlfn.XLOOKUP(C570,mfscreener.portfolio_holdings_v!$C:$C,mfscreener.portfolio_holdings_v!$E:$E)</f>
        <v>Large Cap</v>
      </c>
      <c r="E570" s="1" t="str">
        <f>_xlfn.XLOOKUP(C570,mfscreener.portfolio_holdings_v!$C:$C,mfscreener.portfolio_holdings_v!$D:$D)</f>
        <v>Equity</v>
      </c>
      <c r="F570" s="4">
        <v>52.11</v>
      </c>
      <c r="G570" s="4">
        <v>2.41</v>
      </c>
      <c r="H570" s="4">
        <v>0.79</v>
      </c>
      <c r="I570" s="1" t="s">
        <v>1181</v>
      </c>
      <c r="J570" s="5">
        <v>19</v>
      </c>
      <c r="K570" s="1"/>
    </row>
    <row r="571" spans="1:11" ht="14.5">
      <c r="A571" s="34" t="s">
        <v>1009</v>
      </c>
      <c r="B571" s="21" t="s">
        <v>1179</v>
      </c>
      <c r="C571" s="21" t="s">
        <v>1184</v>
      </c>
      <c r="D571" s="1" t="str">
        <f>_xlfn.XLOOKUP(C571,mfscreener.portfolio_holdings_v!$C:$C,mfscreener.portfolio_holdings_v!$E:$E)</f>
        <v>Mid Cap</v>
      </c>
      <c r="E571" s="1" t="str">
        <f>_xlfn.XLOOKUP(C571,mfscreener.portfolio_holdings_v!$C:$C,mfscreener.portfolio_holdings_v!$D:$D)</f>
        <v>Equity</v>
      </c>
      <c r="F571" s="4">
        <v>129.79</v>
      </c>
      <c r="G571" s="4">
        <v>2.0699999999999998</v>
      </c>
      <c r="H571" s="4">
        <v>0.85</v>
      </c>
      <c r="I571" s="1" t="s">
        <v>1185</v>
      </c>
      <c r="J571" s="2" t="s">
        <v>1186</v>
      </c>
      <c r="K571" s="1"/>
    </row>
    <row r="572" spans="1:11" ht="14.5">
      <c r="A572" s="34" t="s">
        <v>1009</v>
      </c>
      <c r="B572" s="21" t="s">
        <v>1179</v>
      </c>
      <c r="C572" s="21" t="s">
        <v>1187</v>
      </c>
      <c r="D572" s="1" t="str">
        <f>_xlfn.XLOOKUP(C572,mfscreener.portfolio_holdings_v!$C:$C,mfscreener.portfolio_holdings_v!$E:$E)</f>
        <v>Ethical Fund</v>
      </c>
      <c r="E572" s="1" t="str">
        <f>_xlfn.XLOOKUP(C572,mfscreener.portfolio_holdings_v!$C:$C,mfscreener.portfolio_holdings_v!$D:$D)</f>
        <v>Equity</v>
      </c>
      <c r="F572" s="4">
        <v>370.14</v>
      </c>
      <c r="G572" s="4">
        <v>0.91</v>
      </c>
      <c r="H572" s="4">
        <v>0.86</v>
      </c>
      <c r="I572" s="1" t="s">
        <v>1181</v>
      </c>
      <c r="J572" s="5">
        <v>19</v>
      </c>
      <c r="K572" s="1"/>
    </row>
    <row r="573" spans="1:11" ht="14.5">
      <c r="A573" s="34" t="s">
        <v>1009</v>
      </c>
      <c r="B573" s="21" t="s">
        <v>1179</v>
      </c>
      <c r="C573" s="21" t="s">
        <v>1188</v>
      </c>
      <c r="D573" s="1" t="str">
        <f>_xlfn.XLOOKUP(C573,mfscreener.portfolio_holdings_v!$C:$C,mfscreener.portfolio_holdings_v!$E:$E)</f>
        <v>Banking &amp; Financial Services</v>
      </c>
      <c r="E573" s="1" t="str">
        <f>_xlfn.XLOOKUP(C573,mfscreener.portfolio_holdings_v!$C:$C,mfscreener.portfolio_holdings_v!$D:$D)</f>
        <v>Equity</v>
      </c>
      <c r="F573" s="4">
        <v>11.98</v>
      </c>
      <c r="G573" s="4">
        <v>1.57</v>
      </c>
      <c r="H573" s="4">
        <v>0.59</v>
      </c>
      <c r="I573" s="1" t="s">
        <v>1181</v>
      </c>
      <c r="J573" s="5">
        <v>19</v>
      </c>
      <c r="K573" s="1"/>
    </row>
    <row r="574" spans="1:11" ht="14.5">
      <c r="A574" s="34" t="s">
        <v>1009</v>
      </c>
      <c r="B574" s="21" t="s">
        <v>1179</v>
      </c>
      <c r="C574" s="21" t="s">
        <v>1189</v>
      </c>
      <c r="D574" s="1" t="s">
        <v>1445</v>
      </c>
      <c r="E574" s="1" t="str">
        <f>_xlfn.XLOOKUP(C574,mfscreener.portfolio_holdings_v!$C:$C,mfscreener.portfolio_holdings_v!$D:$D)</f>
        <v>Equity</v>
      </c>
      <c r="F574" s="4">
        <v>9.17</v>
      </c>
      <c r="G574" s="4">
        <v>1.91</v>
      </c>
      <c r="H574" s="4">
        <v>0.67</v>
      </c>
      <c r="I574" s="1" t="s">
        <v>1181</v>
      </c>
      <c r="J574" s="5">
        <v>19</v>
      </c>
      <c r="K574" s="1"/>
    </row>
    <row r="575" spans="1:11" ht="14.5">
      <c r="A575" s="34" t="s">
        <v>1009</v>
      </c>
      <c r="B575" s="21" t="s">
        <v>1190</v>
      </c>
      <c r="C575" s="21" t="s">
        <v>1191</v>
      </c>
      <c r="D575" s="1" t="str">
        <f>_xlfn.XLOOKUP(C575,mfscreener.portfolio_holdings_v!$C:$C,mfscreener.portfolio_holdings_v!$E:$E)</f>
        <v>Flexi Cap</v>
      </c>
      <c r="E575" s="1" t="str">
        <f>_xlfn.XLOOKUP(C575,mfscreener.portfolio_holdings_v!$C:$C,mfscreener.portfolio_holdings_v!$D:$D)</f>
        <v>Equity</v>
      </c>
      <c r="F575" s="4">
        <v>1132.98</v>
      </c>
      <c r="G575" s="4">
        <v>0.49</v>
      </c>
      <c r="H575" s="4">
        <v>2.98</v>
      </c>
      <c r="I575" s="1" t="s">
        <v>1192</v>
      </c>
      <c r="J575" s="2" t="s">
        <v>1193</v>
      </c>
      <c r="K575" s="1"/>
    </row>
    <row r="576" spans="1:11" ht="14.5">
      <c r="A576" s="34" t="s">
        <v>1009</v>
      </c>
      <c r="B576" s="21" t="s">
        <v>1190</v>
      </c>
      <c r="C576" s="21" t="s">
        <v>1194</v>
      </c>
      <c r="D576" s="1" t="str">
        <f>_xlfn.XLOOKUP(C576,mfscreener.portfolio_holdings_v!$C:$C,mfscreener.portfolio_holdings_v!$E:$E)</f>
        <v>Multi Cap</v>
      </c>
      <c r="E576" s="1" t="str">
        <f>_xlfn.XLOOKUP(C576,mfscreener.portfolio_holdings_v!$C:$C,mfscreener.portfolio_holdings_v!$D:$D)</f>
        <v>Equity</v>
      </c>
      <c r="F576" s="4">
        <v>318.89</v>
      </c>
      <c r="G576" s="4">
        <v>0.5</v>
      </c>
      <c r="H576" s="1"/>
      <c r="I576" s="1" t="s">
        <v>1192</v>
      </c>
      <c r="J576" s="2" t="s">
        <v>1193</v>
      </c>
      <c r="K576" s="1"/>
    </row>
    <row r="577" spans="1:11" ht="14.5">
      <c r="A577" s="34" t="s">
        <v>1009</v>
      </c>
      <c r="B577" s="21" t="s">
        <v>1190</v>
      </c>
      <c r="C577" s="21" t="s">
        <v>1195</v>
      </c>
      <c r="D577" s="1" t="str">
        <f>_xlfn.XLOOKUP(C577,mfscreener.portfolio_holdings_v!$C:$C,mfscreener.portfolio_holdings_v!$E:$E)</f>
        <v>Small Cap</v>
      </c>
      <c r="E577" s="1" t="str">
        <f>_xlfn.XLOOKUP(C577,mfscreener.portfolio_holdings_v!$C:$C,mfscreener.portfolio_holdings_v!$D:$D)</f>
        <v>Equity</v>
      </c>
      <c r="F577" s="4">
        <v>1266.97</v>
      </c>
      <c r="G577" s="4">
        <v>0.47</v>
      </c>
      <c r="H577" s="4">
        <v>1.95</v>
      </c>
      <c r="I577" s="1" t="s">
        <v>1192</v>
      </c>
      <c r="J577" s="2" t="s">
        <v>1193</v>
      </c>
      <c r="K577" s="1"/>
    </row>
    <row r="578" spans="1:11" ht="14.5">
      <c r="A578" s="34" t="s">
        <v>1009</v>
      </c>
      <c r="B578" s="21" t="s">
        <v>1190</v>
      </c>
      <c r="C578" s="21" t="s">
        <v>1196</v>
      </c>
      <c r="D578" s="1" t="str">
        <f>_xlfn.XLOOKUP(C578,mfscreener.portfolio_holdings_v!$C:$C,mfscreener.portfolio_holdings_v!$E:$E)</f>
        <v>Banking &amp; PSU</v>
      </c>
      <c r="E578" s="1" t="str">
        <f>_xlfn.XLOOKUP(C578,mfscreener.portfolio_holdings_v!$C:$C,mfscreener.portfolio_holdings_v!$D:$D)</f>
        <v>Equity</v>
      </c>
      <c r="F578" s="4">
        <v>132.29</v>
      </c>
      <c r="G578" s="4">
        <v>0.21</v>
      </c>
      <c r="H578" s="1"/>
      <c r="I578" s="1" t="s">
        <v>1197</v>
      </c>
      <c r="J578" s="2" t="s">
        <v>142</v>
      </c>
      <c r="K578" s="1"/>
    </row>
    <row r="579" spans="1:11" ht="14">
      <c r="A579" s="34" t="s">
        <v>1009</v>
      </c>
      <c r="B579" s="21" t="s">
        <v>1190</v>
      </c>
      <c r="C579" s="21" t="s">
        <v>1198</v>
      </c>
      <c r="D579" s="1" t="str">
        <f>_xlfn.XLOOKUP(C579,mfscreener.portfolio_holdings_v!$C:$C,mfscreener.portfolio_holdings_v!$E:$E)</f>
        <v>Arbitrage</v>
      </c>
      <c r="E579" s="1" t="str">
        <f>_xlfn.XLOOKUP(C579,mfscreener.portfolio_holdings_v!$C:$C,mfscreener.portfolio_holdings_v!$D:$D)</f>
        <v>Hybrid</v>
      </c>
      <c r="F579" s="4">
        <v>67.45</v>
      </c>
      <c r="G579" s="4">
        <v>0.2</v>
      </c>
      <c r="H579" s="1"/>
      <c r="I579" s="1" t="s">
        <v>1199</v>
      </c>
      <c r="J579" s="1" t="s">
        <v>873</v>
      </c>
      <c r="K579" s="1"/>
    </row>
    <row r="580" spans="1:11" ht="14.5">
      <c r="A580" s="34" t="s">
        <v>1009</v>
      </c>
      <c r="B580" s="21" t="s">
        <v>1200</v>
      </c>
      <c r="C580" s="21" t="s">
        <v>1201</v>
      </c>
      <c r="D580" s="1" t="str">
        <f>_xlfn.XLOOKUP(C580,mfscreener.portfolio_holdings_v!$C:$C,mfscreener.portfolio_holdings_v!$E:$E)</f>
        <v>Flexi Cap</v>
      </c>
      <c r="E580" s="1" t="str">
        <f>_xlfn.XLOOKUP(C580,mfscreener.portfolio_holdings_v!$C:$C,mfscreener.portfolio_holdings_v!$D:$D)</f>
        <v>Equity</v>
      </c>
      <c r="F580" s="4">
        <v>168.45</v>
      </c>
      <c r="G580" s="4">
        <v>1.08</v>
      </c>
      <c r="H580" s="1"/>
      <c r="I580" s="2" t="s">
        <v>1202</v>
      </c>
      <c r="J580" s="2" t="s">
        <v>1203</v>
      </c>
      <c r="K580" s="1"/>
    </row>
    <row r="581" spans="1:11" ht="14">
      <c r="A581" s="34" t="s">
        <v>1009</v>
      </c>
      <c r="B581" s="21" t="s">
        <v>1200</v>
      </c>
      <c r="C581" s="21" t="s">
        <v>1204</v>
      </c>
      <c r="D581" s="1" t="str">
        <f>_xlfn.XLOOKUP(C581,mfscreener.portfolio_holdings_v!$C:$C,mfscreener.portfolio_holdings_v!$E:$E)</f>
        <v>Dynamic Asset Allocation</v>
      </c>
      <c r="E581" s="1" t="str">
        <f>_xlfn.XLOOKUP(C581,mfscreener.portfolio_holdings_v!$C:$C,mfscreener.portfolio_holdings_v!$D:$D)</f>
        <v>Hybrid</v>
      </c>
      <c r="F581" s="4">
        <v>1011.92</v>
      </c>
      <c r="G581" s="4">
        <v>0.93</v>
      </c>
      <c r="H581" s="1"/>
      <c r="I581" s="1"/>
      <c r="J581" s="1"/>
      <c r="K581" s="1"/>
    </row>
    <row r="582" spans="1:11" ht="14.5">
      <c r="A582" s="34" t="s">
        <v>1009</v>
      </c>
      <c r="B582" s="21" t="s">
        <v>1205</v>
      </c>
      <c r="C582" s="21" t="s">
        <v>1206</v>
      </c>
      <c r="D582" s="1" t="str">
        <f>_xlfn.XLOOKUP(C582,mfscreener.portfolio_holdings_v!$C:$C,mfscreener.portfolio_holdings_v!$E:$E)</f>
        <v>ELSS</v>
      </c>
      <c r="E582" s="1" t="str">
        <f>_xlfn.XLOOKUP(C582,mfscreener.portfolio_holdings_v!$C:$C,mfscreener.portfolio_holdings_v!$D:$D)</f>
        <v>Equity</v>
      </c>
      <c r="F582" s="4">
        <v>905.99</v>
      </c>
      <c r="G582" s="4">
        <v>1.31</v>
      </c>
      <c r="H582" s="4">
        <v>0.7</v>
      </c>
      <c r="I582" s="1" t="s">
        <v>1207</v>
      </c>
      <c r="J582" s="2" t="s">
        <v>1208</v>
      </c>
      <c r="K582" s="1"/>
    </row>
    <row r="583" spans="1:11" ht="14.5">
      <c r="A583" s="34" t="s">
        <v>1009</v>
      </c>
      <c r="B583" s="21" t="s">
        <v>1205</v>
      </c>
      <c r="C583" s="21" t="s">
        <v>1209</v>
      </c>
      <c r="D583" s="1" t="str">
        <f>_xlfn.XLOOKUP(C583,mfscreener.portfolio_holdings_v!$C:$C,mfscreener.portfolio_holdings_v!$E:$E)</f>
        <v>Flexi Cap</v>
      </c>
      <c r="E583" s="1" t="str">
        <f>_xlfn.XLOOKUP(C583,mfscreener.portfolio_holdings_v!$C:$C,mfscreener.portfolio_holdings_v!$D:$D)</f>
        <v>Equity</v>
      </c>
      <c r="F583" s="4">
        <v>2394.64</v>
      </c>
      <c r="G583" s="4">
        <v>0.93</v>
      </c>
      <c r="H583" s="4">
        <v>0.72</v>
      </c>
      <c r="I583" s="1" t="s">
        <v>1207</v>
      </c>
      <c r="J583" s="2" t="s">
        <v>1208</v>
      </c>
      <c r="K583" s="1"/>
    </row>
    <row r="584" spans="1:11" ht="14.5">
      <c r="A584" s="34" t="s">
        <v>1009</v>
      </c>
      <c r="B584" s="21" t="s">
        <v>1205</v>
      </c>
      <c r="C584" s="21" t="s">
        <v>1210</v>
      </c>
      <c r="D584" s="1" t="str">
        <f>_xlfn.XLOOKUP(C584,mfscreener.portfolio_holdings_v!$C:$C,mfscreener.portfolio_holdings_v!$E:$E)</f>
        <v>Focused</v>
      </c>
      <c r="E584" s="1" t="str">
        <f>_xlfn.XLOOKUP(C584,mfscreener.portfolio_holdings_v!$C:$C,mfscreener.portfolio_holdings_v!$D:$D)</f>
        <v>Equity</v>
      </c>
      <c r="F584" s="4">
        <v>413.73</v>
      </c>
      <c r="G584" s="4">
        <v>1.53</v>
      </c>
      <c r="H584" s="4">
        <v>0.64</v>
      </c>
      <c r="I584" s="1" t="s">
        <v>1211</v>
      </c>
      <c r="J584" s="2" t="s">
        <v>1212</v>
      </c>
      <c r="K584" s="1"/>
    </row>
    <row r="585" spans="1:11" ht="14.5">
      <c r="A585" s="34" t="s">
        <v>1009</v>
      </c>
      <c r="B585" s="21" t="s">
        <v>1205</v>
      </c>
      <c r="C585" s="21" t="s">
        <v>1213</v>
      </c>
      <c r="D585" s="1" t="str">
        <f>_xlfn.XLOOKUP(C585,mfscreener.portfolio_holdings_v!$C:$C,mfscreener.portfolio_holdings_v!$E:$E)</f>
        <v>Large Cap</v>
      </c>
      <c r="E585" s="1" t="str">
        <f>_xlfn.XLOOKUP(C585,mfscreener.portfolio_holdings_v!$C:$C,mfscreener.portfolio_holdings_v!$D:$D)</f>
        <v>Equity</v>
      </c>
      <c r="F585" s="4">
        <v>471.54</v>
      </c>
      <c r="G585" s="4">
        <v>1.73</v>
      </c>
      <c r="H585" s="4">
        <v>0.64</v>
      </c>
      <c r="I585" s="1" t="s">
        <v>1214</v>
      </c>
      <c r="J585" s="2" t="s">
        <v>1215</v>
      </c>
      <c r="K585" s="1"/>
    </row>
    <row r="586" spans="1:11" ht="14.5">
      <c r="A586" s="34" t="s">
        <v>1009</v>
      </c>
      <c r="B586" s="21" t="s">
        <v>1205</v>
      </c>
      <c r="C586" s="21" t="s">
        <v>1216</v>
      </c>
      <c r="D586" s="1" t="str">
        <f>_xlfn.XLOOKUP(C586,mfscreener.portfolio_holdings_v!$C:$C,mfscreener.portfolio_holdings_v!$E:$E)</f>
        <v>Large &amp; Mid Cap</v>
      </c>
      <c r="E586" s="1" t="str">
        <f>_xlfn.XLOOKUP(C586,mfscreener.portfolio_holdings_v!$C:$C,mfscreener.portfolio_holdings_v!$D:$D)</f>
        <v>Equity</v>
      </c>
      <c r="F586" s="4">
        <v>939.47</v>
      </c>
      <c r="G586" s="4">
        <v>1.01</v>
      </c>
      <c r="H586" s="4">
        <v>1.1100000000000001</v>
      </c>
      <c r="I586" s="1" t="s">
        <v>1211</v>
      </c>
      <c r="J586" s="2" t="s">
        <v>1212</v>
      </c>
      <c r="K586" s="1"/>
    </row>
    <row r="587" spans="1:11" ht="14.5">
      <c r="A587" s="34" t="s">
        <v>1009</v>
      </c>
      <c r="B587" s="21" t="s">
        <v>1205</v>
      </c>
      <c r="C587" s="21" t="s">
        <v>1217</v>
      </c>
      <c r="D587" s="1" t="str">
        <f>_xlfn.XLOOKUP(C587,mfscreener.portfolio_holdings_v!$C:$C,mfscreener.portfolio_holdings_v!$E:$E)</f>
        <v>Mid Cap</v>
      </c>
      <c r="E587" s="1" t="str">
        <f>_xlfn.XLOOKUP(C587,mfscreener.portfolio_holdings_v!$C:$C,mfscreener.portfolio_holdings_v!$D:$D)</f>
        <v>Equity</v>
      </c>
      <c r="F587" s="4">
        <v>1621.6</v>
      </c>
      <c r="G587" s="4">
        <v>0.72</v>
      </c>
      <c r="H587" s="4">
        <v>1.02</v>
      </c>
      <c r="I587" s="1" t="s">
        <v>1218</v>
      </c>
      <c r="J587" s="2" t="s">
        <v>1219</v>
      </c>
      <c r="K587" s="1"/>
    </row>
    <row r="588" spans="1:11" ht="14.5">
      <c r="A588" s="34" t="s">
        <v>1009</v>
      </c>
      <c r="B588" s="21" t="s">
        <v>1205</v>
      </c>
      <c r="C588" s="21" t="s">
        <v>1220</v>
      </c>
      <c r="D588" s="1" t="str">
        <f>_xlfn.XLOOKUP(C588,mfscreener.portfolio_holdings_v!$C:$C,mfscreener.portfolio_holdings_v!$E:$E)</f>
        <v>Multi Cap</v>
      </c>
      <c r="E588" s="1" t="str">
        <f>_xlfn.XLOOKUP(C588,mfscreener.portfolio_holdings_v!$C:$C,mfscreener.portfolio_holdings_v!$D:$D)</f>
        <v>Equity</v>
      </c>
      <c r="F588" s="4">
        <v>1317.38</v>
      </c>
      <c r="G588" s="4">
        <v>1.01</v>
      </c>
      <c r="H588" s="4">
        <v>1.06</v>
      </c>
      <c r="I588" s="1" t="s">
        <v>1221</v>
      </c>
      <c r="J588" s="2" t="s">
        <v>1222</v>
      </c>
      <c r="K588" s="1"/>
    </row>
    <row r="589" spans="1:11" ht="14.5">
      <c r="A589" s="34" t="s">
        <v>1009</v>
      </c>
      <c r="B589" s="21" t="s">
        <v>1205</v>
      </c>
      <c r="C589" s="21" t="s">
        <v>1223</v>
      </c>
      <c r="D589" s="1" t="str">
        <f>_xlfn.XLOOKUP(C589,mfscreener.portfolio_holdings_v!$C:$C,mfscreener.portfolio_holdings_v!$E:$E)</f>
        <v>Small Cap</v>
      </c>
      <c r="E589" s="1" t="str">
        <f>_xlfn.XLOOKUP(C589,mfscreener.portfolio_holdings_v!$C:$C,mfscreener.portfolio_holdings_v!$D:$D)</f>
        <v>Equity</v>
      </c>
      <c r="F589" s="4">
        <v>1734.44</v>
      </c>
      <c r="G589" s="4">
        <v>0.96</v>
      </c>
      <c r="H589" s="4">
        <v>0.68</v>
      </c>
      <c r="I589" s="1" t="s">
        <v>1218</v>
      </c>
      <c r="J589" s="2" t="s">
        <v>1219</v>
      </c>
      <c r="K589" s="1"/>
    </row>
    <row r="590" spans="1:11" ht="14">
      <c r="A590" s="34" t="s">
        <v>1009</v>
      </c>
      <c r="B590" s="21" t="s">
        <v>1205</v>
      </c>
      <c r="C590" s="21" t="s">
        <v>1224</v>
      </c>
      <c r="D590" s="1" t="str">
        <f>_xlfn.XLOOKUP(C590,mfscreener.portfolio_holdings_v!$C:$C,mfscreener.portfolio_holdings_v!$E:$E)</f>
        <v>Value</v>
      </c>
      <c r="E590" s="1" t="str">
        <f>_xlfn.XLOOKUP(C590,mfscreener.portfolio_holdings_v!$C:$C,mfscreener.portfolio_holdings_v!$D:$D)</f>
        <v>Equity</v>
      </c>
      <c r="F590" s="4">
        <v>366.51</v>
      </c>
      <c r="G590" s="4">
        <v>1.32</v>
      </c>
      <c r="H590" s="4">
        <v>0.67</v>
      </c>
      <c r="I590" s="1" t="s">
        <v>1225</v>
      </c>
      <c r="J590" s="1" t="s">
        <v>1226</v>
      </c>
      <c r="K590" s="1"/>
    </row>
    <row r="591" spans="1:11" ht="14">
      <c r="A591" s="34" t="s">
        <v>1009</v>
      </c>
      <c r="B591" s="21" t="s">
        <v>1205</v>
      </c>
      <c r="C591" s="21" t="s">
        <v>1227</v>
      </c>
      <c r="D591" s="1" t="s">
        <v>1500</v>
      </c>
      <c r="E591" s="1" t="str">
        <f>_xlfn.XLOOKUP(C591,mfscreener.portfolio_holdings_v!$C:$C,mfscreener.portfolio_holdings_v!$D:$D)</f>
        <v>Equity</v>
      </c>
      <c r="F591" s="4">
        <v>450.68</v>
      </c>
      <c r="G591" s="4">
        <v>0.97</v>
      </c>
      <c r="H591" s="1"/>
      <c r="I591" s="1" t="s">
        <v>1228</v>
      </c>
      <c r="J591" s="1" t="s">
        <v>1229</v>
      </c>
      <c r="K591" s="1"/>
    </row>
    <row r="592" spans="1:11" ht="14">
      <c r="A592" s="34" t="s">
        <v>1009</v>
      </c>
      <c r="B592" s="21" t="s">
        <v>1205</v>
      </c>
      <c r="C592" s="21" t="s">
        <v>1230</v>
      </c>
      <c r="D592" s="1" t="s">
        <v>1444</v>
      </c>
      <c r="E592" s="1" t="str">
        <f>_xlfn.XLOOKUP(C592,mfscreener.portfolio_holdings_v!$C:$C,mfscreener.portfolio_holdings_v!$D:$D)</f>
        <v>Equity</v>
      </c>
      <c r="F592" s="4">
        <v>540.79999999999995</v>
      </c>
      <c r="G592" s="4">
        <v>1.53</v>
      </c>
      <c r="H592" s="4">
        <v>1.41</v>
      </c>
      <c r="I592" s="1" t="s">
        <v>1231</v>
      </c>
      <c r="J592" s="1" t="s">
        <v>1232</v>
      </c>
      <c r="K592" s="1"/>
    </row>
    <row r="593" spans="1:11" ht="14.5">
      <c r="A593" s="34" t="s">
        <v>1009</v>
      </c>
      <c r="B593" s="21" t="s">
        <v>1205</v>
      </c>
      <c r="C593" s="21" t="s">
        <v>1233</v>
      </c>
      <c r="D593" s="1" t="s">
        <v>1459</v>
      </c>
      <c r="E593" s="1" t="str">
        <f>_xlfn.XLOOKUP(C593,mfscreener.portfolio_holdings_v!$C:$C,mfscreener.portfolio_holdings_v!$D:$D)</f>
        <v>Equity</v>
      </c>
      <c r="F593" s="4">
        <v>320.17</v>
      </c>
      <c r="G593" s="4">
        <v>1.22</v>
      </c>
      <c r="H593" s="1"/>
      <c r="I593" s="1" t="s">
        <v>1207</v>
      </c>
      <c r="J593" s="2" t="s">
        <v>1208</v>
      </c>
      <c r="K593" s="1"/>
    </row>
    <row r="594" spans="1:11" ht="14">
      <c r="A594" s="34" t="s">
        <v>1009</v>
      </c>
      <c r="B594" s="21" t="s">
        <v>1205</v>
      </c>
      <c r="C594" s="21" t="s">
        <v>1234</v>
      </c>
      <c r="D594" s="1" t="s">
        <v>1591</v>
      </c>
      <c r="E594" s="1" t="str">
        <f>_xlfn.XLOOKUP(C594,mfscreener.portfolio_holdings_v!$C:$C,mfscreener.portfolio_holdings_v!$D:$D)</f>
        <v>Equity</v>
      </c>
      <c r="F594" s="7">
        <v>1110.48</v>
      </c>
      <c r="G594" s="4">
        <v>0.81</v>
      </c>
      <c r="H594" s="4">
        <v>0.47</v>
      </c>
      <c r="I594" s="1" t="s">
        <v>1228</v>
      </c>
      <c r="J594" s="1" t="s">
        <v>1229</v>
      </c>
      <c r="K594" s="1"/>
    </row>
    <row r="595" spans="1:11" ht="14.5">
      <c r="A595" s="34" t="s">
        <v>1009</v>
      </c>
      <c r="B595" s="21" t="s">
        <v>1205</v>
      </c>
      <c r="C595" s="21" t="s">
        <v>1235</v>
      </c>
      <c r="D595" s="1" t="str">
        <f>_xlfn.XLOOKUP(C595,mfscreener.portfolio_holdings_v!$C:$C,mfscreener.portfolio_holdings_v!$E:$E)</f>
        <v>Aggressive Hybrid</v>
      </c>
      <c r="E595" s="1" t="str">
        <f>_xlfn.XLOOKUP(C595,mfscreener.portfolio_holdings_v!$C:$C,mfscreener.portfolio_holdings_v!$D:$D)</f>
        <v>Hybrid</v>
      </c>
      <c r="F595" s="4">
        <v>685.28</v>
      </c>
      <c r="G595" s="4">
        <v>1.32</v>
      </c>
      <c r="H595" s="4">
        <v>0.43</v>
      </c>
      <c r="I595" s="1" t="s">
        <v>1236</v>
      </c>
      <c r="J595" s="2" t="s">
        <v>1237</v>
      </c>
      <c r="K595" s="1"/>
    </row>
    <row r="596" spans="1:11" ht="14">
      <c r="A596" s="34" t="s">
        <v>1009</v>
      </c>
      <c r="B596" s="21" t="s">
        <v>1205</v>
      </c>
      <c r="C596" s="21" t="s">
        <v>1238</v>
      </c>
      <c r="D596" s="1" t="str">
        <f>_xlfn.XLOOKUP(C596,mfscreener.portfolio_holdings_v!$C:$C,mfscreener.portfolio_holdings_v!$E:$E)</f>
        <v>Balanced Advantage</v>
      </c>
      <c r="E596" s="1" t="str">
        <f>_xlfn.XLOOKUP(C596,mfscreener.portfolio_holdings_v!$C:$C,mfscreener.portfolio_holdings_v!$D:$D)</f>
        <v>Hybrid</v>
      </c>
      <c r="F596" s="7">
        <v>1352.24</v>
      </c>
      <c r="G596" s="4">
        <v>1.04</v>
      </c>
      <c r="H596" s="4">
        <v>2.66</v>
      </c>
      <c r="I596" s="1" t="s">
        <v>1239</v>
      </c>
      <c r="J596" s="1" t="s">
        <v>1240</v>
      </c>
      <c r="K596" s="1"/>
    </row>
    <row r="597" spans="1:11" ht="14">
      <c r="A597" s="34" t="s">
        <v>1009</v>
      </c>
      <c r="B597" s="21" t="s">
        <v>1205</v>
      </c>
      <c r="C597" s="21" t="s">
        <v>1241</v>
      </c>
      <c r="D597" s="1" t="str">
        <f>_xlfn.XLOOKUP(C597,mfscreener.portfolio_holdings_v!$C:$C,mfscreener.portfolio_holdings_v!$E:$E)</f>
        <v>Equity Savings</v>
      </c>
      <c r="E597" s="1" t="str">
        <f>_xlfn.XLOOKUP(C597,mfscreener.portfolio_holdings_v!$C:$C,mfscreener.portfolio_holdings_v!$D:$D)</f>
        <v>Hybrid</v>
      </c>
      <c r="F597" s="4">
        <v>144.71</v>
      </c>
      <c r="G597" s="4">
        <v>1.5</v>
      </c>
      <c r="H597" s="4">
        <v>6.31</v>
      </c>
      <c r="I597" s="1" t="s">
        <v>1242</v>
      </c>
      <c r="J597" s="1" t="s">
        <v>1243</v>
      </c>
      <c r="K597" s="1"/>
    </row>
    <row r="598" spans="1:11" ht="14.5">
      <c r="A598" s="34" t="s">
        <v>1009</v>
      </c>
      <c r="B598" s="21" t="s">
        <v>1205</v>
      </c>
      <c r="C598" s="21" t="s">
        <v>1244</v>
      </c>
      <c r="D598" s="1" t="str">
        <f>_xlfn.XLOOKUP(C598,mfscreener.portfolio_holdings_v!$C:$C,mfscreener.portfolio_holdings_v!$E:$E)</f>
        <v>Multi Asset Allocation</v>
      </c>
      <c r="E598" s="1" t="str">
        <f>_xlfn.XLOOKUP(C598,mfscreener.portfolio_holdings_v!$C:$C,mfscreener.portfolio_holdings_v!$D:$D)</f>
        <v>Hybrid</v>
      </c>
      <c r="F598" s="4">
        <v>817.61</v>
      </c>
      <c r="G598" s="4">
        <v>1.02</v>
      </c>
      <c r="H598" s="1"/>
      <c r="I598" s="1" t="s">
        <v>1245</v>
      </c>
      <c r="J598" s="2" t="s">
        <v>1246</v>
      </c>
      <c r="K598" s="1"/>
    </row>
    <row r="599" spans="1:11" ht="14.5">
      <c r="A599" s="34" t="s">
        <v>1009</v>
      </c>
      <c r="B599" s="21" t="s">
        <v>1247</v>
      </c>
      <c r="C599" s="21" t="s">
        <v>1248</v>
      </c>
      <c r="D599" s="1" t="str">
        <f>_xlfn.XLOOKUP(C599,mfscreener.portfolio_holdings_v!$C:$C,mfscreener.portfolio_holdings_v!$E:$E)</f>
        <v>ELSS</v>
      </c>
      <c r="E599" s="1" t="str">
        <f>_xlfn.XLOOKUP(C599,mfscreener.portfolio_holdings_v!$C:$C,mfscreener.portfolio_holdings_v!$D:$D)</f>
        <v>Equity</v>
      </c>
      <c r="F599" s="4">
        <v>446.76</v>
      </c>
      <c r="G599" s="4">
        <v>0.67</v>
      </c>
      <c r="H599" s="4">
        <v>0.31</v>
      </c>
      <c r="I599" s="1" t="s">
        <v>1249</v>
      </c>
      <c r="J599" s="2" t="s">
        <v>1250</v>
      </c>
      <c r="K599" s="1"/>
    </row>
    <row r="600" spans="1:11" ht="14.5">
      <c r="A600" s="34" t="s">
        <v>1009</v>
      </c>
      <c r="B600" s="21" t="s">
        <v>1247</v>
      </c>
      <c r="C600" s="21" t="s">
        <v>1251</v>
      </c>
      <c r="D600" s="1" t="str">
        <f>_xlfn.XLOOKUP(C600,mfscreener.portfolio_holdings_v!$C:$C,mfscreener.portfolio_holdings_v!$E:$E)</f>
        <v>Flexi Cap</v>
      </c>
      <c r="E600" s="1" t="str">
        <f>_xlfn.XLOOKUP(C600,mfscreener.portfolio_holdings_v!$C:$C,mfscreener.portfolio_holdings_v!$D:$D)</f>
        <v>Equity</v>
      </c>
      <c r="F600" s="4">
        <v>6975.09</v>
      </c>
      <c r="G600" s="4">
        <v>0.5</v>
      </c>
      <c r="H600" s="4">
        <v>1.68</v>
      </c>
      <c r="I600" s="1" t="s">
        <v>1252</v>
      </c>
      <c r="J600" s="2" t="s">
        <v>1253</v>
      </c>
      <c r="K600" s="1"/>
    </row>
    <row r="601" spans="1:11" ht="14.5">
      <c r="A601" s="34" t="s">
        <v>1009</v>
      </c>
      <c r="B601" s="21" t="s">
        <v>1247</v>
      </c>
      <c r="C601" s="21" t="s">
        <v>1254</v>
      </c>
      <c r="D601" s="1" t="str">
        <f>_xlfn.XLOOKUP(C601,mfscreener.portfolio_holdings_v!$C:$C,mfscreener.portfolio_holdings_v!$E:$E)</f>
        <v>Large Cap</v>
      </c>
      <c r="E601" s="1" t="str">
        <f>_xlfn.XLOOKUP(C601,mfscreener.portfolio_holdings_v!$C:$C,mfscreener.portfolio_holdings_v!$D:$D)</f>
        <v>Equity</v>
      </c>
      <c r="F601" s="4">
        <v>2049.2600000000002</v>
      </c>
      <c r="G601" s="4">
        <v>0.55000000000000004</v>
      </c>
      <c r="H601" s="4">
        <v>2.48</v>
      </c>
      <c r="I601" s="1" t="s">
        <v>1252</v>
      </c>
      <c r="J601" s="2" t="s">
        <v>1253</v>
      </c>
      <c r="K601" s="1"/>
    </row>
    <row r="602" spans="1:11" ht="14.5">
      <c r="A602" s="34" t="s">
        <v>1009</v>
      </c>
      <c r="B602" s="21" t="s">
        <v>1247</v>
      </c>
      <c r="C602" s="21" t="s">
        <v>1255</v>
      </c>
      <c r="D602" s="1" t="str">
        <f>_xlfn.XLOOKUP(C602,mfscreener.portfolio_holdings_v!$C:$C,mfscreener.portfolio_holdings_v!$E:$E)</f>
        <v>Large &amp; Mid Cap</v>
      </c>
      <c r="E602" s="1" t="str">
        <f>_xlfn.XLOOKUP(C602,mfscreener.portfolio_holdings_v!$C:$C,mfscreener.portfolio_holdings_v!$D:$D)</f>
        <v>Equity</v>
      </c>
      <c r="F602" s="4">
        <v>1134.6199999999999</v>
      </c>
      <c r="G602" s="4">
        <v>0.59</v>
      </c>
      <c r="H602" s="4">
        <v>2.11</v>
      </c>
      <c r="I602" s="1" t="s">
        <v>1252</v>
      </c>
      <c r="J602" s="2" t="s">
        <v>1253</v>
      </c>
      <c r="K602" s="1"/>
    </row>
    <row r="603" spans="1:11" ht="14.5">
      <c r="A603" s="34" t="s">
        <v>1009</v>
      </c>
      <c r="B603" s="21" t="s">
        <v>1247</v>
      </c>
      <c r="C603" s="21" t="s">
        <v>1256</v>
      </c>
      <c r="D603" s="1" t="str">
        <f>_xlfn.XLOOKUP(C603,mfscreener.portfolio_holdings_v!$C:$C,mfscreener.portfolio_holdings_v!$E:$E)</f>
        <v>Mid Cap</v>
      </c>
      <c r="E603" s="1" t="str">
        <f>_xlfn.XLOOKUP(C603,mfscreener.portfolio_holdings_v!$C:$C,mfscreener.portfolio_holdings_v!$D:$D)</f>
        <v>Equity</v>
      </c>
      <c r="F603" s="4">
        <v>4368.96</v>
      </c>
      <c r="G603" s="4">
        <v>0.53</v>
      </c>
      <c r="H603" s="4">
        <v>2.5499999999999998</v>
      </c>
      <c r="I603" s="1" t="s">
        <v>1252</v>
      </c>
      <c r="J603" s="2" t="s">
        <v>1253</v>
      </c>
      <c r="K603" s="1"/>
    </row>
    <row r="604" spans="1:11" ht="14.5">
      <c r="A604" s="34" t="s">
        <v>1009</v>
      </c>
      <c r="B604" s="21" t="s">
        <v>1247</v>
      </c>
      <c r="C604" s="21" t="s">
        <v>1257</v>
      </c>
      <c r="D604" s="1" t="str">
        <f>_xlfn.XLOOKUP(C604,mfscreener.portfolio_holdings_v!$C:$C,mfscreener.portfolio_holdings_v!$E:$E)</f>
        <v>Multi Cap</v>
      </c>
      <c r="E604" s="1" t="str">
        <f>_xlfn.XLOOKUP(C604,mfscreener.portfolio_holdings_v!$C:$C,mfscreener.portfolio_holdings_v!$D:$D)</f>
        <v>Equity</v>
      </c>
      <c r="F604" s="4">
        <v>2884.46</v>
      </c>
      <c r="G604" s="4">
        <v>0.51</v>
      </c>
      <c r="H604" s="4">
        <v>1.87</v>
      </c>
      <c r="I604" s="1" t="s">
        <v>1252</v>
      </c>
      <c r="J604" s="2" t="s">
        <v>1253</v>
      </c>
      <c r="K604" s="1"/>
    </row>
    <row r="605" spans="1:11" ht="14.5">
      <c r="A605" s="34" t="s">
        <v>1009</v>
      </c>
      <c r="B605" s="21" t="s">
        <v>1247</v>
      </c>
      <c r="C605" s="21" t="s">
        <v>1258</v>
      </c>
      <c r="D605" s="1" t="str">
        <f>_xlfn.XLOOKUP(C605,mfscreener.portfolio_holdings_v!$C:$C,mfscreener.portfolio_holdings_v!$E:$E)</f>
        <v>Quality Equity</v>
      </c>
      <c r="E605" s="1" t="str">
        <f>_xlfn.XLOOKUP(C605,mfscreener.portfolio_holdings_v!$C:$C,mfscreener.portfolio_holdings_v!$D:$D)</f>
        <v>Equity</v>
      </c>
      <c r="F605" s="4">
        <v>671.46</v>
      </c>
      <c r="G605" s="4">
        <v>0.65</v>
      </c>
      <c r="H605" s="1"/>
      <c r="I605" s="1" t="s">
        <v>1252</v>
      </c>
      <c r="J605" s="2" t="s">
        <v>1253</v>
      </c>
      <c r="K605" s="1"/>
    </row>
    <row r="606" spans="1:11" ht="14.5">
      <c r="A606" s="34" t="s">
        <v>1009</v>
      </c>
      <c r="B606" s="21" t="s">
        <v>1247</v>
      </c>
      <c r="C606" s="21" t="s">
        <v>1259</v>
      </c>
      <c r="D606" s="1" t="str">
        <f>_xlfn.XLOOKUP(C606,mfscreener.portfolio_holdings_v!$C:$C,mfscreener.portfolio_holdings_v!$E:$E)</f>
        <v>Special Opportunities</v>
      </c>
      <c r="E606" s="1" t="str">
        <f>_xlfn.XLOOKUP(C606,mfscreener.portfolio_holdings_v!$C:$C,mfscreener.portfolio_holdings_v!$D:$D)</f>
        <v>Equity</v>
      </c>
      <c r="F606" s="7">
        <v>1380.94</v>
      </c>
      <c r="G606" s="4">
        <v>0.57999999999999996</v>
      </c>
      <c r="H606" s="4">
        <v>2.79</v>
      </c>
      <c r="I606" s="1" t="s">
        <v>1252</v>
      </c>
      <c r="J606" s="2" t="s">
        <v>1253</v>
      </c>
      <c r="K606" s="1"/>
    </row>
    <row r="607" spans="1:11" ht="14.5">
      <c r="A607" s="34" t="s">
        <v>1009</v>
      </c>
      <c r="B607" s="21" t="s">
        <v>1247</v>
      </c>
      <c r="C607" s="21" t="s">
        <v>1260</v>
      </c>
      <c r="D607" s="1" t="str">
        <f>_xlfn.XLOOKUP(C607,mfscreener.portfolio_holdings_v!$C:$C,mfscreener.portfolio_holdings_v!$E:$E)</f>
        <v>Banking &amp; Financial Services</v>
      </c>
      <c r="E607" s="1" t="str">
        <f>_xlfn.XLOOKUP(C607,mfscreener.portfolio_holdings_v!$C:$C,mfscreener.portfolio_holdings_v!$D:$D)</f>
        <v>Equity</v>
      </c>
      <c r="F607" s="4">
        <v>551.88</v>
      </c>
      <c r="G607" s="4">
        <v>0.65</v>
      </c>
      <c r="H607" s="4">
        <v>2.06</v>
      </c>
      <c r="I607" s="1" t="s">
        <v>1252</v>
      </c>
      <c r="J607" s="2" t="s">
        <v>1253</v>
      </c>
      <c r="K607" s="1"/>
    </row>
    <row r="608" spans="1:11" ht="14.5">
      <c r="A608" s="34" t="s">
        <v>1009</v>
      </c>
      <c r="B608" s="21" t="s">
        <v>1247</v>
      </c>
      <c r="C608" s="21" t="s">
        <v>1261</v>
      </c>
      <c r="D608" s="1" t="s">
        <v>1491</v>
      </c>
      <c r="E608" s="1" t="str">
        <f>_xlfn.XLOOKUP(C608,mfscreener.portfolio_holdings_v!$C:$C,mfscreener.portfolio_holdings_v!$D:$D)</f>
        <v>Equity</v>
      </c>
      <c r="F608" s="4">
        <v>451.24</v>
      </c>
      <c r="G608" s="4">
        <v>0.65</v>
      </c>
      <c r="H608" s="4">
        <v>1.98</v>
      </c>
      <c r="I608" s="1" t="s">
        <v>1252</v>
      </c>
      <c r="J608" s="2" t="s">
        <v>1253</v>
      </c>
      <c r="K608" s="1"/>
    </row>
    <row r="609" spans="1:11" ht="14.5">
      <c r="A609" s="34" t="s">
        <v>1009</v>
      </c>
      <c r="B609" s="21" t="s">
        <v>1247</v>
      </c>
      <c r="C609" s="21" t="s">
        <v>1262</v>
      </c>
      <c r="D609" s="1" t="s">
        <v>1480</v>
      </c>
      <c r="E609" s="1" t="str">
        <f>_xlfn.XLOOKUP(C609,mfscreener.portfolio_holdings_v!$C:$C,mfscreener.portfolio_holdings_v!$D:$D)</f>
        <v>Equity</v>
      </c>
      <c r="F609" s="4">
        <v>500.05</v>
      </c>
      <c r="G609" s="4">
        <v>0.66</v>
      </c>
      <c r="H609" s="4">
        <v>2.31</v>
      </c>
      <c r="I609" s="1" t="s">
        <v>1252</v>
      </c>
      <c r="J609" s="2" t="s">
        <v>1253</v>
      </c>
      <c r="K609" s="1"/>
    </row>
    <row r="610" spans="1:11" ht="14.5">
      <c r="A610" s="34" t="s">
        <v>1009</v>
      </c>
      <c r="B610" s="21" t="s">
        <v>1247</v>
      </c>
      <c r="C610" s="21" t="s">
        <v>1263</v>
      </c>
      <c r="D610" s="1" t="str">
        <f>_xlfn.XLOOKUP(C610,mfscreener.portfolio_holdings_v!$C:$C,mfscreener.portfolio_holdings_v!$E:$E)</f>
        <v>ESG</v>
      </c>
      <c r="E610" s="1" t="str">
        <f>_xlfn.XLOOKUP(C610,mfscreener.portfolio_holdings_v!$C:$C,mfscreener.portfolio_holdings_v!$D:$D)</f>
        <v>Equity</v>
      </c>
      <c r="F610" s="4">
        <v>68.62</v>
      </c>
      <c r="G610" s="4">
        <v>0.61</v>
      </c>
      <c r="H610" s="4">
        <v>1</v>
      </c>
      <c r="I610" s="1" t="s">
        <v>1252</v>
      </c>
      <c r="J610" s="2" t="s">
        <v>1253</v>
      </c>
      <c r="K610" s="1"/>
    </row>
    <row r="611" spans="1:11" ht="14.5">
      <c r="A611" s="34" t="s">
        <v>1009</v>
      </c>
      <c r="B611" s="21" t="s">
        <v>1247</v>
      </c>
      <c r="C611" s="21" t="s">
        <v>1264</v>
      </c>
      <c r="D611" s="1" t="str">
        <f>_xlfn.XLOOKUP(C611,mfscreener.portfolio_holdings_v!$C:$C,mfscreener.portfolio_holdings_v!$E:$E)</f>
        <v>Balanced Advantage</v>
      </c>
      <c r="E611" s="1" t="str">
        <f>_xlfn.XLOOKUP(C611,mfscreener.portfolio_holdings_v!$C:$C,mfscreener.portfolio_holdings_v!$D:$D)</f>
        <v>Hybrid</v>
      </c>
      <c r="F611" s="7">
        <v>2099.16</v>
      </c>
      <c r="G611" s="4">
        <v>0.57999999999999996</v>
      </c>
      <c r="H611" s="1"/>
      <c r="I611" s="1" t="s">
        <v>1252</v>
      </c>
      <c r="J611" s="2" t="s">
        <v>1253</v>
      </c>
      <c r="K611" s="1"/>
    </row>
    <row r="612" spans="1:11" ht="14.5">
      <c r="A612" s="34" t="s">
        <v>1009</v>
      </c>
      <c r="B612" s="21" t="s">
        <v>1247</v>
      </c>
      <c r="C612" s="21" t="s">
        <v>1265</v>
      </c>
      <c r="D612" s="1" t="str">
        <f>_xlfn.XLOOKUP(C612,mfscreener.portfolio_holdings_v!$C:$C,mfscreener.portfolio_holdings_v!$E:$E)</f>
        <v>Balanced Hybrid</v>
      </c>
      <c r="E612" s="1" t="str">
        <f>_xlfn.XLOOKUP(C612,mfscreener.portfolio_holdings_v!$C:$C,mfscreener.portfolio_holdings_v!$D:$D)</f>
        <v>Hybrid</v>
      </c>
      <c r="F612" s="4">
        <v>264.33999999999997</v>
      </c>
      <c r="G612" s="4">
        <v>0.56000000000000005</v>
      </c>
      <c r="H612" s="4">
        <v>1.34</v>
      </c>
      <c r="I612" s="1" t="s">
        <v>1252</v>
      </c>
      <c r="J612" s="2" t="s">
        <v>1253</v>
      </c>
      <c r="K612" s="1"/>
    </row>
    <row r="613" spans="1:11" ht="14.5">
      <c r="A613" s="34" t="s">
        <v>1009</v>
      </c>
      <c r="B613" s="21" t="s">
        <v>1247</v>
      </c>
      <c r="C613" s="21" t="s">
        <v>1266</v>
      </c>
      <c r="D613" s="1" t="str">
        <f>_xlfn.XLOOKUP(C613,mfscreener.portfolio_holdings_v!$C:$C,mfscreener.portfolio_holdings_v!$E:$E)</f>
        <v>Equity Savings</v>
      </c>
      <c r="E613" s="1" t="str">
        <f>_xlfn.XLOOKUP(C613,mfscreener.portfolio_holdings_v!$C:$C,mfscreener.portfolio_holdings_v!$D:$D)</f>
        <v>Hybrid</v>
      </c>
      <c r="F613" s="4">
        <v>210.93</v>
      </c>
      <c r="G613" s="4">
        <v>0.56999999999999995</v>
      </c>
      <c r="H613" s="1"/>
      <c r="I613" s="1" t="s">
        <v>1267</v>
      </c>
      <c r="J613" s="2" t="s">
        <v>1268</v>
      </c>
      <c r="K613" s="1"/>
    </row>
    <row r="614" spans="1:11" ht="14.5">
      <c r="A614" s="34" t="s">
        <v>1009</v>
      </c>
      <c r="B614" s="21" t="s">
        <v>1247</v>
      </c>
      <c r="C614" s="21" t="s">
        <v>1269</v>
      </c>
      <c r="D614" s="1" t="str">
        <f>_xlfn.XLOOKUP(C614,mfscreener.portfolio_holdings_v!$C:$C,mfscreener.portfolio_holdings_v!$E:$E)</f>
        <v>Multi Asset Allocation</v>
      </c>
      <c r="E614" s="1" t="str">
        <f>_xlfn.XLOOKUP(C614,mfscreener.portfolio_holdings_v!$C:$C,mfscreener.portfolio_holdings_v!$D:$D)</f>
        <v>Hybrid</v>
      </c>
      <c r="F614" s="7">
        <v>5354.65</v>
      </c>
      <c r="G614" s="4">
        <v>0.37</v>
      </c>
      <c r="H614" s="4">
        <v>3.93</v>
      </c>
      <c r="I614" s="1" t="s">
        <v>1252</v>
      </c>
      <c r="J614" s="2" t="s">
        <v>1253</v>
      </c>
      <c r="K614" s="1"/>
    </row>
    <row r="615" spans="1:11" ht="14.5">
      <c r="A615" s="34" t="s">
        <v>1009</v>
      </c>
      <c r="B615" s="25" t="s">
        <v>1247</v>
      </c>
      <c r="C615" s="25" t="s">
        <v>1270</v>
      </c>
      <c r="D615" s="1" t="e">
        <f>_xlfn.XLOOKUP(C615,mfscreener.portfolio_holdings_v!$C:$C,mfscreener.portfolio_holdings_v!$E:$E)</f>
        <v>#N/A</v>
      </c>
      <c r="E615" s="1" t="e">
        <f>_xlfn.XLOOKUP(C615,mfscreener.portfolio_holdings_v!$C:$C,mfscreener.portfolio_holdings_v!$D:$D)</f>
        <v>#N/A</v>
      </c>
      <c r="F615" s="4">
        <v>841.61</v>
      </c>
      <c r="G615" s="4">
        <v>0.38</v>
      </c>
      <c r="H615" s="4">
        <v>17.54</v>
      </c>
      <c r="I615" s="1" t="s">
        <v>1271</v>
      </c>
      <c r="J615" s="2" t="s">
        <v>1272</v>
      </c>
      <c r="K615" s="1"/>
    </row>
    <row r="616" spans="1:11" ht="14.5">
      <c r="A616" s="34" t="s">
        <v>1009</v>
      </c>
      <c r="B616" s="21" t="s">
        <v>1273</v>
      </c>
      <c r="C616" s="21" t="s">
        <v>1274</v>
      </c>
      <c r="D616" s="1" t="str">
        <f>_xlfn.XLOOKUP(C616,mfscreener.portfolio_holdings_v!$C:$C,mfscreener.portfolio_holdings_v!$E:$E)</f>
        <v>ELSS</v>
      </c>
      <c r="E616" s="1" t="str">
        <f>_xlfn.XLOOKUP(C616,mfscreener.portfolio_holdings_v!$C:$C,mfscreener.portfolio_holdings_v!$D:$D)</f>
        <v>Equity</v>
      </c>
      <c r="F616" s="4">
        <v>7294.85</v>
      </c>
      <c r="G616" s="4">
        <v>0.66</v>
      </c>
      <c r="H616" s="4">
        <v>0.33</v>
      </c>
      <c r="I616" s="1" t="s">
        <v>1275</v>
      </c>
      <c r="J616" s="5">
        <v>16</v>
      </c>
      <c r="K616" s="1"/>
    </row>
    <row r="617" spans="1:11" ht="14.5">
      <c r="A617" s="34" t="s">
        <v>1009</v>
      </c>
      <c r="B617" s="21" t="s">
        <v>1273</v>
      </c>
      <c r="C617" s="21" t="s">
        <v>1276</v>
      </c>
      <c r="D617" s="1" t="str">
        <f>_xlfn.XLOOKUP(C617,mfscreener.portfolio_holdings_v!$C:$C,mfscreener.portfolio_holdings_v!$E:$E)</f>
        <v>Flexi Cap</v>
      </c>
      <c r="E617" s="1" t="str">
        <f>_xlfn.XLOOKUP(C617,mfscreener.portfolio_holdings_v!$C:$C,mfscreener.portfolio_holdings_v!$D:$D)</f>
        <v>Equity</v>
      </c>
      <c r="F617" s="4">
        <v>7691.38</v>
      </c>
      <c r="G617" s="4">
        <v>1.1200000000000001</v>
      </c>
      <c r="H617" s="4">
        <v>1.1399999999999999</v>
      </c>
      <c r="I617" s="1" t="s">
        <v>1277</v>
      </c>
      <c r="J617" s="2" t="s">
        <v>1278</v>
      </c>
      <c r="K617" s="1"/>
    </row>
    <row r="618" spans="1:11" ht="14.5">
      <c r="A618" s="34" t="s">
        <v>1009</v>
      </c>
      <c r="B618" s="21" t="s">
        <v>1273</v>
      </c>
      <c r="C618" s="21" t="s">
        <v>1279</v>
      </c>
      <c r="D618" s="1" t="str">
        <f>_xlfn.XLOOKUP(C618,mfscreener.portfolio_holdings_v!$C:$C,mfscreener.portfolio_holdings_v!$E:$E)</f>
        <v>Focused</v>
      </c>
      <c r="E618" s="1" t="str">
        <f>_xlfn.XLOOKUP(C618,mfscreener.portfolio_holdings_v!$C:$C,mfscreener.portfolio_holdings_v!$D:$D)</f>
        <v>Equity</v>
      </c>
      <c r="F618" s="4">
        <v>2063.21</v>
      </c>
      <c r="G618" s="4">
        <v>0.78</v>
      </c>
      <c r="H618" s="4">
        <v>0.68</v>
      </c>
      <c r="I618" s="1" t="s">
        <v>1280</v>
      </c>
      <c r="J618" s="2" t="s">
        <v>1281</v>
      </c>
      <c r="K618" s="1"/>
    </row>
    <row r="619" spans="1:11" ht="14.5">
      <c r="A619" s="34" t="s">
        <v>1009</v>
      </c>
      <c r="B619" s="21" t="s">
        <v>1273</v>
      </c>
      <c r="C619" s="21" t="s">
        <v>1282</v>
      </c>
      <c r="D619" s="1" t="str">
        <f>_xlfn.XLOOKUP(C619,mfscreener.portfolio_holdings_v!$C:$C,mfscreener.portfolio_holdings_v!$E:$E)</f>
        <v>Large Cap</v>
      </c>
      <c r="E619" s="1" t="str">
        <f>_xlfn.XLOOKUP(C619,mfscreener.portfolio_holdings_v!$C:$C,mfscreener.portfolio_holdings_v!$D:$D)</f>
        <v>Equity</v>
      </c>
      <c r="F619" s="4">
        <v>2036.98</v>
      </c>
      <c r="G619" s="4">
        <v>0.86</v>
      </c>
      <c r="H619" s="4">
        <v>0.83</v>
      </c>
      <c r="I619" s="1" t="s">
        <v>1283</v>
      </c>
      <c r="J619" s="2" t="s">
        <v>1284</v>
      </c>
      <c r="K619" s="1"/>
    </row>
    <row r="620" spans="1:11" ht="14.5">
      <c r="A620" s="34" t="s">
        <v>1009</v>
      </c>
      <c r="B620" s="21" t="s">
        <v>1273</v>
      </c>
      <c r="C620" s="21" t="s">
        <v>1285</v>
      </c>
      <c r="D620" s="1" t="str">
        <f>_xlfn.XLOOKUP(C620,mfscreener.portfolio_holdings_v!$C:$C,mfscreener.portfolio_holdings_v!$E:$E)</f>
        <v>Large &amp; Mid Cap</v>
      </c>
      <c r="E620" s="1" t="str">
        <f>_xlfn.XLOOKUP(C620,mfscreener.portfolio_holdings_v!$C:$C,mfscreener.portfolio_holdings_v!$D:$D)</f>
        <v>Equity</v>
      </c>
      <c r="F620" s="4">
        <v>13169.16</v>
      </c>
      <c r="G620" s="4">
        <v>0.55000000000000004</v>
      </c>
      <c r="H620" s="4">
        <v>1.28</v>
      </c>
      <c r="I620" s="1" t="s">
        <v>1286</v>
      </c>
      <c r="J620" s="2" t="s">
        <v>1287</v>
      </c>
      <c r="K620" s="1"/>
    </row>
    <row r="621" spans="1:11" ht="14">
      <c r="A621" s="34" t="s">
        <v>1009</v>
      </c>
      <c r="B621" s="21" t="s">
        <v>1273</v>
      </c>
      <c r="C621" s="21" t="s">
        <v>1288</v>
      </c>
      <c r="D621" s="1" t="str">
        <f>_xlfn.XLOOKUP(C621,mfscreener.portfolio_holdings_v!$C:$C,mfscreener.portfolio_holdings_v!$E:$E)</f>
        <v>Mid Cap</v>
      </c>
      <c r="E621" s="1" t="str">
        <f>_xlfn.XLOOKUP(C621,mfscreener.portfolio_holdings_v!$C:$C,mfscreener.portfolio_holdings_v!$D:$D)</f>
        <v>Equity</v>
      </c>
      <c r="F621" s="4">
        <v>1965.71</v>
      </c>
      <c r="G621" s="4">
        <v>0.62</v>
      </c>
      <c r="H621" s="4">
        <v>0.27</v>
      </c>
      <c r="I621" s="1" t="s">
        <v>1289</v>
      </c>
      <c r="J621" s="1" t="s">
        <v>1290</v>
      </c>
      <c r="K621" s="1"/>
    </row>
    <row r="622" spans="1:11" ht="14.5">
      <c r="A622" s="34" t="s">
        <v>1009</v>
      </c>
      <c r="B622" s="21" t="s">
        <v>1273</v>
      </c>
      <c r="C622" s="21" t="s">
        <v>1291</v>
      </c>
      <c r="D622" s="1" t="str">
        <f>_xlfn.XLOOKUP(C622,mfscreener.portfolio_holdings_v!$C:$C,mfscreener.portfolio_holdings_v!$E:$E)</f>
        <v>Multi Cap</v>
      </c>
      <c r="E622" s="1" t="str">
        <f>_xlfn.XLOOKUP(C622,mfscreener.portfolio_holdings_v!$C:$C,mfscreener.portfolio_holdings_v!$D:$D)</f>
        <v>Equity</v>
      </c>
      <c r="F622" s="4">
        <v>2881.23</v>
      </c>
      <c r="G622" s="4">
        <v>0.56000000000000005</v>
      </c>
      <c r="H622" s="4">
        <v>0.48</v>
      </c>
      <c r="I622" s="1" t="s">
        <v>1292</v>
      </c>
      <c r="J622" s="2" t="s">
        <v>1293</v>
      </c>
      <c r="K622" s="1"/>
    </row>
    <row r="623" spans="1:11" ht="14.5">
      <c r="A623" s="34" t="s">
        <v>1009</v>
      </c>
      <c r="B623" s="21" t="s">
        <v>1273</v>
      </c>
      <c r="C623" s="21" t="s">
        <v>1294</v>
      </c>
      <c r="D623" s="1" t="str">
        <f>_xlfn.XLOOKUP(C623,mfscreener.portfolio_holdings_v!$C:$C,mfscreener.portfolio_holdings_v!$E:$E)</f>
        <v>Small Cap</v>
      </c>
      <c r="E623" s="1" t="str">
        <f>_xlfn.XLOOKUP(C623,mfscreener.portfolio_holdings_v!$C:$C,mfscreener.portfolio_holdings_v!$D:$D)</f>
        <v>Equity</v>
      </c>
      <c r="F623" s="4">
        <v>18537.11</v>
      </c>
      <c r="G623" s="4">
        <v>0.47</v>
      </c>
      <c r="H623" s="4">
        <v>0.21</v>
      </c>
      <c r="I623" s="1" t="s">
        <v>1295</v>
      </c>
      <c r="J623" s="2" t="s">
        <v>1296</v>
      </c>
      <c r="K623" s="1"/>
    </row>
    <row r="624" spans="1:11" ht="14.5">
      <c r="A624" s="34" t="s">
        <v>1009</v>
      </c>
      <c r="B624" s="21" t="s">
        <v>1273</v>
      </c>
      <c r="C624" s="21" t="s">
        <v>1297</v>
      </c>
      <c r="D624" s="1" t="str">
        <f>_xlfn.XLOOKUP(C624,mfscreener.portfolio_holdings_v!$C:$C,mfscreener.portfolio_holdings_v!$E:$E)</f>
        <v>Value</v>
      </c>
      <c r="E624" s="1" t="str">
        <f>_xlfn.XLOOKUP(C624,mfscreener.portfolio_holdings_v!$C:$C,mfscreener.portfolio_holdings_v!$D:$D)</f>
        <v>Equity</v>
      </c>
      <c r="F624" s="4">
        <v>10399.950000000001</v>
      </c>
      <c r="G624" s="4">
        <v>0.69</v>
      </c>
      <c r="H624" s="4">
        <v>0.68</v>
      </c>
      <c r="I624" s="1" t="s">
        <v>1275</v>
      </c>
      <c r="J624" s="5">
        <v>16</v>
      </c>
      <c r="K624" s="1"/>
    </row>
    <row r="625" spans="1:11" ht="14">
      <c r="A625" s="34" t="s">
        <v>1009</v>
      </c>
      <c r="B625" s="21" t="s">
        <v>1273</v>
      </c>
      <c r="C625" s="21" t="s">
        <v>1298</v>
      </c>
      <c r="D625" s="1" t="s">
        <v>1438</v>
      </c>
      <c r="E625" s="1" t="str">
        <f>_xlfn.XLOOKUP(C625,mfscreener.portfolio_holdings_v!$C:$C,mfscreener.portfolio_holdings_v!$D:$D)</f>
        <v>Equity</v>
      </c>
      <c r="F625" s="7">
        <v>1134.52</v>
      </c>
      <c r="G625" s="4">
        <v>0.61</v>
      </c>
      <c r="H625" s="4">
        <v>0.61</v>
      </c>
      <c r="I625" s="1" t="s">
        <v>1299</v>
      </c>
      <c r="J625" s="1" t="s">
        <v>1300</v>
      </c>
      <c r="K625" s="1"/>
    </row>
    <row r="626" spans="1:11" ht="14">
      <c r="A626" s="34" t="s">
        <v>1009</v>
      </c>
      <c r="B626" s="21" t="s">
        <v>1273</v>
      </c>
      <c r="C626" s="21" t="s">
        <v>1301</v>
      </c>
      <c r="D626" s="1" t="str">
        <f>_xlfn.XLOOKUP(C626,mfscreener.portfolio_holdings_v!$C:$C,mfscreener.portfolio_holdings_v!$E:$E)</f>
        <v>Infrastructure</v>
      </c>
      <c r="E626" s="1" t="str">
        <f>_xlfn.XLOOKUP(C626,mfscreener.portfolio_holdings_v!$C:$C,mfscreener.portfolio_holdings_v!$D:$D)</f>
        <v>Equity</v>
      </c>
      <c r="F626" s="7">
        <v>1520.76</v>
      </c>
      <c r="G626" s="4">
        <v>0.89</v>
      </c>
      <c r="H626" s="4">
        <v>0.25</v>
      </c>
      <c r="I626" s="1" t="s">
        <v>1302</v>
      </c>
      <c r="J626" s="1">
        <v>11</v>
      </c>
      <c r="K626" s="1"/>
    </row>
    <row r="627" spans="1:11" ht="14">
      <c r="A627" s="34" t="s">
        <v>1009</v>
      </c>
      <c r="B627" s="21" t="s">
        <v>1273</v>
      </c>
      <c r="C627" s="21" t="s">
        <v>1303</v>
      </c>
      <c r="D627" s="1" t="str">
        <f>_xlfn.XLOOKUP(C627,mfscreener.portfolio_holdings_v!$C:$C,mfscreener.portfolio_holdings_v!$E:$E)</f>
        <v>Healthcare</v>
      </c>
      <c r="E627" s="1" t="str">
        <f>_xlfn.XLOOKUP(C627,mfscreener.portfolio_holdings_v!$C:$C,mfscreener.portfolio_holdings_v!$D:$D)</f>
        <v>Equity</v>
      </c>
      <c r="F627" s="4">
        <v>295.05</v>
      </c>
      <c r="G627" s="4">
        <v>0.65</v>
      </c>
      <c r="H627" s="1"/>
      <c r="I627" s="1" t="s">
        <v>1632</v>
      </c>
      <c r="J627" s="24">
        <v>46213</v>
      </c>
      <c r="K627" s="1"/>
    </row>
    <row r="628" spans="1:11" ht="14">
      <c r="A628" s="34" t="s">
        <v>1009</v>
      </c>
      <c r="B628" s="21" t="s">
        <v>1273</v>
      </c>
      <c r="C628" s="21" t="s">
        <v>1304</v>
      </c>
      <c r="D628" s="1" t="str">
        <f>_xlfn.XLOOKUP(C628,mfscreener.portfolio_holdings_v!$C:$C,mfscreener.portfolio_holdings_v!$E:$E)</f>
        <v>Business Cycle</v>
      </c>
      <c r="E628" s="1" t="str">
        <f>_xlfn.XLOOKUP(C628,mfscreener.portfolio_holdings_v!$C:$C,mfscreener.portfolio_holdings_v!$D:$D)</f>
        <v>Equity</v>
      </c>
      <c r="F628" s="7">
        <v>1467.85</v>
      </c>
      <c r="G628" s="4">
        <v>0.6</v>
      </c>
      <c r="H628" s="4">
        <v>0.59</v>
      </c>
      <c r="I628" s="1" t="s">
        <v>1305</v>
      </c>
      <c r="J628" s="1" t="s">
        <v>1306</v>
      </c>
      <c r="K628" s="1"/>
    </row>
    <row r="629" spans="1:11" ht="14.5">
      <c r="B629" s="21" t="s">
        <v>1273</v>
      </c>
      <c r="C629" s="21" t="s">
        <v>1307</v>
      </c>
      <c r="D629" s="1" t="str">
        <f>_xlfn.XLOOKUP(C629,mfscreener.portfolio_holdings_v!$C:$C,mfscreener.portfolio_holdings_v!$E:$E)</f>
        <v>Transportation &amp; Logistics</v>
      </c>
      <c r="E629" s="1" t="str">
        <f>_xlfn.XLOOKUP(C629,mfscreener.portfolio_holdings_v!$C:$C,mfscreener.portfolio_holdings_v!$D:$D)</f>
        <v>Equity</v>
      </c>
      <c r="F629" s="4">
        <v>679.34</v>
      </c>
      <c r="G629" s="4">
        <v>0.85</v>
      </c>
      <c r="H629" s="4">
        <v>0.4</v>
      </c>
      <c r="I629" s="1" t="s">
        <v>1292</v>
      </c>
      <c r="J629" s="2" t="s">
        <v>1293</v>
      </c>
    </row>
    <row r="630" spans="1:11" ht="14">
      <c r="B630" s="21" t="s">
        <v>1273</v>
      </c>
      <c r="C630" s="21" t="s">
        <v>1308</v>
      </c>
      <c r="D630" s="1" t="str">
        <f>_xlfn.XLOOKUP(C630,mfscreener.portfolio_holdings_v!$C:$C,mfscreener.portfolio_holdings_v!$E:$E)</f>
        <v>Innovation</v>
      </c>
      <c r="E630" s="1" t="str">
        <f>_xlfn.XLOOKUP(C630,mfscreener.portfolio_holdings_v!$C:$C,mfscreener.portfolio_holdings_v!$D:$D)</f>
        <v>Equity</v>
      </c>
      <c r="F630" s="7">
        <v>1956.75</v>
      </c>
      <c r="G630" s="4">
        <v>0.63</v>
      </c>
      <c r="H630" s="4">
        <v>0.88</v>
      </c>
      <c r="I630" s="1" t="s">
        <v>1633</v>
      </c>
      <c r="J630" s="1" t="s">
        <v>1309</v>
      </c>
    </row>
    <row r="631" spans="1:11" ht="14">
      <c r="B631" s="21" t="s">
        <v>1273</v>
      </c>
      <c r="C631" s="21" t="s">
        <v>1310</v>
      </c>
      <c r="D631" s="1" t="str">
        <f>_xlfn.XLOOKUP(C631,mfscreener.portfolio_holdings_v!$C:$C,mfscreener.portfolio_holdings_v!$E:$E)</f>
        <v>Balanced Advantage</v>
      </c>
      <c r="E631" s="1" t="str">
        <f>_xlfn.XLOOKUP(C631,mfscreener.portfolio_holdings_v!$C:$C,mfscreener.portfolio_holdings_v!$D:$D)</f>
        <v>Hybrid</v>
      </c>
      <c r="F631" s="7">
        <v>2310.5100000000002</v>
      </c>
      <c r="G631" s="4">
        <v>0.76</v>
      </c>
      <c r="H631" s="4">
        <v>0.52</v>
      </c>
      <c r="I631" s="1" t="s">
        <v>1311</v>
      </c>
      <c r="J631" s="1" t="s">
        <v>1312</v>
      </c>
    </row>
    <row r="632" spans="1:11" ht="14">
      <c r="B632" s="21" t="s">
        <v>1273</v>
      </c>
      <c r="C632" s="21" t="s">
        <v>1313</v>
      </c>
      <c r="D632" s="1" t="str">
        <f>_xlfn.XLOOKUP(C632,mfscreener.portfolio_holdings_v!$C:$C,mfscreener.portfolio_holdings_v!$E:$E)</f>
        <v>Aggressive Hybrid</v>
      </c>
      <c r="E632" s="1" t="str">
        <f>_xlfn.XLOOKUP(C632,mfscreener.portfolio_holdings_v!$C:$C,mfscreener.portfolio_holdings_v!$D:$D)</f>
        <v>Hybrid</v>
      </c>
      <c r="F632" s="7">
        <v>1526.8</v>
      </c>
      <c r="G632" s="4">
        <v>0.64</v>
      </c>
      <c r="H632" s="4">
        <v>0.72</v>
      </c>
      <c r="I632" s="1" t="s">
        <v>1314</v>
      </c>
      <c r="J632" s="1" t="s">
        <v>1290</v>
      </c>
    </row>
    <row r="633" spans="1:11" ht="14">
      <c r="B633" s="21" t="s">
        <v>1273</v>
      </c>
      <c r="C633" s="21" t="s">
        <v>1315</v>
      </c>
      <c r="D633" s="1" t="str">
        <f>_xlfn.XLOOKUP(C633,mfscreener.portfolio_holdings_v!$C:$C,mfscreener.portfolio_holdings_v!$E:$E)</f>
        <v>Conservative Hybrid</v>
      </c>
      <c r="E633" s="1" t="str">
        <f>_xlfn.XLOOKUP(C633,mfscreener.portfolio_holdings_v!$C:$C,mfscreener.portfolio_holdings_v!$D:$D)</f>
        <v>Hybrid</v>
      </c>
      <c r="F633" s="4">
        <v>102.55</v>
      </c>
      <c r="G633" s="4">
        <v>1.04</v>
      </c>
      <c r="H633" s="1"/>
      <c r="I633" s="1" t="s">
        <v>1634</v>
      </c>
      <c r="J633" s="1" t="s">
        <v>1293</v>
      </c>
    </row>
    <row r="634" spans="1:11" ht="14">
      <c r="B634" s="21" t="s">
        <v>1273</v>
      </c>
      <c r="C634" s="21" t="s">
        <v>1316</v>
      </c>
      <c r="D634" s="1" t="str">
        <f>_xlfn.XLOOKUP(C634,mfscreener.portfolio_holdings_v!$C:$C,mfscreener.portfolio_holdings_v!$E:$E)</f>
        <v>Equity Savings</v>
      </c>
      <c r="E634" s="1" t="str">
        <f>_xlfn.XLOOKUP(C634,mfscreener.portfolio_holdings_v!$C:$C,mfscreener.portfolio_holdings_v!$D:$D)</f>
        <v>Hybrid</v>
      </c>
      <c r="F634" s="4">
        <v>386.12</v>
      </c>
      <c r="G634" s="4">
        <v>0.19</v>
      </c>
      <c r="H634" s="4">
        <v>0.35</v>
      </c>
      <c r="I634" s="1" t="s">
        <v>1317</v>
      </c>
      <c r="J634" s="1" t="s">
        <v>1318</v>
      </c>
    </row>
    <row r="635" spans="1:11" ht="14">
      <c r="B635" s="21" t="s">
        <v>1273</v>
      </c>
      <c r="C635" s="21" t="s">
        <v>1319</v>
      </c>
      <c r="D635" s="1" t="str">
        <f>_xlfn.XLOOKUP(C635,mfscreener.portfolio_holdings_v!$C:$C,mfscreener.portfolio_holdings_v!$E:$E)</f>
        <v>Multi Asset Allocation</v>
      </c>
      <c r="E635" s="1" t="str">
        <f>_xlfn.XLOOKUP(C635,mfscreener.portfolio_holdings_v!$C:$C,mfscreener.portfolio_holdings_v!$D:$D)</f>
        <v>Hybrid</v>
      </c>
      <c r="F635" s="7">
        <v>2612.4899999999998</v>
      </c>
      <c r="G635" s="4">
        <v>0.48</v>
      </c>
      <c r="H635" s="4">
        <v>0.55000000000000004</v>
      </c>
      <c r="I635" s="1" t="s">
        <v>1320</v>
      </c>
      <c r="J635" s="1" t="s">
        <v>1321</v>
      </c>
    </row>
    <row r="636" spans="1:11" ht="14">
      <c r="B636" s="21" t="s">
        <v>1273</v>
      </c>
      <c r="C636" s="21" t="s">
        <v>1322</v>
      </c>
      <c r="D636" s="1" t="e">
        <f>_xlfn.XLOOKUP(C636,mfscreener.portfolio_holdings_v!$C:$C,mfscreener.portfolio_holdings_v!$E:$E)</f>
        <v>#N/A</v>
      </c>
      <c r="E636" s="1" t="e">
        <f>_xlfn.XLOOKUP(C636,mfscreener.portfolio_holdings_v!$C:$C,mfscreener.portfolio_holdings_v!$D:$D)</f>
        <v>#N/A</v>
      </c>
      <c r="F636" s="7">
        <v>8948.4599999999991</v>
      </c>
      <c r="G636" s="4">
        <v>0.35</v>
      </c>
      <c r="H636" s="4">
        <v>1.87</v>
      </c>
      <c r="I636" s="1" t="s">
        <v>1323</v>
      </c>
      <c r="J636" s="1" t="s">
        <v>1324</v>
      </c>
    </row>
    <row r="637" spans="1:11" ht="14.5">
      <c r="A637" s="35" t="s">
        <v>1009</v>
      </c>
      <c r="B637" s="36" t="s">
        <v>1325</v>
      </c>
      <c r="C637" s="36" t="s">
        <v>1326</v>
      </c>
      <c r="D637" s="1" t="str">
        <f>_xlfn.XLOOKUP(C637,mfscreener.portfolio_holdings_v!$C:$C,mfscreener.portfolio_holdings_v!$E:$E)</f>
        <v>ELSS</v>
      </c>
      <c r="E637" s="1" t="str">
        <f>_xlfn.XLOOKUP(C637,mfscreener.portfolio_holdings_v!$C:$C,mfscreener.portfolio_holdings_v!$D:$D)</f>
        <v>Equity</v>
      </c>
      <c r="F637" s="5">
        <v>3775.39</v>
      </c>
      <c r="G637" s="5">
        <v>0.92</v>
      </c>
      <c r="H637" s="5">
        <v>0.45</v>
      </c>
      <c r="I637" s="1" t="s">
        <v>1327</v>
      </c>
      <c r="J637" s="5">
        <v>18</v>
      </c>
    </row>
    <row r="638" spans="1:11" ht="14.5">
      <c r="A638" s="35" t="s">
        <v>1009</v>
      </c>
      <c r="B638" s="36" t="s">
        <v>1325</v>
      </c>
      <c r="C638" s="36" t="s">
        <v>1328</v>
      </c>
      <c r="D638" s="1" t="str">
        <f>_xlfn.XLOOKUP(C638,mfscreener.portfolio_holdings_v!$C:$C,mfscreener.portfolio_holdings_v!$E:$E)</f>
        <v>Flexi Cap</v>
      </c>
      <c r="E638" s="1" t="str">
        <f>_xlfn.XLOOKUP(C638,mfscreener.portfolio_holdings_v!$C:$C,mfscreener.portfolio_holdings_v!$D:$D)</f>
        <v>Equity</v>
      </c>
      <c r="F638" s="5">
        <v>25623.85</v>
      </c>
      <c r="G638" s="5">
        <v>1.03</v>
      </c>
      <c r="H638" s="5">
        <v>0.1</v>
      </c>
      <c r="I638" s="9" t="s">
        <v>1329</v>
      </c>
      <c r="J638" s="9" t="s">
        <v>1330</v>
      </c>
    </row>
    <row r="639" spans="1:11" ht="14.5">
      <c r="A639" s="35" t="s">
        <v>1009</v>
      </c>
      <c r="B639" s="36" t="s">
        <v>1325</v>
      </c>
      <c r="C639" s="36" t="s">
        <v>1331</v>
      </c>
      <c r="D639" s="1" t="str">
        <f>_xlfn.XLOOKUP(C639,mfscreener.portfolio_holdings_v!$C:$C,mfscreener.portfolio_holdings_v!$E:$E)</f>
        <v>Focused</v>
      </c>
      <c r="E639" s="1" t="str">
        <f>_xlfn.XLOOKUP(C639,mfscreener.portfolio_holdings_v!$C:$C,mfscreener.portfolio_holdings_v!$D:$D)</f>
        <v>Equity</v>
      </c>
      <c r="F639" s="5">
        <v>2634.27</v>
      </c>
      <c r="G639" s="5">
        <v>0.62</v>
      </c>
      <c r="H639" s="5">
        <v>0.36</v>
      </c>
      <c r="I639" s="1" t="s">
        <v>1332</v>
      </c>
      <c r="J639" s="5">
        <v>16</v>
      </c>
    </row>
    <row r="640" spans="1:11" ht="14.5">
      <c r="A640" s="35" t="s">
        <v>1009</v>
      </c>
      <c r="B640" s="36" t="s">
        <v>1325</v>
      </c>
      <c r="C640" s="36" t="s">
        <v>1333</v>
      </c>
      <c r="D640" s="1" t="str">
        <f>_xlfn.XLOOKUP(C640,mfscreener.portfolio_holdings_v!$C:$C,mfscreener.portfolio_holdings_v!$E:$E)</f>
        <v>Large Cap</v>
      </c>
      <c r="E640" s="1" t="str">
        <f>_xlfn.XLOOKUP(C640,mfscreener.portfolio_holdings_v!$C:$C,mfscreener.portfolio_holdings_v!$D:$D)</f>
        <v>Equity</v>
      </c>
      <c r="F640" s="5">
        <v>13281.73</v>
      </c>
      <c r="G640" s="5">
        <v>0.93</v>
      </c>
      <c r="H640" s="5">
        <v>0.36</v>
      </c>
      <c r="I640" s="9" t="s">
        <v>1334</v>
      </c>
      <c r="J640" s="9">
        <v>17</v>
      </c>
    </row>
    <row r="641" spans="1:10" ht="14.5">
      <c r="A641" s="35" t="s">
        <v>1009</v>
      </c>
      <c r="B641" s="36" t="s">
        <v>1325</v>
      </c>
      <c r="C641" s="36" t="s">
        <v>1335</v>
      </c>
      <c r="D641" s="1" t="str">
        <f>_xlfn.XLOOKUP(C641,mfscreener.portfolio_holdings_v!$C:$C,mfscreener.portfolio_holdings_v!$E:$E)</f>
        <v>Large &amp; Mid Cap</v>
      </c>
      <c r="E641" s="1" t="str">
        <f>_xlfn.XLOOKUP(C641,mfscreener.portfolio_holdings_v!$C:$C,mfscreener.portfolio_holdings_v!$D:$D)</f>
        <v>Equity</v>
      </c>
      <c r="F641" s="5">
        <v>5389.93</v>
      </c>
      <c r="G641" s="5">
        <v>0.95</v>
      </c>
      <c r="H641" s="5">
        <v>0.34</v>
      </c>
      <c r="I641" s="1" t="s">
        <v>1336</v>
      </c>
      <c r="J641" s="5">
        <v>23</v>
      </c>
    </row>
    <row r="642" spans="1:10" ht="14.5">
      <c r="A642" s="35" t="s">
        <v>1009</v>
      </c>
      <c r="B642" s="36" t="s">
        <v>1325</v>
      </c>
      <c r="C642" s="36" t="s">
        <v>1337</v>
      </c>
      <c r="D642" s="1" t="str">
        <f>_xlfn.XLOOKUP(C642,mfscreener.portfolio_holdings_v!$C:$C,mfscreener.portfolio_holdings_v!$E:$E)</f>
        <v>Mid Cap</v>
      </c>
      <c r="E642" s="1" t="str">
        <f>_xlfn.XLOOKUP(C642,mfscreener.portfolio_holdings_v!$C:$C,mfscreener.portfolio_holdings_v!$D:$D)</f>
        <v>Equity</v>
      </c>
      <c r="F642" s="5">
        <v>12062.83</v>
      </c>
      <c r="G642" s="5">
        <v>0.91</v>
      </c>
      <c r="H642" s="5">
        <v>0.42</v>
      </c>
      <c r="I642" s="1" t="s">
        <v>1332</v>
      </c>
      <c r="J642" s="5">
        <v>16</v>
      </c>
    </row>
    <row r="643" spans="1:10" ht="14.5">
      <c r="A643" s="35" t="s">
        <v>1009</v>
      </c>
      <c r="B643" s="36" t="s">
        <v>1325</v>
      </c>
      <c r="C643" s="36" t="s">
        <v>1338</v>
      </c>
      <c r="D643" s="1" t="str">
        <f>_xlfn.XLOOKUP(C643,mfscreener.portfolio_holdings_v!$C:$C,mfscreener.portfolio_holdings_v!$E:$E)</f>
        <v>Multi Cap</v>
      </c>
      <c r="E643" s="1" t="str">
        <f>_xlfn.XLOOKUP(C643,mfscreener.portfolio_holdings_v!$C:$C,mfscreener.portfolio_holdings_v!$D:$D)</f>
        <v>Equity</v>
      </c>
      <c r="F643" s="5">
        <v>1749.58</v>
      </c>
      <c r="G643" s="5">
        <v>0.55000000000000004</v>
      </c>
      <c r="H643" s="5">
        <v>0.1</v>
      </c>
      <c r="I643" s="9" t="s">
        <v>1334</v>
      </c>
      <c r="J643" s="9">
        <v>17</v>
      </c>
    </row>
    <row r="644" spans="1:10" ht="14.5">
      <c r="A644" s="35" t="s">
        <v>1009</v>
      </c>
      <c r="B644" s="36" t="s">
        <v>1325</v>
      </c>
      <c r="C644" s="36" t="s">
        <v>1339</v>
      </c>
      <c r="D644" s="1" t="str">
        <f>_xlfn.XLOOKUP(C644,mfscreener.portfolio_holdings_v!$C:$C,mfscreener.portfolio_holdings_v!$E:$E)</f>
        <v>Small Cap</v>
      </c>
      <c r="E644" s="1" t="str">
        <f>_xlfn.XLOOKUP(C644,mfscreener.portfolio_holdings_v!$C:$C,mfscreener.portfolio_holdings_v!$D:$D)</f>
        <v>Equity</v>
      </c>
      <c r="F644" s="5">
        <v>4860.09</v>
      </c>
      <c r="G644" s="5">
        <v>0.64</v>
      </c>
      <c r="H644" s="5">
        <v>0.4</v>
      </c>
      <c r="I644" s="1" t="s">
        <v>1340</v>
      </c>
      <c r="J644" s="5">
        <v>10</v>
      </c>
    </row>
    <row r="645" spans="1:10" ht="14.5">
      <c r="A645" s="35" t="s">
        <v>1009</v>
      </c>
      <c r="B645" s="36" t="s">
        <v>1325</v>
      </c>
      <c r="C645" s="36" t="s">
        <v>1341</v>
      </c>
      <c r="D645" s="1" t="str">
        <f>_xlfn.XLOOKUP(C645,mfscreener.portfolio_holdings_v!$C:$C,mfscreener.portfolio_holdings_v!$E:$E)</f>
        <v>Value</v>
      </c>
      <c r="E645" s="1" t="str">
        <f>_xlfn.XLOOKUP(C645,mfscreener.portfolio_holdings_v!$C:$C,mfscreener.portfolio_holdings_v!$D:$D)</f>
        <v>Equity</v>
      </c>
      <c r="F645" s="5">
        <v>10068.34</v>
      </c>
      <c r="G645" s="5">
        <v>1.19</v>
      </c>
      <c r="H645" s="5">
        <v>0.2</v>
      </c>
      <c r="I645" s="1" t="s">
        <v>1327</v>
      </c>
      <c r="J645" s="5">
        <v>18</v>
      </c>
    </row>
    <row r="646" spans="1:10" ht="14.5">
      <c r="A646" s="35" t="s">
        <v>1009</v>
      </c>
      <c r="B646" s="36" t="s">
        <v>1325</v>
      </c>
      <c r="C646" s="36" t="s">
        <v>1342</v>
      </c>
      <c r="D646" s="1" t="s">
        <v>1438</v>
      </c>
      <c r="E646" s="1" t="str">
        <f>_xlfn.XLOOKUP(C646,mfscreener.portfolio_holdings_v!$C:$C,mfscreener.portfolio_holdings_v!$D:$D)</f>
        <v>Equity</v>
      </c>
      <c r="F646" s="9">
        <v>1366.5</v>
      </c>
      <c r="G646" s="37">
        <v>1.0900000000000001</v>
      </c>
      <c r="H646" s="9">
        <v>0.28000000000000003</v>
      </c>
      <c r="I646" s="1" t="s">
        <v>1327</v>
      </c>
      <c r="J646" s="5">
        <v>18</v>
      </c>
    </row>
    <row r="647" spans="1:10" ht="14">
      <c r="A647" s="35" t="s">
        <v>1009</v>
      </c>
      <c r="B647" s="36" t="s">
        <v>1325</v>
      </c>
      <c r="C647" s="36" t="s">
        <v>1343</v>
      </c>
      <c r="D647" s="1" t="s">
        <v>1446</v>
      </c>
      <c r="E647" s="1" t="str">
        <f>_xlfn.XLOOKUP(C647,mfscreener.portfolio_holdings_v!$C:$C,mfscreener.portfolio_holdings_v!$D:$D)</f>
        <v>Equity</v>
      </c>
      <c r="F647" s="9">
        <v>4021.54</v>
      </c>
      <c r="G647" s="37">
        <v>0.83</v>
      </c>
      <c r="H647" s="9">
        <v>0.12</v>
      </c>
      <c r="I647" s="9" t="s">
        <v>1344</v>
      </c>
      <c r="J647" s="9">
        <v>16</v>
      </c>
    </row>
    <row r="648" spans="1:10" ht="14">
      <c r="A648" s="35" t="s">
        <v>1009</v>
      </c>
      <c r="B648" s="36" t="s">
        <v>1325</v>
      </c>
      <c r="C648" s="36" t="s">
        <v>1345</v>
      </c>
      <c r="D648" s="1" t="str">
        <f>_xlfn.XLOOKUP(C648,mfscreener.portfolio_holdings_v!$C:$C,mfscreener.portfolio_holdings_v!$E:$E)</f>
        <v>Dynamic Asset Allocation</v>
      </c>
      <c r="E648" s="1" t="str">
        <f>_xlfn.XLOOKUP(C648,mfscreener.portfolio_holdings_v!$C:$C,mfscreener.portfolio_holdings_v!$D:$D)</f>
        <v>Hybrid</v>
      </c>
      <c r="F648" s="9">
        <v>3163.74</v>
      </c>
      <c r="G648" s="37">
        <v>0.53</v>
      </c>
      <c r="I648" s="9" t="s">
        <v>1346</v>
      </c>
      <c r="J648" s="9" t="s">
        <v>1347</v>
      </c>
    </row>
    <row r="649" spans="1:10" ht="14">
      <c r="A649" s="35" t="s">
        <v>1009</v>
      </c>
      <c r="B649" s="36" t="s">
        <v>1325</v>
      </c>
      <c r="C649" s="36" t="s">
        <v>1348</v>
      </c>
      <c r="D649" s="1" t="s">
        <v>1594</v>
      </c>
      <c r="E649" s="1" t="str">
        <f>_xlfn.XLOOKUP(C649,mfscreener.portfolio_holdings_v!$C:$C,mfscreener.portfolio_holdings_v!$D:$D)</f>
        <v>Equity</v>
      </c>
      <c r="F649" s="36"/>
      <c r="G649" s="36"/>
    </row>
    <row r="650" spans="1:10" ht="14">
      <c r="A650" s="35" t="s">
        <v>1009</v>
      </c>
      <c r="B650" s="36" t="s">
        <v>1325</v>
      </c>
      <c r="C650" s="36" t="s">
        <v>1349</v>
      </c>
      <c r="D650" s="1" t="s">
        <v>1447</v>
      </c>
      <c r="E650" s="1" t="str">
        <f>_xlfn.XLOOKUP(C650,mfscreener.portfolio_holdings_v!$C:$C,mfscreener.portfolio_holdings_v!$D:$D)</f>
        <v>Equity</v>
      </c>
      <c r="F650" s="9">
        <v>2887.52</v>
      </c>
      <c r="G650" s="37">
        <v>1.26</v>
      </c>
      <c r="H650" s="9">
        <v>0.28000000000000003</v>
      </c>
      <c r="I650" s="9" t="s">
        <v>1334</v>
      </c>
      <c r="J650" s="9">
        <v>17</v>
      </c>
    </row>
    <row r="651" spans="1:10" ht="14">
      <c r="A651" s="35" t="s">
        <v>1009</v>
      </c>
      <c r="B651" s="36" t="s">
        <v>1325</v>
      </c>
      <c r="C651" s="36" t="s">
        <v>1350</v>
      </c>
      <c r="D651" s="1" t="s">
        <v>1595</v>
      </c>
      <c r="E651" s="1" t="str">
        <f>_xlfn.XLOOKUP(C651,mfscreener.portfolio_holdings_v!$C:$C,mfscreener.portfolio_holdings_v!$D:$D)</f>
        <v>Equity</v>
      </c>
      <c r="F651" s="9">
        <v>4553.3900000000003</v>
      </c>
      <c r="G651" s="37">
        <v>1.58</v>
      </c>
      <c r="I651" s="9" t="s">
        <v>1351</v>
      </c>
      <c r="J651" s="9" t="s">
        <v>1352</v>
      </c>
    </row>
    <row r="652" spans="1:10" ht="14">
      <c r="A652" s="35" t="s">
        <v>1009</v>
      </c>
      <c r="B652" s="36" t="s">
        <v>1325</v>
      </c>
      <c r="C652" s="36" t="s">
        <v>1353</v>
      </c>
      <c r="D652" s="1" t="s">
        <v>1445</v>
      </c>
      <c r="E652" s="1" t="str">
        <f>_xlfn.XLOOKUP(C652,mfscreener.portfolio_holdings_v!$C:$C,mfscreener.portfolio_holdings_v!$D:$D)</f>
        <v>Equity</v>
      </c>
      <c r="F652" s="9">
        <v>2209</v>
      </c>
      <c r="G652" s="37">
        <v>1.91</v>
      </c>
      <c r="H652" s="9">
        <v>0.13</v>
      </c>
      <c r="I652" s="9" t="s">
        <v>1354</v>
      </c>
      <c r="J652" s="9" t="s">
        <v>1355</v>
      </c>
    </row>
    <row r="653" spans="1:10" ht="14">
      <c r="A653" s="35" t="s">
        <v>1009</v>
      </c>
      <c r="B653" s="36" t="s">
        <v>1325</v>
      </c>
      <c r="C653" s="36" t="s">
        <v>1356</v>
      </c>
      <c r="D653" s="1" t="s">
        <v>1480</v>
      </c>
      <c r="E653" s="1" t="str">
        <f>_xlfn.XLOOKUP(C653,mfscreener.portfolio_holdings_v!$C:$C,mfscreener.portfolio_holdings_v!$D:$D)</f>
        <v>Equity</v>
      </c>
      <c r="F653" s="9">
        <v>1119.78</v>
      </c>
      <c r="G653" s="37">
        <v>1.29</v>
      </c>
      <c r="H653" s="9">
        <v>0.31</v>
      </c>
      <c r="I653" s="9" t="s">
        <v>1357</v>
      </c>
      <c r="J653" s="9">
        <v>16</v>
      </c>
    </row>
    <row r="654" spans="1:10" ht="14">
      <c r="A654" s="35" t="s">
        <v>1009</v>
      </c>
      <c r="B654" s="36" t="s">
        <v>1325</v>
      </c>
      <c r="C654" s="36" t="s">
        <v>1358</v>
      </c>
      <c r="D654" s="1" t="e">
        <f>_xlfn.XLOOKUP(C654,mfscreener.portfolio_holdings_v!$C:$C,mfscreener.portfolio_holdings_v!$E:$E)</f>
        <v>#N/A</v>
      </c>
      <c r="E654" s="1" t="e">
        <f>_xlfn.XLOOKUP(C654,mfscreener.portfolio_holdings_v!$C:$C,mfscreener.portfolio_holdings_v!$D:$D)</f>
        <v>#N/A</v>
      </c>
      <c r="F654" s="36"/>
      <c r="G654" s="36"/>
    </row>
    <row r="655" spans="1:10" ht="14">
      <c r="A655" s="35" t="s">
        <v>1009</v>
      </c>
      <c r="B655" s="36" t="s">
        <v>1325</v>
      </c>
      <c r="C655" s="36" t="s">
        <v>1359</v>
      </c>
      <c r="D655" s="1" t="str">
        <f>_xlfn.XLOOKUP(C655,mfscreener.portfolio_holdings_v!$C:$C,mfscreener.portfolio_holdings_v!$E:$E)</f>
        <v>Conservative Hybrid</v>
      </c>
      <c r="E655" s="1" t="str">
        <f>_xlfn.XLOOKUP(C655,mfscreener.portfolio_holdings_v!$C:$C,mfscreener.portfolio_holdings_v!$D:$D)</f>
        <v>Hybrid</v>
      </c>
      <c r="F655" s="9">
        <v>1702.48</v>
      </c>
      <c r="G655" s="37">
        <v>1.23</v>
      </c>
      <c r="I655" s="9" t="s">
        <v>1360</v>
      </c>
      <c r="J655" s="9" t="s">
        <v>1361</v>
      </c>
    </row>
    <row r="656" spans="1:10" ht="14">
      <c r="A656" s="38"/>
      <c r="B656" s="39" t="s">
        <v>1325</v>
      </c>
      <c r="C656" s="40" t="s">
        <v>1362</v>
      </c>
      <c r="D656" s="1" t="str">
        <f>_xlfn.XLOOKUP(C656,mfscreener.portfolio_holdings_v!$C:$C,mfscreener.portfolio_holdings_v!$E:$E)</f>
        <v>Aggressive Hybrid</v>
      </c>
      <c r="E656" s="1" t="str">
        <f>_xlfn.XLOOKUP(C656,mfscreener.portfolio_holdings_v!$C:$C,mfscreener.portfolio_holdings_v!$D:$D)</f>
        <v>Hybrid</v>
      </c>
      <c r="F656" s="9">
        <v>6647.98</v>
      </c>
      <c r="G656" s="37">
        <v>1.21</v>
      </c>
      <c r="I656" s="9" t="s">
        <v>1363</v>
      </c>
      <c r="J656" s="9" t="s">
        <v>168</v>
      </c>
    </row>
    <row r="657" spans="1:10" ht="14">
      <c r="A657" s="38"/>
      <c r="B657" s="39" t="s">
        <v>1325</v>
      </c>
      <c r="C657" s="40" t="s">
        <v>1364</v>
      </c>
      <c r="D657" s="1" t="str">
        <f>_xlfn.XLOOKUP(C657,mfscreener.portfolio_holdings_v!$C:$C,mfscreener.portfolio_holdings_v!$E:$E)</f>
        <v>Multi Asset</v>
      </c>
      <c r="E657" s="1" t="str">
        <f>_xlfn.XLOOKUP(C657,mfscreener.portfolio_holdings_v!$C:$C,mfscreener.portfolio_holdings_v!$D:$D)</f>
        <v>Hybrid</v>
      </c>
      <c r="F657" s="9">
        <v>6458.96</v>
      </c>
      <c r="G657" s="37">
        <v>0.57999999999999996</v>
      </c>
      <c r="I657" s="9" t="s">
        <v>1365</v>
      </c>
      <c r="J657" s="41">
        <v>46311</v>
      </c>
    </row>
    <row r="658" spans="1:10" ht="14">
      <c r="A658" s="35" t="s">
        <v>1009</v>
      </c>
      <c r="B658" s="36" t="s">
        <v>1366</v>
      </c>
      <c r="C658" s="36" t="s">
        <v>1367</v>
      </c>
      <c r="D658" s="1" t="str">
        <f>_xlfn.XLOOKUP(C658,mfscreener.portfolio_holdings_v!$C:$C,mfscreener.portfolio_holdings_v!$E:$E)</f>
        <v>Flexi Cap</v>
      </c>
      <c r="E658" s="1" t="str">
        <f>_xlfn.XLOOKUP(C658,mfscreener.portfolio_holdings_v!$C:$C,mfscreener.portfolio_holdings_v!$D:$D)</f>
        <v>Equity</v>
      </c>
      <c r="F658" s="37">
        <v>136.04</v>
      </c>
      <c r="G658" s="37">
        <v>0.83</v>
      </c>
      <c r="H658" s="9">
        <v>2.91</v>
      </c>
      <c r="I658" s="9" t="s">
        <v>1368</v>
      </c>
      <c r="J658" s="9" t="s">
        <v>1369</v>
      </c>
    </row>
    <row r="659" spans="1:10" ht="14">
      <c r="A659" s="35" t="s">
        <v>1009</v>
      </c>
      <c r="B659" s="36" t="s">
        <v>1366</v>
      </c>
      <c r="C659" s="36" t="s">
        <v>1370</v>
      </c>
      <c r="D659" s="1" t="str">
        <f>_xlfn.XLOOKUP(C659,mfscreener.portfolio_holdings_v!$C:$C,mfscreener.portfolio_holdings_v!$E:$E)</f>
        <v>ELSS</v>
      </c>
      <c r="E659" s="1" t="str">
        <f>_xlfn.XLOOKUP(C659,mfscreener.portfolio_holdings_v!$C:$C,mfscreener.portfolio_holdings_v!$D:$D)</f>
        <v>Equity</v>
      </c>
      <c r="F659" s="9">
        <v>49.16</v>
      </c>
      <c r="G659" s="37">
        <v>0.8</v>
      </c>
      <c r="H659" s="9">
        <v>2.85</v>
      </c>
      <c r="I659" s="9" t="s">
        <v>1368</v>
      </c>
      <c r="J659" s="9" t="s">
        <v>1369</v>
      </c>
    </row>
    <row r="660" spans="1:10" ht="14">
      <c r="A660" s="35" t="s">
        <v>1009</v>
      </c>
      <c r="B660" s="36" t="s">
        <v>1366</v>
      </c>
      <c r="C660" s="36" t="s">
        <v>1371</v>
      </c>
      <c r="D660" s="1" t="s">
        <v>1635</v>
      </c>
      <c r="E660" s="1" t="str">
        <f>_xlfn.XLOOKUP(C660,mfscreener.portfolio_holdings_v!$C:$C,mfscreener.portfolio_holdings_v!$D:$D)</f>
        <v>Equity</v>
      </c>
      <c r="F660" s="9">
        <v>192.74</v>
      </c>
      <c r="G660" s="37">
        <v>0.78</v>
      </c>
      <c r="H660" s="9">
        <v>5.5</v>
      </c>
      <c r="I660" s="9" t="s">
        <v>1368</v>
      </c>
      <c r="J660" s="9" t="s">
        <v>1369</v>
      </c>
    </row>
    <row r="661" spans="1:10" ht="14">
      <c r="A661" s="35" t="s">
        <v>1009</v>
      </c>
      <c r="B661" s="36" t="s">
        <v>1366</v>
      </c>
      <c r="C661" s="36" t="s">
        <v>1372</v>
      </c>
      <c r="D661" s="1" t="str">
        <f>_xlfn.XLOOKUP(C661,mfscreener.portfolio_holdings_v!$C:$C,mfscreener.portfolio_holdings_v!$E:$E)</f>
        <v>Aggressive Hybrid</v>
      </c>
      <c r="E661" s="1" t="str">
        <f>_xlfn.XLOOKUP(C661,mfscreener.portfolio_holdings_v!$C:$C,mfscreener.portfolio_holdings_v!$D:$D)</f>
        <v>Hybrid</v>
      </c>
      <c r="F661" s="9">
        <v>49.77</v>
      </c>
      <c r="G661" s="37">
        <v>0.85</v>
      </c>
      <c r="H661" s="9">
        <v>2.0699999999999998</v>
      </c>
      <c r="I661" s="9" t="s">
        <v>1373</v>
      </c>
      <c r="J661" s="9" t="s">
        <v>1374</v>
      </c>
    </row>
    <row r="662" spans="1:10" ht="14">
      <c r="A662" s="35" t="s">
        <v>1009</v>
      </c>
      <c r="B662" s="36" t="s">
        <v>1366</v>
      </c>
      <c r="C662" s="36" t="s">
        <v>1375</v>
      </c>
      <c r="D662" s="1" t="str">
        <f>_xlfn.XLOOKUP(C662,mfscreener.portfolio_holdings_v!$C:$C,mfscreener.portfolio_holdings_v!$E:$E)</f>
        <v>Balanced Advantage</v>
      </c>
      <c r="E662" s="1" t="str">
        <f>_xlfn.XLOOKUP(C662,mfscreener.portfolio_holdings_v!$C:$C,mfscreener.portfolio_holdings_v!$D:$D)</f>
        <v>Hybrid</v>
      </c>
      <c r="F662" s="9">
        <v>57.52</v>
      </c>
      <c r="G662" s="37">
        <v>1</v>
      </c>
      <c r="H662" s="9">
        <v>1.89</v>
      </c>
      <c r="I662" s="9" t="s">
        <v>1373</v>
      </c>
      <c r="J662" s="9" t="s">
        <v>1374</v>
      </c>
    </row>
    <row r="663" spans="1:10" ht="14">
      <c r="A663" s="35" t="s">
        <v>1009</v>
      </c>
      <c r="B663" s="36" t="s">
        <v>1366</v>
      </c>
      <c r="C663" s="36" t="s">
        <v>1376</v>
      </c>
      <c r="D663" s="1" t="str">
        <f>_xlfn.XLOOKUP(C663,mfscreener.portfolio_holdings_v!$C:$C,mfscreener.portfolio_holdings_v!$E:$E)</f>
        <v>Multi Asset Allocation</v>
      </c>
      <c r="E663" s="1" t="str">
        <f>_xlfn.XLOOKUP(C663,mfscreener.portfolio_holdings_v!$C:$C,mfscreener.portfolio_holdings_v!$D:$D)</f>
        <v>Hybrid</v>
      </c>
      <c r="F663" s="9">
        <v>139.37</v>
      </c>
      <c r="G663" s="37">
        <v>0.69</v>
      </c>
      <c r="H663" s="9">
        <v>2.23</v>
      </c>
      <c r="I663" s="9" t="s">
        <v>1373</v>
      </c>
      <c r="J663" s="9" t="s">
        <v>1374</v>
      </c>
    </row>
    <row r="664" spans="1:10" ht="14">
      <c r="A664" s="35" t="s">
        <v>1009</v>
      </c>
      <c r="B664" s="36" t="s">
        <v>1377</v>
      </c>
      <c r="C664" s="36" t="s">
        <v>1378</v>
      </c>
      <c r="D664" s="1" t="str">
        <f>_xlfn.XLOOKUP(C664,mfscreener.portfolio_holdings_v!$C:$C,mfscreener.portfolio_holdings_v!$E:$E)</f>
        <v>Large Cap</v>
      </c>
      <c r="E664" s="1" t="str">
        <f>_xlfn.XLOOKUP(C664,mfscreener.portfolio_holdings_v!$C:$C,mfscreener.portfolio_holdings_v!$D:$D)</f>
        <v>Equity</v>
      </c>
      <c r="F664" s="12">
        <v>1912.23</v>
      </c>
      <c r="G664" s="37">
        <v>1.26</v>
      </c>
      <c r="H664" s="9">
        <v>0.59</v>
      </c>
      <c r="I664" s="1" t="s">
        <v>1379</v>
      </c>
      <c r="J664" s="1" t="s">
        <v>1380</v>
      </c>
    </row>
    <row r="665" spans="1:10" ht="14">
      <c r="A665" s="35" t="s">
        <v>1009</v>
      </c>
      <c r="B665" s="36" t="s">
        <v>1377</v>
      </c>
      <c r="C665" s="36" t="s">
        <v>1381</v>
      </c>
      <c r="D665" s="1" t="str">
        <f>_xlfn.XLOOKUP(C665,mfscreener.portfolio_holdings_v!$C:$C,mfscreener.portfolio_holdings_v!$E:$E)</f>
        <v>Large &amp; Mid Cap</v>
      </c>
      <c r="E665" s="1" t="str">
        <f>_xlfn.XLOOKUP(C665,mfscreener.portfolio_holdings_v!$C:$C,mfscreener.portfolio_holdings_v!$D:$D)</f>
        <v>Equity</v>
      </c>
      <c r="F665" s="12">
        <v>4615.18</v>
      </c>
      <c r="G665" s="37">
        <v>0.79</v>
      </c>
      <c r="H665" s="9">
        <v>1.03</v>
      </c>
      <c r="I665" s="1" t="s">
        <v>1382</v>
      </c>
      <c r="J665" s="1" t="s">
        <v>1383</v>
      </c>
    </row>
    <row r="666" spans="1:10" ht="14">
      <c r="A666" s="35" t="s">
        <v>1009</v>
      </c>
      <c r="B666" s="36" t="s">
        <v>1377</v>
      </c>
      <c r="C666" s="36" t="s">
        <v>1384</v>
      </c>
      <c r="D666" s="1" t="str">
        <f>_xlfn.XLOOKUP(C666,mfscreener.portfolio_holdings_v!$C:$C,mfscreener.portfolio_holdings_v!$E:$E)</f>
        <v>Mid Cap</v>
      </c>
      <c r="E666" s="1" t="str">
        <f>_xlfn.XLOOKUP(C666,mfscreener.portfolio_holdings_v!$C:$C,mfscreener.portfolio_holdings_v!$D:$D)</f>
        <v>Equity</v>
      </c>
      <c r="F666" s="12">
        <v>12363.2</v>
      </c>
      <c r="G666" s="37">
        <v>0.65</v>
      </c>
      <c r="H666" s="9">
        <v>1.04</v>
      </c>
      <c r="I666" s="1" t="s">
        <v>1382</v>
      </c>
      <c r="J666" s="1" t="s">
        <v>1383</v>
      </c>
    </row>
    <row r="667" spans="1:10" ht="14.5">
      <c r="A667" s="35" t="s">
        <v>1009</v>
      </c>
      <c r="B667" s="36" t="s">
        <v>1377</v>
      </c>
      <c r="C667" s="36" t="s">
        <v>1385</v>
      </c>
      <c r="D667" s="1" t="str">
        <f>_xlfn.XLOOKUP(C667,mfscreener.portfolio_holdings_v!$C:$C,mfscreener.portfolio_holdings_v!$E:$E)</f>
        <v>Small Cap</v>
      </c>
      <c r="E667" s="1" t="str">
        <f>_xlfn.XLOOKUP(C667,mfscreener.portfolio_holdings_v!$C:$C,mfscreener.portfolio_holdings_v!$D:$D)</f>
        <v>Equity</v>
      </c>
      <c r="F667" s="12">
        <v>15873.41</v>
      </c>
      <c r="G667" s="37">
        <v>0.7</v>
      </c>
      <c r="H667" s="9">
        <v>0.39</v>
      </c>
      <c r="I667" s="1" t="s">
        <v>1386</v>
      </c>
      <c r="J667" s="2" t="s">
        <v>1387</v>
      </c>
    </row>
    <row r="668" spans="1:10" ht="14.5">
      <c r="A668" s="35" t="s">
        <v>1009</v>
      </c>
      <c r="B668" s="36" t="s">
        <v>1377</v>
      </c>
      <c r="C668" s="36" t="s">
        <v>1388</v>
      </c>
      <c r="D668" s="1" t="str">
        <f>_xlfn.XLOOKUP(C668,mfscreener.portfolio_holdings_v!$C:$C,mfscreener.portfolio_holdings_v!$E:$E)</f>
        <v>Flexi Cap</v>
      </c>
      <c r="E668" s="1" t="str">
        <f>_xlfn.XLOOKUP(C668,mfscreener.portfolio_holdings_v!$C:$C,mfscreener.portfolio_holdings_v!$D:$D)</f>
        <v>Equity</v>
      </c>
      <c r="F668" s="12">
        <v>5176.47</v>
      </c>
      <c r="G668" s="37">
        <v>1.2</v>
      </c>
      <c r="H668" s="9">
        <v>0.3</v>
      </c>
      <c r="I668" s="1" t="s">
        <v>1389</v>
      </c>
      <c r="J668" s="2" t="s">
        <v>1390</v>
      </c>
    </row>
    <row r="669" spans="1:10" ht="14.5">
      <c r="A669" s="35" t="s">
        <v>1009</v>
      </c>
      <c r="B669" s="36" t="s">
        <v>1377</v>
      </c>
      <c r="C669" s="36" t="s">
        <v>1391</v>
      </c>
      <c r="D669" s="1" t="str">
        <f>_xlfn.XLOOKUP(C669,mfscreener.portfolio_holdings_v!$C:$C,mfscreener.portfolio_holdings_v!$E:$E)</f>
        <v>Multi Cap</v>
      </c>
      <c r="E669" s="1" t="str">
        <f>_xlfn.XLOOKUP(C669,mfscreener.portfolio_holdings_v!$C:$C,mfscreener.portfolio_holdings_v!$D:$D)</f>
        <v>Equity</v>
      </c>
      <c r="F669" s="12">
        <v>5280.79</v>
      </c>
      <c r="G669" s="37">
        <v>0.61</v>
      </c>
      <c r="H669" s="9">
        <v>0.39</v>
      </c>
      <c r="I669" s="1" t="s">
        <v>1392</v>
      </c>
      <c r="J669" s="2" t="s">
        <v>1393</v>
      </c>
    </row>
    <row r="670" spans="1:10" ht="14.5">
      <c r="A670" s="35" t="s">
        <v>1009</v>
      </c>
      <c r="B670" s="36" t="s">
        <v>1377</v>
      </c>
      <c r="C670" s="36" t="s">
        <v>1394</v>
      </c>
      <c r="D670" s="1" t="str">
        <f>_xlfn.XLOOKUP(C670,mfscreener.portfolio_holdings_v!$C:$C,mfscreener.portfolio_holdings_v!$E:$E)</f>
        <v>Value</v>
      </c>
      <c r="E670" s="1" t="str">
        <f>_xlfn.XLOOKUP(C670,mfscreener.portfolio_holdings_v!$C:$C,mfscreener.portfolio_holdings_v!$D:$D)</f>
        <v>Equity</v>
      </c>
      <c r="F670" s="12">
        <v>14464.22</v>
      </c>
      <c r="G670" s="37">
        <v>0.74</v>
      </c>
      <c r="H670" s="9">
        <v>0.3</v>
      </c>
      <c r="I670" s="1" t="s">
        <v>1386</v>
      </c>
      <c r="J670" s="2" t="s">
        <v>1387</v>
      </c>
    </row>
    <row r="671" spans="1:10" ht="14">
      <c r="A671" s="35" t="s">
        <v>1009</v>
      </c>
      <c r="B671" s="36" t="s">
        <v>1377</v>
      </c>
      <c r="C671" s="36" t="s">
        <v>1395</v>
      </c>
      <c r="D671" s="1" t="str">
        <f>_xlfn.XLOOKUP(C671,mfscreener.portfolio_holdings_v!$C:$C,mfscreener.portfolio_holdings_v!$E:$E)</f>
        <v>Focused</v>
      </c>
      <c r="E671" s="1" t="str">
        <f>_xlfn.XLOOKUP(C671,mfscreener.portfolio_holdings_v!$C:$C,mfscreener.portfolio_holdings_v!$D:$D)</f>
        <v>Equity</v>
      </c>
      <c r="F671" s="12">
        <v>1706.37</v>
      </c>
      <c r="G671" s="37">
        <v>0.98</v>
      </c>
      <c r="H671" s="9">
        <v>0.41</v>
      </c>
      <c r="I671" s="1" t="s">
        <v>1396</v>
      </c>
      <c r="J671" s="1" t="s">
        <v>1397</v>
      </c>
    </row>
    <row r="672" spans="1:10" ht="14">
      <c r="A672" s="35" t="s">
        <v>1009</v>
      </c>
      <c r="B672" s="36" t="s">
        <v>1377</v>
      </c>
      <c r="C672" s="36" t="s">
        <v>1398</v>
      </c>
      <c r="D672" s="1" t="str">
        <f>_xlfn.XLOOKUP(C672,mfscreener.portfolio_holdings_v!$C:$C,mfscreener.portfolio_holdings_v!$E:$E)</f>
        <v>ELSS</v>
      </c>
      <c r="E672" s="1" t="str">
        <f>_xlfn.XLOOKUP(C672,mfscreener.portfolio_holdings_v!$C:$C,mfscreener.portfolio_holdings_v!$D:$D)</f>
        <v>Equity</v>
      </c>
      <c r="F672" s="12">
        <v>4104.75</v>
      </c>
      <c r="G672" s="37">
        <v>1.17</v>
      </c>
      <c r="H672" s="9">
        <v>0.06</v>
      </c>
      <c r="I672" s="9" t="s">
        <v>1389</v>
      </c>
      <c r="J672" s="9" t="s">
        <v>1399</v>
      </c>
    </row>
    <row r="673" spans="1:10" ht="14">
      <c r="A673" s="35" t="s">
        <v>1009</v>
      </c>
      <c r="B673" s="36" t="s">
        <v>1377</v>
      </c>
      <c r="C673" s="36" t="s">
        <v>1400</v>
      </c>
      <c r="D673" s="1" t="s">
        <v>1596</v>
      </c>
      <c r="E673" s="1" t="str">
        <f>_xlfn.XLOOKUP(C673,mfscreener.portfolio_holdings_v!$C:$C,mfscreener.portfolio_holdings_v!$D:$D)</f>
        <v>Equity</v>
      </c>
      <c r="F673" s="9">
        <v>243.89</v>
      </c>
      <c r="G673" s="37">
        <v>1.8</v>
      </c>
      <c r="H673" s="9">
        <v>0.9</v>
      </c>
      <c r="I673" s="9" t="s">
        <v>1401</v>
      </c>
      <c r="J673" s="9" t="s">
        <v>1402</v>
      </c>
    </row>
    <row r="674" spans="1:10" ht="14">
      <c r="A674" s="35" t="s">
        <v>1009</v>
      </c>
      <c r="B674" s="36" t="s">
        <v>1377</v>
      </c>
      <c r="C674" s="36" t="s">
        <v>1403</v>
      </c>
      <c r="D674" s="1" t="s">
        <v>1445</v>
      </c>
      <c r="E674" s="1" t="str">
        <f>_xlfn.XLOOKUP(C674,mfscreener.portfolio_holdings_v!$C:$C,mfscreener.portfolio_holdings_v!$D:$D)</f>
        <v>Equity</v>
      </c>
      <c r="F674" s="12">
        <v>2259.5300000000002</v>
      </c>
      <c r="G674" s="37">
        <v>1</v>
      </c>
      <c r="H674" s="9">
        <v>0.17</v>
      </c>
      <c r="I674" s="9" t="s">
        <v>1404</v>
      </c>
      <c r="J674" s="9" t="s">
        <v>1405</v>
      </c>
    </row>
    <row r="675" spans="1:10" ht="14">
      <c r="A675" s="35" t="s">
        <v>1009</v>
      </c>
      <c r="B675" s="36" t="s">
        <v>1377</v>
      </c>
      <c r="C675" s="36" t="s">
        <v>1406</v>
      </c>
      <c r="D675" s="1" t="s">
        <v>1438</v>
      </c>
      <c r="E675" s="1" t="str">
        <f>_xlfn.XLOOKUP(C675,mfscreener.portfolio_holdings_v!$C:$C,mfscreener.portfolio_holdings_v!$D:$D)</f>
        <v>Equity</v>
      </c>
      <c r="F675" s="9">
        <v>806.33</v>
      </c>
      <c r="G675" s="37">
        <v>0.78</v>
      </c>
      <c r="I675" s="9" t="s">
        <v>1401</v>
      </c>
      <c r="J675" s="9" t="s">
        <v>1402</v>
      </c>
    </row>
    <row r="676" spans="1:10" ht="14">
      <c r="A676" s="35" t="s">
        <v>1009</v>
      </c>
      <c r="B676" s="36" t="s">
        <v>1377</v>
      </c>
      <c r="C676" s="36" t="s">
        <v>1407</v>
      </c>
      <c r="D676" s="1" t="s">
        <v>1459</v>
      </c>
      <c r="E676" s="1" t="str">
        <f>_xlfn.XLOOKUP(C676,mfscreener.portfolio_holdings_v!$C:$C,mfscreener.portfolio_holdings_v!$D:$D)</f>
        <v>Equity</v>
      </c>
      <c r="F676" s="12">
        <v>1775.85</v>
      </c>
      <c r="G676" s="37">
        <v>0.87</v>
      </c>
      <c r="H676" s="9">
        <v>0.15</v>
      </c>
      <c r="I676" s="9" t="s">
        <v>1408</v>
      </c>
      <c r="J676" s="9" t="s">
        <v>1409</v>
      </c>
    </row>
    <row r="677" spans="1:10" ht="14">
      <c r="A677" s="35" t="s">
        <v>1009</v>
      </c>
      <c r="B677" s="36" t="s">
        <v>1377</v>
      </c>
      <c r="C677" s="36" t="s">
        <v>1410</v>
      </c>
      <c r="D677" s="1" t="s">
        <v>1444</v>
      </c>
      <c r="E677" s="1" t="str">
        <f>_xlfn.XLOOKUP(C677,mfscreener.portfolio_holdings_v!$C:$C,mfscreener.portfolio_holdings_v!$D:$D)</f>
        <v>Equity</v>
      </c>
      <c r="F677" s="12">
        <v>1132.7</v>
      </c>
      <c r="G677" s="37">
        <v>1.03</v>
      </c>
      <c r="H677" s="9">
        <v>0.22</v>
      </c>
      <c r="I677" s="9" t="s">
        <v>1401</v>
      </c>
      <c r="J677" s="9" t="s">
        <v>1402</v>
      </c>
    </row>
    <row r="678" spans="1:10" ht="14">
      <c r="A678" s="35" t="s">
        <v>1009</v>
      </c>
      <c r="B678" s="36" t="s">
        <v>1377</v>
      </c>
      <c r="C678" s="36" t="s">
        <v>1411</v>
      </c>
      <c r="D678" s="1" t="str">
        <f>_xlfn.XLOOKUP(C678,mfscreener.portfolio_holdings_v!$C:$C,mfscreener.portfolio_holdings_v!$E:$E)</f>
        <v>Aggressive Hybrid</v>
      </c>
      <c r="E678" s="1" t="str">
        <f>_xlfn.XLOOKUP(C678,mfscreener.portfolio_holdings_v!$C:$C,mfscreener.portfolio_holdings_v!$D:$D)</f>
        <v>Hybrid</v>
      </c>
      <c r="F678" s="12">
        <v>5570.49</v>
      </c>
      <c r="G678" s="37">
        <v>0.82</v>
      </c>
      <c r="H678" s="9">
        <v>0.38</v>
      </c>
      <c r="I678" s="9" t="s">
        <v>1412</v>
      </c>
      <c r="J678" s="9" t="s">
        <v>1413</v>
      </c>
    </row>
    <row r="679" spans="1:10" ht="14">
      <c r="A679" s="35" t="s">
        <v>1009</v>
      </c>
      <c r="B679" s="36" t="s">
        <v>1377</v>
      </c>
      <c r="C679" s="36" t="s">
        <v>1414</v>
      </c>
      <c r="D679" s="1" t="str">
        <f>_xlfn.XLOOKUP(C679,mfscreener.portfolio_holdings_v!$C:$C,mfscreener.portfolio_holdings_v!$E:$E)</f>
        <v>Balanced Advantage</v>
      </c>
      <c r="E679" s="1" t="str">
        <f>_xlfn.XLOOKUP(C679,mfscreener.portfolio_holdings_v!$C:$C,mfscreener.portfolio_holdings_v!$D:$D)</f>
        <v>Hybrid</v>
      </c>
      <c r="F679" s="12">
        <v>1579.48</v>
      </c>
      <c r="G679" s="37">
        <v>0.81</v>
      </c>
      <c r="H679" s="9">
        <v>0.51</v>
      </c>
      <c r="I679" s="9" t="s">
        <v>1415</v>
      </c>
      <c r="J679" s="9" t="s">
        <v>1416</v>
      </c>
    </row>
    <row r="680" spans="1:10" ht="14">
      <c r="A680" s="35" t="s">
        <v>1009</v>
      </c>
      <c r="B680" s="36" t="s">
        <v>1377</v>
      </c>
      <c r="C680" s="36" t="s">
        <v>1417</v>
      </c>
      <c r="D680" s="1" t="str">
        <f>_xlfn.XLOOKUP(C680,mfscreener.portfolio_holdings_v!$C:$C,mfscreener.portfolio_holdings_v!$E:$E)</f>
        <v>Conservative Hybrid</v>
      </c>
      <c r="E680" s="1" t="str">
        <f>_xlfn.XLOOKUP(C680,mfscreener.portfolio_holdings_v!$C:$C,mfscreener.portfolio_holdings_v!$D:$D)</f>
        <v>Hybrid</v>
      </c>
      <c r="F680" s="9">
        <v>146.63999999999999</v>
      </c>
      <c r="G680" s="37">
        <v>1.05</v>
      </c>
      <c r="I680" s="9" t="s">
        <v>1418</v>
      </c>
      <c r="J680" s="9" t="s">
        <v>1419</v>
      </c>
    </row>
    <row r="681" spans="1:10" ht="14">
      <c r="A681" s="35" t="s">
        <v>1009</v>
      </c>
      <c r="B681" s="36" t="s">
        <v>1377</v>
      </c>
      <c r="C681" s="36" t="s">
        <v>1420</v>
      </c>
      <c r="D681" s="1" t="str">
        <f>_xlfn.XLOOKUP(C681,mfscreener.portfolio_holdings_v!$C:$C,mfscreener.portfolio_holdings_v!$E:$E)</f>
        <v>Equity Savings</v>
      </c>
      <c r="E681" s="1" t="str">
        <f>_xlfn.XLOOKUP(C681,mfscreener.portfolio_holdings_v!$C:$C,mfscreener.portfolio_holdings_v!$D:$D)</f>
        <v>Hybrid</v>
      </c>
      <c r="F681" s="9">
        <v>785.12</v>
      </c>
      <c r="G681" s="37">
        <v>0.67</v>
      </c>
      <c r="H681" s="9">
        <v>1.01</v>
      </c>
      <c r="I681" s="9" t="s">
        <v>1421</v>
      </c>
      <c r="J681" s="9" t="s">
        <v>1422</v>
      </c>
    </row>
    <row r="682" spans="1:10" ht="14">
      <c r="A682" s="35" t="s">
        <v>1009</v>
      </c>
      <c r="B682" s="36" t="s">
        <v>1377</v>
      </c>
      <c r="C682" s="36" t="s">
        <v>1423</v>
      </c>
      <c r="D682" s="1" t="str">
        <f>_xlfn.XLOOKUP(C682,mfscreener.portfolio_holdings_v!$C:$C,mfscreener.portfolio_holdings_v!$E:$E)</f>
        <v>Multi Asset Allocation</v>
      </c>
      <c r="E682" s="1" t="str">
        <f>_xlfn.XLOOKUP(C682,mfscreener.portfolio_holdings_v!$C:$C,mfscreener.portfolio_holdings_v!$D:$D)</f>
        <v>Hybrid</v>
      </c>
      <c r="F682" s="12">
        <v>2497.81</v>
      </c>
      <c r="G682" s="37">
        <v>0.46</v>
      </c>
      <c r="H682" s="9">
        <v>0.96</v>
      </c>
      <c r="I682" s="9" t="s">
        <v>1424</v>
      </c>
      <c r="J682" s="9" t="s">
        <v>1425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72"/>
  <sheetViews>
    <sheetView workbookViewId="0">
      <selection activeCell="I4" sqref="I4"/>
    </sheetView>
  </sheetViews>
  <sheetFormatPr defaultColWidth="12.6328125" defaultRowHeight="15.75" customHeight="1"/>
  <sheetData>
    <row r="1" spans="1:5" ht="15.75" customHeight="1">
      <c r="A1" t="s">
        <v>0</v>
      </c>
      <c r="B1" t="s">
        <v>1</v>
      </c>
      <c r="C1" t="s">
        <v>2</v>
      </c>
      <c r="D1" t="s">
        <v>1426</v>
      </c>
      <c r="E1" t="s">
        <v>1427</v>
      </c>
    </row>
    <row r="2" spans="1:5" ht="15.75" customHeight="1">
      <c r="A2" s="42">
        <v>46022</v>
      </c>
      <c r="B2" t="s">
        <v>6</v>
      </c>
      <c r="C2" t="s">
        <v>14</v>
      </c>
      <c r="D2" t="s">
        <v>1428</v>
      </c>
      <c r="E2" t="s">
        <v>1429</v>
      </c>
    </row>
    <row r="3" spans="1:5" ht="15.75" customHeight="1">
      <c r="A3" s="42">
        <v>46022</v>
      </c>
      <c r="B3" t="s">
        <v>6</v>
      </c>
      <c r="C3" t="s">
        <v>16</v>
      </c>
      <c r="D3" t="s">
        <v>1428</v>
      </c>
      <c r="E3" t="s">
        <v>1430</v>
      </c>
    </row>
    <row r="4" spans="1:5" ht="15.75" customHeight="1">
      <c r="A4" s="42">
        <v>46022</v>
      </c>
      <c r="B4" t="s">
        <v>6</v>
      </c>
      <c r="C4" t="s">
        <v>18</v>
      </c>
      <c r="D4" t="s">
        <v>1428</v>
      </c>
      <c r="E4" t="s">
        <v>1431</v>
      </c>
    </row>
    <row r="5" spans="1:5" ht="15.75" customHeight="1">
      <c r="A5" s="42">
        <v>46022</v>
      </c>
      <c r="B5" t="s">
        <v>6</v>
      </c>
      <c r="C5" t="s">
        <v>23</v>
      </c>
      <c r="D5" t="s">
        <v>1428</v>
      </c>
      <c r="E5" t="s">
        <v>1432</v>
      </c>
    </row>
    <row r="6" spans="1:5" ht="15.75" customHeight="1">
      <c r="A6" s="42">
        <v>46022</v>
      </c>
      <c r="B6" t="s">
        <v>6</v>
      </c>
      <c r="C6" t="s">
        <v>9</v>
      </c>
      <c r="D6" t="s">
        <v>1428</v>
      </c>
      <c r="E6" t="s">
        <v>1433</v>
      </c>
    </row>
    <row r="7" spans="1:5" ht="15.75" customHeight="1">
      <c r="A7" s="42">
        <v>46022</v>
      </c>
      <c r="B7" t="s">
        <v>6</v>
      </c>
      <c r="C7" t="s">
        <v>20</v>
      </c>
      <c r="D7" t="s">
        <v>1428</v>
      </c>
      <c r="E7" t="s">
        <v>1434</v>
      </c>
    </row>
    <row r="8" spans="1:5" ht="15.75" customHeight="1">
      <c r="A8" s="42">
        <v>46022</v>
      </c>
      <c r="B8" t="s">
        <v>6</v>
      </c>
      <c r="C8" t="s">
        <v>26</v>
      </c>
      <c r="D8" t="s">
        <v>1428</v>
      </c>
      <c r="E8" t="s">
        <v>1435</v>
      </c>
    </row>
    <row r="9" spans="1:5" ht="15.75" customHeight="1">
      <c r="A9" s="42">
        <v>46022</v>
      </c>
      <c r="B9" t="s">
        <v>6</v>
      </c>
      <c r="C9" t="s">
        <v>7</v>
      </c>
      <c r="D9" t="s">
        <v>1428</v>
      </c>
      <c r="E9" t="s">
        <v>1436</v>
      </c>
    </row>
    <row r="10" spans="1:5" ht="15.75" customHeight="1">
      <c r="A10" s="42">
        <v>46022</v>
      </c>
      <c r="B10" t="s">
        <v>6</v>
      </c>
      <c r="C10" t="s">
        <v>12</v>
      </c>
      <c r="D10" t="s">
        <v>1428</v>
      </c>
      <c r="E10" t="s">
        <v>1437</v>
      </c>
    </row>
    <row r="11" spans="1:5" ht="15.75" customHeight="1">
      <c r="A11" s="42">
        <v>46022</v>
      </c>
      <c r="B11" t="s">
        <v>6</v>
      </c>
      <c r="C11" t="s">
        <v>27</v>
      </c>
      <c r="D11" t="s">
        <v>1428</v>
      </c>
      <c r="E11" t="s">
        <v>1438</v>
      </c>
    </row>
    <row r="12" spans="1:5" ht="15.75" customHeight="1">
      <c r="A12" s="42">
        <v>46022</v>
      </c>
      <c r="B12" t="s">
        <v>6</v>
      </c>
      <c r="C12" t="s">
        <v>29</v>
      </c>
      <c r="D12" t="s">
        <v>1428</v>
      </c>
      <c r="E12" t="s">
        <v>1439</v>
      </c>
    </row>
    <row r="13" spans="1:5" ht="15.75" customHeight="1">
      <c r="A13" s="42">
        <v>46022</v>
      </c>
      <c r="B13" t="s">
        <v>6</v>
      </c>
      <c r="C13" t="s">
        <v>31</v>
      </c>
      <c r="D13" t="s">
        <v>1428</v>
      </c>
      <c r="E13" t="s">
        <v>1440</v>
      </c>
    </row>
    <row r="14" spans="1:5" ht="15.75" customHeight="1">
      <c r="A14" s="42">
        <v>46022</v>
      </c>
      <c r="B14" t="s">
        <v>6</v>
      </c>
      <c r="C14" t="s">
        <v>32</v>
      </c>
      <c r="D14" t="s">
        <v>1428</v>
      </c>
      <c r="E14" t="s">
        <v>1441</v>
      </c>
    </row>
    <row r="15" spans="1:5" ht="15.75" customHeight="1">
      <c r="A15" s="42">
        <v>46022</v>
      </c>
      <c r="B15" t="s">
        <v>6</v>
      </c>
      <c r="C15" t="s">
        <v>34</v>
      </c>
      <c r="D15" t="s">
        <v>1428</v>
      </c>
      <c r="E15" t="s">
        <v>1442</v>
      </c>
    </row>
    <row r="16" spans="1:5" ht="15.75" customHeight="1">
      <c r="A16" s="42">
        <v>46022</v>
      </c>
      <c r="B16" t="s">
        <v>6</v>
      </c>
      <c r="C16" t="s">
        <v>35</v>
      </c>
      <c r="D16" t="s">
        <v>1428</v>
      </c>
      <c r="E16" t="s">
        <v>1443</v>
      </c>
    </row>
    <row r="17" spans="1:5" ht="15.75" customHeight="1">
      <c r="A17" s="42">
        <v>46022</v>
      </c>
      <c r="B17" t="s">
        <v>6</v>
      </c>
      <c r="C17" t="s">
        <v>37</v>
      </c>
      <c r="D17" t="s">
        <v>1428</v>
      </c>
      <c r="E17" t="s">
        <v>1444</v>
      </c>
    </row>
    <row r="18" spans="1:5" ht="15.75" customHeight="1">
      <c r="A18" s="42">
        <v>46022</v>
      </c>
      <c r="B18" t="s">
        <v>6</v>
      </c>
      <c r="C18" t="s">
        <v>40</v>
      </c>
      <c r="D18" t="s">
        <v>1428</v>
      </c>
      <c r="E18" t="s">
        <v>1445</v>
      </c>
    </row>
    <row r="19" spans="1:5" ht="15.75" customHeight="1">
      <c r="A19" s="42">
        <v>46022</v>
      </c>
      <c r="B19" t="s">
        <v>6</v>
      </c>
      <c r="C19" t="s">
        <v>41</v>
      </c>
      <c r="D19" t="s">
        <v>1428</v>
      </c>
      <c r="E19" t="s">
        <v>1446</v>
      </c>
    </row>
    <row r="20" spans="1:5" ht="15.75" customHeight="1">
      <c r="A20" s="42">
        <v>46022</v>
      </c>
      <c r="B20" t="s">
        <v>6</v>
      </c>
      <c r="C20" t="s">
        <v>42</v>
      </c>
      <c r="D20" t="s">
        <v>1428</v>
      </c>
      <c r="E20" t="s">
        <v>1447</v>
      </c>
    </row>
    <row r="21" spans="1:5" ht="15.75" customHeight="1">
      <c r="A21" s="42">
        <v>46022</v>
      </c>
      <c r="B21" t="s">
        <v>6</v>
      </c>
      <c r="C21" t="s">
        <v>44</v>
      </c>
      <c r="D21" t="s">
        <v>1428</v>
      </c>
      <c r="E21" t="s">
        <v>1448</v>
      </c>
    </row>
    <row r="22" spans="1:5" ht="15.75" customHeight="1">
      <c r="A22" s="42">
        <v>46022</v>
      </c>
      <c r="B22" t="s">
        <v>6</v>
      </c>
      <c r="C22" t="s">
        <v>45</v>
      </c>
      <c r="D22" t="s">
        <v>1449</v>
      </c>
      <c r="E22" t="s">
        <v>1450</v>
      </c>
    </row>
    <row r="23" spans="1:5" ht="15.75" customHeight="1">
      <c r="A23" s="42">
        <v>46022</v>
      </c>
      <c r="B23" t="s">
        <v>6</v>
      </c>
      <c r="C23" t="s">
        <v>47</v>
      </c>
      <c r="D23" t="s">
        <v>1449</v>
      </c>
      <c r="E23" t="s">
        <v>1451</v>
      </c>
    </row>
    <row r="24" spans="1:5" ht="15.75" customHeight="1">
      <c r="A24" s="42">
        <v>46022</v>
      </c>
      <c r="B24" t="s">
        <v>6</v>
      </c>
      <c r="C24" t="s">
        <v>49</v>
      </c>
      <c r="D24" t="s">
        <v>1449</v>
      </c>
      <c r="E24" t="s">
        <v>1452</v>
      </c>
    </row>
    <row r="25" spans="1:5" ht="15.75" customHeight="1">
      <c r="A25" s="42">
        <v>46022</v>
      </c>
      <c r="B25" t="s">
        <v>6</v>
      </c>
      <c r="C25" t="s">
        <v>50</v>
      </c>
      <c r="D25" t="s">
        <v>1449</v>
      </c>
      <c r="E25" t="s">
        <v>1453</v>
      </c>
    </row>
    <row r="26" spans="1:5" ht="15.75" customHeight="1">
      <c r="A26" s="42">
        <v>46022</v>
      </c>
      <c r="B26" t="s">
        <v>6</v>
      </c>
      <c r="C26" t="s">
        <v>53</v>
      </c>
      <c r="D26" t="s">
        <v>1449</v>
      </c>
      <c r="E26" t="s">
        <v>1454</v>
      </c>
    </row>
    <row r="27" spans="1:5" ht="15.75" customHeight="1">
      <c r="A27" s="42">
        <v>46022</v>
      </c>
      <c r="B27" t="s">
        <v>54</v>
      </c>
      <c r="C27" t="s">
        <v>60</v>
      </c>
      <c r="D27" t="s">
        <v>1428</v>
      </c>
      <c r="E27" t="s">
        <v>1437</v>
      </c>
    </row>
    <row r="28" spans="1:5" ht="15.75" customHeight="1">
      <c r="A28" s="42">
        <v>46022</v>
      </c>
      <c r="B28" t="s">
        <v>54</v>
      </c>
      <c r="C28" t="s">
        <v>58</v>
      </c>
      <c r="D28" t="s">
        <v>1428</v>
      </c>
      <c r="E28" t="s">
        <v>1433</v>
      </c>
    </row>
    <row r="29" spans="1:5" ht="15.75" customHeight="1">
      <c r="A29" s="42">
        <v>46022</v>
      </c>
      <c r="B29" t="s">
        <v>54</v>
      </c>
      <c r="C29" t="s">
        <v>55</v>
      </c>
      <c r="D29" t="s">
        <v>1449</v>
      </c>
      <c r="E29" t="s">
        <v>1455</v>
      </c>
    </row>
    <row r="30" spans="1:5" ht="15.75" customHeight="1">
      <c r="A30" s="42">
        <v>46022</v>
      </c>
      <c r="B30" t="s">
        <v>54</v>
      </c>
      <c r="C30" t="s">
        <v>61</v>
      </c>
      <c r="D30" t="s">
        <v>1428</v>
      </c>
      <c r="E30" t="s">
        <v>1448</v>
      </c>
    </row>
    <row r="31" spans="1:5" ht="15.75" customHeight="1">
      <c r="A31" s="42">
        <v>46022</v>
      </c>
      <c r="B31" t="s">
        <v>63</v>
      </c>
      <c r="C31" t="s">
        <v>71</v>
      </c>
      <c r="D31" t="s">
        <v>1428</v>
      </c>
      <c r="E31" t="s">
        <v>1429</v>
      </c>
    </row>
    <row r="32" spans="1:5" ht="15.75" customHeight="1">
      <c r="A32" s="42">
        <v>46022</v>
      </c>
      <c r="B32" t="s">
        <v>63</v>
      </c>
      <c r="C32" t="s">
        <v>70</v>
      </c>
      <c r="D32" t="s">
        <v>1428</v>
      </c>
      <c r="E32" t="s">
        <v>1437</v>
      </c>
    </row>
    <row r="33" spans="1:5" ht="15.75" customHeight="1">
      <c r="A33" s="42">
        <v>46022</v>
      </c>
      <c r="B33" t="s">
        <v>63</v>
      </c>
      <c r="C33" t="s">
        <v>64</v>
      </c>
      <c r="D33" t="s">
        <v>1428</v>
      </c>
      <c r="E33" t="s">
        <v>1436</v>
      </c>
    </row>
    <row r="34" spans="1:5" ht="15.75" customHeight="1">
      <c r="A34" s="42">
        <v>46022</v>
      </c>
      <c r="B34" t="s">
        <v>63</v>
      </c>
      <c r="C34" t="s">
        <v>74</v>
      </c>
      <c r="D34" t="s">
        <v>1428</v>
      </c>
      <c r="E34" t="s">
        <v>1430</v>
      </c>
    </row>
    <row r="35" spans="1:5" ht="15.75" customHeight="1">
      <c r="A35" s="42">
        <v>46022</v>
      </c>
      <c r="B35" t="s">
        <v>63</v>
      </c>
      <c r="C35" t="s">
        <v>67</v>
      </c>
      <c r="D35" t="s">
        <v>1428</v>
      </c>
      <c r="E35" t="s">
        <v>1433</v>
      </c>
    </row>
    <row r="36" spans="1:5" ht="15.75" customHeight="1">
      <c r="A36" s="42">
        <v>46022</v>
      </c>
      <c r="B36" t="s">
        <v>63</v>
      </c>
      <c r="C36" t="s">
        <v>78</v>
      </c>
      <c r="D36" t="s">
        <v>1428</v>
      </c>
      <c r="E36" t="s">
        <v>1434</v>
      </c>
    </row>
    <row r="37" spans="1:5" ht="15.75" customHeight="1">
      <c r="A37" s="42">
        <v>46022</v>
      </c>
      <c r="B37" t="s">
        <v>63</v>
      </c>
      <c r="C37" t="s">
        <v>77</v>
      </c>
      <c r="D37" t="s">
        <v>1428</v>
      </c>
      <c r="E37" t="s">
        <v>1431</v>
      </c>
    </row>
    <row r="38" spans="1:5" ht="15.75" customHeight="1">
      <c r="A38" s="42">
        <v>46022</v>
      </c>
      <c r="B38" t="s">
        <v>63</v>
      </c>
      <c r="C38" t="s">
        <v>81</v>
      </c>
      <c r="D38" t="s">
        <v>1428</v>
      </c>
      <c r="E38" t="s">
        <v>1432</v>
      </c>
    </row>
    <row r="39" spans="1:5" ht="15.75" customHeight="1">
      <c r="A39" s="42">
        <v>46022</v>
      </c>
      <c r="B39" t="s">
        <v>63</v>
      </c>
      <c r="C39" t="s">
        <v>84</v>
      </c>
      <c r="D39" t="s">
        <v>1428</v>
      </c>
      <c r="E39" t="s">
        <v>1435</v>
      </c>
    </row>
    <row r="40" spans="1:5" ht="15.75" customHeight="1">
      <c r="A40" s="42">
        <v>46022</v>
      </c>
      <c r="B40" t="s">
        <v>63</v>
      </c>
      <c r="C40" t="s">
        <v>85</v>
      </c>
      <c r="D40" t="s">
        <v>1428</v>
      </c>
      <c r="E40" t="s">
        <v>1456</v>
      </c>
    </row>
    <row r="41" spans="1:5" ht="15.75" customHeight="1">
      <c r="A41" s="42">
        <v>46022</v>
      </c>
      <c r="B41" t="s">
        <v>63</v>
      </c>
      <c r="C41" t="s">
        <v>88</v>
      </c>
      <c r="D41" t="s">
        <v>1428</v>
      </c>
      <c r="E41" t="s">
        <v>1457</v>
      </c>
    </row>
    <row r="42" spans="1:5" ht="15.75" customHeight="1">
      <c r="A42" s="42">
        <v>46022</v>
      </c>
      <c r="B42" t="s">
        <v>63</v>
      </c>
      <c r="C42" t="s">
        <v>91</v>
      </c>
      <c r="D42" t="s">
        <v>1428</v>
      </c>
      <c r="E42" t="s">
        <v>1448</v>
      </c>
    </row>
    <row r="43" spans="1:5" ht="15.75" customHeight="1">
      <c r="A43" s="42">
        <v>46022</v>
      </c>
      <c r="B43" t="s">
        <v>63</v>
      </c>
      <c r="C43" t="s">
        <v>93</v>
      </c>
      <c r="D43" t="s">
        <v>1428</v>
      </c>
      <c r="E43" t="s">
        <v>1444</v>
      </c>
    </row>
    <row r="44" spans="1:5" ht="15.75" customHeight="1">
      <c r="A44" s="42">
        <v>46022</v>
      </c>
      <c r="B44" t="s">
        <v>63</v>
      </c>
      <c r="C44" t="s">
        <v>95</v>
      </c>
      <c r="D44" t="s">
        <v>1428</v>
      </c>
      <c r="E44" t="s">
        <v>1458</v>
      </c>
    </row>
    <row r="45" spans="1:5" ht="15.75" customHeight="1">
      <c r="A45" s="42">
        <v>46022</v>
      </c>
      <c r="B45" t="s">
        <v>63</v>
      </c>
      <c r="C45" t="s">
        <v>97</v>
      </c>
      <c r="D45" t="s">
        <v>1428</v>
      </c>
      <c r="E45" t="s">
        <v>1459</v>
      </c>
    </row>
    <row r="46" spans="1:5" ht="15.75" customHeight="1">
      <c r="A46" s="42">
        <v>46022</v>
      </c>
      <c r="B46" t="s">
        <v>63</v>
      </c>
      <c r="C46" t="s">
        <v>99</v>
      </c>
      <c r="D46" t="s">
        <v>1428</v>
      </c>
      <c r="E46" t="s">
        <v>1460</v>
      </c>
    </row>
    <row r="47" spans="1:5" ht="15.75" customHeight="1">
      <c r="A47" s="42">
        <v>46022</v>
      </c>
      <c r="B47" t="s">
        <v>63</v>
      </c>
      <c r="C47" t="s">
        <v>100</v>
      </c>
      <c r="D47" t="s">
        <v>1428</v>
      </c>
      <c r="E47" t="s">
        <v>1461</v>
      </c>
    </row>
    <row r="48" spans="1:5" ht="15.75" customHeight="1">
      <c r="A48" s="42">
        <v>46022</v>
      </c>
      <c r="B48" t="s">
        <v>63</v>
      </c>
      <c r="C48" t="s">
        <v>101</v>
      </c>
      <c r="D48" t="s">
        <v>1449</v>
      </c>
      <c r="E48" t="s">
        <v>1462</v>
      </c>
    </row>
    <row r="49" spans="1:5" ht="15.75" customHeight="1">
      <c r="A49" s="42">
        <v>46022</v>
      </c>
      <c r="B49" t="s">
        <v>63</v>
      </c>
      <c r="C49" t="s">
        <v>103</v>
      </c>
      <c r="D49" t="s">
        <v>1449</v>
      </c>
      <c r="E49" t="s">
        <v>1453</v>
      </c>
    </row>
    <row r="50" spans="1:5" ht="15.75" customHeight="1">
      <c r="A50" s="42">
        <v>46022</v>
      </c>
      <c r="B50" t="s">
        <v>63</v>
      </c>
      <c r="C50" t="s">
        <v>105</v>
      </c>
      <c r="D50" t="s">
        <v>1449</v>
      </c>
      <c r="E50" t="s">
        <v>1451</v>
      </c>
    </row>
    <row r="51" spans="1:5" ht="15.75" customHeight="1">
      <c r="A51" s="42">
        <v>46022</v>
      </c>
      <c r="B51" t="s">
        <v>63</v>
      </c>
      <c r="C51" t="s">
        <v>107</v>
      </c>
      <c r="D51" t="s">
        <v>1449</v>
      </c>
      <c r="E51" t="s">
        <v>1463</v>
      </c>
    </row>
    <row r="52" spans="1:5" ht="15.75" customHeight="1">
      <c r="A52" s="42">
        <v>46022</v>
      </c>
      <c r="B52" t="s">
        <v>63</v>
      </c>
      <c r="C52" t="s">
        <v>109</v>
      </c>
      <c r="D52" t="s">
        <v>1449</v>
      </c>
      <c r="E52" t="s">
        <v>1464</v>
      </c>
    </row>
    <row r="53" spans="1:5" ht="15.75" customHeight="1">
      <c r="A53" s="42">
        <v>46022</v>
      </c>
      <c r="B53" t="s">
        <v>63</v>
      </c>
      <c r="C53" t="s">
        <v>111</v>
      </c>
      <c r="D53" t="s">
        <v>1449</v>
      </c>
      <c r="E53" t="s">
        <v>1450</v>
      </c>
    </row>
    <row r="54" spans="1:5" ht="15.75" customHeight="1">
      <c r="A54" s="42">
        <v>46022</v>
      </c>
      <c r="B54" t="s">
        <v>63</v>
      </c>
      <c r="C54" t="s">
        <v>113</v>
      </c>
      <c r="D54" t="s">
        <v>1449</v>
      </c>
      <c r="E54" t="s">
        <v>1465</v>
      </c>
    </row>
    <row r="55" spans="1:5" ht="15.75" customHeight="1">
      <c r="A55" s="42">
        <v>46022</v>
      </c>
      <c r="B55" t="s">
        <v>115</v>
      </c>
      <c r="C55" t="s">
        <v>116</v>
      </c>
      <c r="D55" t="s">
        <v>1428</v>
      </c>
      <c r="E55" t="s">
        <v>1433</v>
      </c>
    </row>
    <row r="56" spans="1:5" ht="15.75" customHeight="1">
      <c r="A56" s="42">
        <v>46022</v>
      </c>
      <c r="B56" t="s">
        <v>115</v>
      </c>
      <c r="C56" t="s">
        <v>119</v>
      </c>
      <c r="D56" t="s">
        <v>1428</v>
      </c>
      <c r="E56" t="s">
        <v>1429</v>
      </c>
    </row>
    <row r="57" spans="1:5" ht="15.75" customHeight="1">
      <c r="A57" s="42">
        <v>46022</v>
      </c>
      <c r="B57" t="s">
        <v>115</v>
      </c>
      <c r="C57" t="s">
        <v>120</v>
      </c>
      <c r="D57" t="s">
        <v>1428</v>
      </c>
      <c r="E57" t="s">
        <v>1430</v>
      </c>
    </row>
    <row r="58" spans="1:5" ht="15.75" customHeight="1">
      <c r="A58" s="42">
        <v>46022</v>
      </c>
      <c r="B58" t="s">
        <v>115</v>
      </c>
      <c r="C58" t="s">
        <v>121</v>
      </c>
      <c r="D58" t="s">
        <v>1428</v>
      </c>
      <c r="E58" t="s">
        <v>1432</v>
      </c>
    </row>
    <row r="59" spans="1:5" ht="15.75" customHeight="1">
      <c r="A59" s="42">
        <v>46022</v>
      </c>
      <c r="B59" t="s">
        <v>115</v>
      </c>
      <c r="C59" t="s">
        <v>122</v>
      </c>
      <c r="D59" t="s">
        <v>1428</v>
      </c>
      <c r="E59" t="s">
        <v>1466</v>
      </c>
    </row>
    <row r="60" spans="1:5" ht="15.75" customHeight="1">
      <c r="A60" s="42">
        <v>46022</v>
      </c>
      <c r="B60" t="s">
        <v>115</v>
      </c>
      <c r="C60" t="s">
        <v>124</v>
      </c>
      <c r="D60" t="s">
        <v>1428</v>
      </c>
      <c r="E60" t="s">
        <v>1436</v>
      </c>
    </row>
    <row r="61" spans="1:5" ht="15.75" customHeight="1">
      <c r="A61" s="42">
        <v>46022</v>
      </c>
      <c r="B61" t="s">
        <v>115</v>
      </c>
      <c r="C61" t="s">
        <v>125</v>
      </c>
      <c r="D61" t="s">
        <v>1428</v>
      </c>
      <c r="E61" t="s">
        <v>1467</v>
      </c>
    </row>
    <row r="62" spans="1:5" ht="15.75" customHeight="1">
      <c r="A62" s="42">
        <v>46022</v>
      </c>
      <c r="B62" t="s">
        <v>115</v>
      </c>
      <c r="C62" t="s">
        <v>126</v>
      </c>
      <c r="D62" t="s">
        <v>1428</v>
      </c>
      <c r="E62" t="s">
        <v>1468</v>
      </c>
    </row>
    <row r="63" spans="1:5" ht="15.75" customHeight="1">
      <c r="A63" s="42">
        <v>46022</v>
      </c>
      <c r="B63" t="s">
        <v>115</v>
      </c>
      <c r="C63" t="s">
        <v>127</v>
      </c>
      <c r="D63" t="s">
        <v>1449</v>
      </c>
      <c r="E63" t="s">
        <v>1451</v>
      </c>
    </row>
    <row r="64" spans="1:5" ht="15.75" customHeight="1">
      <c r="A64" s="42">
        <v>46022</v>
      </c>
      <c r="B64" t="s">
        <v>115</v>
      </c>
      <c r="C64" t="s">
        <v>129</v>
      </c>
      <c r="D64" t="s">
        <v>1449</v>
      </c>
      <c r="E64" t="s">
        <v>1450</v>
      </c>
    </row>
    <row r="65" spans="1:5" ht="15.75" customHeight="1">
      <c r="A65" s="42">
        <v>46022</v>
      </c>
      <c r="B65" t="s">
        <v>115</v>
      </c>
      <c r="C65" t="s">
        <v>130</v>
      </c>
      <c r="D65" t="s">
        <v>1449</v>
      </c>
      <c r="E65" t="s">
        <v>1453</v>
      </c>
    </row>
    <row r="66" spans="1:5" ht="15.75" customHeight="1">
      <c r="A66" s="42">
        <v>46022</v>
      </c>
      <c r="B66" t="s">
        <v>115</v>
      </c>
      <c r="C66" t="s">
        <v>133</v>
      </c>
      <c r="D66" t="s">
        <v>1449</v>
      </c>
      <c r="E66" t="s">
        <v>1465</v>
      </c>
    </row>
    <row r="67" spans="1:5" ht="15.75" customHeight="1">
      <c r="A67" s="42">
        <v>46022</v>
      </c>
      <c r="B67" t="s">
        <v>115</v>
      </c>
      <c r="C67" t="s">
        <v>136</v>
      </c>
      <c r="D67" t="s">
        <v>1469</v>
      </c>
      <c r="E67" t="s">
        <v>1470</v>
      </c>
    </row>
    <row r="68" spans="1:5" ht="15.75" customHeight="1">
      <c r="A68" s="42">
        <v>46022</v>
      </c>
      <c r="B68" t="s">
        <v>137</v>
      </c>
      <c r="C68" t="s">
        <v>138</v>
      </c>
      <c r="D68" t="s">
        <v>1428</v>
      </c>
      <c r="E68" t="s">
        <v>1433</v>
      </c>
    </row>
    <row r="69" spans="1:5" ht="15.75" customHeight="1">
      <c r="A69" s="42">
        <v>46022</v>
      </c>
      <c r="B69" t="s">
        <v>137</v>
      </c>
      <c r="C69" t="s">
        <v>140</v>
      </c>
      <c r="D69" t="s">
        <v>1428</v>
      </c>
      <c r="E69" t="s">
        <v>1432</v>
      </c>
    </row>
    <row r="70" spans="1:5" ht="15.75" customHeight="1">
      <c r="A70" s="42">
        <v>46022</v>
      </c>
      <c r="B70" t="s">
        <v>137</v>
      </c>
      <c r="C70" t="s">
        <v>143</v>
      </c>
      <c r="D70" t="s">
        <v>1428</v>
      </c>
      <c r="E70" t="s">
        <v>1434</v>
      </c>
    </row>
    <row r="71" spans="1:5" ht="15.75" customHeight="1">
      <c r="A71" s="42">
        <v>46022</v>
      </c>
      <c r="B71" t="s">
        <v>137</v>
      </c>
      <c r="C71" t="s">
        <v>145</v>
      </c>
      <c r="D71" t="s">
        <v>1428</v>
      </c>
      <c r="E71" t="s">
        <v>1431</v>
      </c>
    </row>
    <row r="72" spans="1:5" ht="15.75" customHeight="1">
      <c r="A72" s="42">
        <v>46022</v>
      </c>
      <c r="B72" t="s">
        <v>137</v>
      </c>
      <c r="C72" t="s">
        <v>146</v>
      </c>
      <c r="D72" t="s">
        <v>1428</v>
      </c>
      <c r="E72" t="s">
        <v>1429</v>
      </c>
    </row>
    <row r="73" spans="1:5" ht="15.75" customHeight="1">
      <c r="A73" s="42">
        <v>46022</v>
      </c>
      <c r="B73" t="s">
        <v>137</v>
      </c>
      <c r="C73" t="s">
        <v>149</v>
      </c>
      <c r="D73" t="s">
        <v>1428</v>
      </c>
      <c r="E73" t="s">
        <v>1430</v>
      </c>
    </row>
    <row r="74" spans="1:5" ht="15.75" customHeight="1">
      <c r="A74" s="42">
        <v>46022</v>
      </c>
      <c r="B74" t="s">
        <v>137</v>
      </c>
      <c r="C74" t="s">
        <v>150</v>
      </c>
      <c r="D74" t="s">
        <v>1428</v>
      </c>
      <c r="E74" t="s">
        <v>1436</v>
      </c>
    </row>
    <row r="75" spans="1:5" ht="15.75" customHeight="1">
      <c r="A75" s="42">
        <v>46022</v>
      </c>
      <c r="B75" t="s">
        <v>137</v>
      </c>
      <c r="C75" t="s">
        <v>151</v>
      </c>
      <c r="D75" t="s">
        <v>1428</v>
      </c>
      <c r="E75" t="s">
        <v>1471</v>
      </c>
    </row>
    <row r="76" spans="1:5" ht="15.75" customHeight="1">
      <c r="A76" s="42">
        <v>46022</v>
      </c>
      <c r="B76" t="s">
        <v>137</v>
      </c>
      <c r="C76" t="s">
        <v>152</v>
      </c>
      <c r="D76" t="s">
        <v>1428</v>
      </c>
      <c r="E76" t="s">
        <v>1444</v>
      </c>
    </row>
    <row r="77" spans="1:5" ht="15.75" customHeight="1">
      <c r="A77" s="42">
        <v>46022</v>
      </c>
      <c r="B77" t="s">
        <v>137</v>
      </c>
      <c r="C77" t="s">
        <v>153</v>
      </c>
      <c r="D77" t="s">
        <v>1428</v>
      </c>
      <c r="E77" t="s">
        <v>1459</v>
      </c>
    </row>
    <row r="78" spans="1:5" ht="15.75" customHeight="1">
      <c r="A78" s="42">
        <v>46022</v>
      </c>
      <c r="B78" t="s">
        <v>137</v>
      </c>
      <c r="C78" t="s">
        <v>154</v>
      </c>
      <c r="D78" t="s">
        <v>1449</v>
      </c>
      <c r="E78" t="s">
        <v>1450</v>
      </c>
    </row>
    <row r="79" spans="1:5" ht="15.75" customHeight="1">
      <c r="A79" s="42">
        <v>46022</v>
      </c>
      <c r="B79" t="s">
        <v>137</v>
      </c>
      <c r="C79" t="s">
        <v>155</v>
      </c>
      <c r="D79" t="s">
        <v>1449</v>
      </c>
      <c r="E79" t="s">
        <v>1451</v>
      </c>
    </row>
    <row r="80" spans="1:5" ht="15.75" customHeight="1">
      <c r="A80" s="42">
        <v>46022</v>
      </c>
      <c r="B80" t="s">
        <v>137</v>
      </c>
      <c r="C80" t="s">
        <v>158</v>
      </c>
      <c r="D80" t="s">
        <v>1449</v>
      </c>
      <c r="E80" t="s">
        <v>1462</v>
      </c>
    </row>
    <row r="81" spans="1:5" ht="15.75" customHeight="1">
      <c r="A81" s="42">
        <v>46022</v>
      </c>
      <c r="B81" t="s">
        <v>137</v>
      </c>
      <c r="C81" t="s">
        <v>159</v>
      </c>
      <c r="D81" t="s">
        <v>1449</v>
      </c>
      <c r="E81" t="s">
        <v>1465</v>
      </c>
    </row>
    <row r="82" spans="1:5" ht="15.75" customHeight="1">
      <c r="A82" s="42">
        <v>46022</v>
      </c>
      <c r="B82" t="s">
        <v>162</v>
      </c>
      <c r="C82" t="s">
        <v>163</v>
      </c>
      <c r="D82" t="s">
        <v>1428</v>
      </c>
      <c r="E82" t="s">
        <v>1429</v>
      </c>
    </row>
    <row r="83" spans="1:5" ht="15.75" customHeight="1">
      <c r="A83" s="42">
        <v>46022</v>
      </c>
      <c r="B83" t="s">
        <v>162</v>
      </c>
      <c r="C83" t="s">
        <v>166</v>
      </c>
      <c r="D83" t="s">
        <v>1428</v>
      </c>
      <c r="E83" t="s">
        <v>1431</v>
      </c>
    </row>
    <row r="84" spans="1:5" ht="15.75" customHeight="1">
      <c r="A84" s="42">
        <v>46022</v>
      </c>
      <c r="B84" t="s">
        <v>162</v>
      </c>
      <c r="C84" t="s">
        <v>169</v>
      </c>
      <c r="D84" t="s">
        <v>1428</v>
      </c>
      <c r="E84" t="s">
        <v>1432</v>
      </c>
    </row>
    <row r="85" spans="1:5" ht="15.75" customHeight="1">
      <c r="A85" s="42">
        <v>46022</v>
      </c>
      <c r="B85" t="s">
        <v>162</v>
      </c>
      <c r="C85" t="s">
        <v>172</v>
      </c>
      <c r="D85" t="s">
        <v>1428</v>
      </c>
      <c r="E85" t="s">
        <v>1430</v>
      </c>
    </row>
    <row r="86" spans="1:5" ht="15.75" customHeight="1">
      <c r="A86" s="42">
        <v>46022</v>
      </c>
      <c r="B86" t="s">
        <v>162</v>
      </c>
      <c r="C86" t="s">
        <v>175</v>
      </c>
      <c r="D86" t="s">
        <v>1428</v>
      </c>
      <c r="E86" t="s">
        <v>1433</v>
      </c>
    </row>
    <row r="87" spans="1:5" ht="15.75" customHeight="1">
      <c r="A87" s="42">
        <v>46022</v>
      </c>
      <c r="B87" t="s">
        <v>162</v>
      </c>
      <c r="C87" t="s">
        <v>177</v>
      </c>
      <c r="D87" t="s">
        <v>1428</v>
      </c>
      <c r="E87" t="s">
        <v>1434</v>
      </c>
    </row>
    <row r="88" spans="1:5" ht="15.75" customHeight="1">
      <c r="A88" s="42">
        <v>46022</v>
      </c>
      <c r="B88" t="s">
        <v>162</v>
      </c>
      <c r="C88" t="s">
        <v>178</v>
      </c>
      <c r="D88" t="s">
        <v>1428</v>
      </c>
      <c r="E88" t="s">
        <v>1435</v>
      </c>
    </row>
    <row r="89" spans="1:5" ht="15.75" customHeight="1">
      <c r="A89" s="42">
        <v>46022</v>
      </c>
      <c r="B89" t="s">
        <v>162</v>
      </c>
      <c r="C89" t="s">
        <v>181</v>
      </c>
      <c r="D89" t="s">
        <v>1428</v>
      </c>
      <c r="E89" t="s">
        <v>1437</v>
      </c>
    </row>
    <row r="90" spans="1:5" ht="15.75" customHeight="1">
      <c r="A90" s="42">
        <v>46022</v>
      </c>
      <c r="B90" t="s">
        <v>162</v>
      </c>
      <c r="C90" t="s">
        <v>182</v>
      </c>
      <c r="D90" t="s">
        <v>1428</v>
      </c>
      <c r="E90" t="s">
        <v>1472</v>
      </c>
    </row>
    <row r="91" spans="1:5" ht="15.75" customHeight="1">
      <c r="A91" s="42">
        <v>46022</v>
      </c>
      <c r="B91" t="s">
        <v>162</v>
      </c>
      <c r="C91" t="s">
        <v>183</v>
      </c>
      <c r="D91" t="s">
        <v>1428</v>
      </c>
      <c r="E91" t="s">
        <v>1436</v>
      </c>
    </row>
    <row r="92" spans="1:5" ht="15.75" customHeight="1">
      <c r="A92" s="42">
        <v>46022</v>
      </c>
      <c r="B92" t="s">
        <v>162</v>
      </c>
      <c r="C92" t="s">
        <v>186</v>
      </c>
      <c r="D92" t="s">
        <v>1428</v>
      </c>
      <c r="E92" t="s">
        <v>1438</v>
      </c>
    </row>
    <row r="93" spans="1:5" ht="15.75" customHeight="1">
      <c r="A93" s="42">
        <v>46022</v>
      </c>
      <c r="B93" t="s">
        <v>162</v>
      </c>
      <c r="C93" t="s">
        <v>189</v>
      </c>
      <c r="D93" t="s">
        <v>1428</v>
      </c>
      <c r="E93" t="s">
        <v>1458</v>
      </c>
    </row>
    <row r="94" spans="1:5" ht="15.75" customHeight="1">
      <c r="A94" s="42">
        <v>46022</v>
      </c>
      <c r="B94" t="s">
        <v>162</v>
      </c>
      <c r="C94" t="s">
        <v>191</v>
      </c>
      <c r="D94" t="s">
        <v>1428</v>
      </c>
      <c r="E94" t="s">
        <v>1473</v>
      </c>
    </row>
    <row r="95" spans="1:5" ht="15.75" customHeight="1">
      <c r="A95" s="42">
        <v>46022</v>
      </c>
      <c r="B95" t="s">
        <v>162</v>
      </c>
      <c r="C95" t="s">
        <v>194</v>
      </c>
      <c r="D95" t="s">
        <v>1428</v>
      </c>
      <c r="E95" t="s">
        <v>1466</v>
      </c>
    </row>
    <row r="96" spans="1:5" ht="15.75" customHeight="1">
      <c r="A96" s="42">
        <v>46022</v>
      </c>
      <c r="B96" t="s">
        <v>162</v>
      </c>
      <c r="C96" t="s">
        <v>196</v>
      </c>
      <c r="D96" t="s">
        <v>1428</v>
      </c>
      <c r="E96" t="s">
        <v>1474</v>
      </c>
    </row>
    <row r="97" spans="1:5" ht="15.75" customHeight="1">
      <c r="A97" s="42">
        <v>46022</v>
      </c>
      <c r="B97" t="s">
        <v>162</v>
      </c>
      <c r="C97" t="s">
        <v>197</v>
      </c>
      <c r="D97" t="s">
        <v>1428</v>
      </c>
      <c r="E97" t="s">
        <v>1468</v>
      </c>
    </row>
    <row r="98" spans="1:5" ht="15.75" customHeight="1">
      <c r="A98" s="42">
        <v>46022</v>
      </c>
      <c r="B98" t="s">
        <v>162</v>
      </c>
      <c r="C98" t="s">
        <v>199</v>
      </c>
      <c r="D98" t="s">
        <v>1428</v>
      </c>
      <c r="E98" t="s">
        <v>1475</v>
      </c>
    </row>
    <row r="99" spans="1:5" ht="15.75" customHeight="1">
      <c r="A99" s="42">
        <v>46022</v>
      </c>
      <c r="B99" t="s">
        <v>162</v>
      </c>
      <c r="C99" t="s">
        <v>200</v>
      </c>
      <c r="D99" t="s">
        <v>1428</v>
      </c>
      <c r="E99" t="s">
        <v>1476</v>
      </c>
    </row>
    <row r="100" spans="1:5" ht="15.75" customHeight="1">
      <c r="A100" s="42">
        <v>46022</v>
      </c>
      <c r="B100" t="s">
        <v>162</v>
      </c>
      <c r="C100" t="s">
        <v>201</v>
      </c>
      <c r="D100" t="s">
        <v>1449</v>
      </c>
      <c r="E100" t="s">
        <v>1462</v>
      </c>
    </row>
    <row r="101" spans="1:5" ht="15.75" customHeight="1">
      <c r="A101" s="42">
        <v>46022</v>
      </c>
      <c r="B101" t="s">
        <v>162</v>
      </c>
      <c r="C101" t="s">
        <v>204</v>
      </c>
      <c r="D101" t="s">
        <v>1449</v>
      </c>
      <c r="E101" t="s">
        <v>1463</v>
      </c>
    </row>
    <row r="102" spans="1:5" ht="15.75" customHeight="1">
      <c r="A102" s="42">
        <v>46022</v>
      </c>
      <c r="B102" t="s">
        <v>162</v>
      </c>
      <c r="C102" t="s">
        <v>207</v>
      </c>
      <c r="D102" t="s">
        <v>1449</v>
      </c>
      <c r="E102" t="s">
        <v>1465</v>
      </c>
    </row>
    <row r="103" spans="1:5" ht="15.75" customHeight="1">
      <c r="A103" s="42">
        <v>46022</v>
      </c>
      <c r="B103" t="s">
        <v>162</v>
      </c>
      <c r="C103" t="s">
        <v>210</v>
      </c>
      <c r="D103" t="s">
        <v>1449</v>
      </c>
      <c r="E103" t="s">
        <v>1450</v>
      </c>
    </row>
    <row r="104" spans="1:5" ht="15.75" customHeight="1">
      <c r="A104" s="42">
        <v>46022</v>
      </c>
      <c r="B104" t="s">
        <v>162</v>
      </c>
      <c r="C104" t="s">
        <v>213</v>
      </c>
      <c r="D104" t="s">
        <v>1449</v>
      </c>
      <c r="E104" t="s">
        <v>1453</v>
      </c>
    </row>
    <row r="105" spans="1:5" ht="15.75" customHeight="1">
      <c r="A105" s="42">
        <v>46022</v>
      </c>
      <c r="B105" t="s">
        <v>162</v>
      </c>
      <c r="C105" t="s">
        <v>216</v>
      </c>
      <c r="D105" t="s">
        <v>1449</v>
      </c>
      <c r="E105" t="s">
        <v>1477</v>
      </c>
    </row>
    <row r="106" spans="1:5" ht="15.75" customHeight="1">
      <c r="A106" s="42">
        <v>46022</v>
      </c>
      <c r="B106" t="s">
        <v>217</v>
      </c>
      <c r="C106" t="s">
        <v>227</v>
      </c>
      <c r="D106" t="s">
        <v>1428</v>
      </c>
      <c r="E106" t="s">
        <v>1429</v>
      </c>
    </row>
    <row r="107" spans="1:5" ht="15.75" customHeight="1">
      <c r="A107" s="42">
        <v>46022</v>
      </c>
      <c r="B107" t="s">
        <v>217</v>
      </c>
      <c r="C107" t="s">
        <v>228</v>
      </c>
      <c r="D107" t="s">
        <v>1428</v>
      </c>
      <c r="E107" t="s">
        <v>1430</v>
      </c>
    </row>
    <row r="108" spans="1:5" ht="15.75" customHeight="1">
      <c r="A108" s="42">
        <v>46022</v>
      </c>
      <c r="B108" t="s">
        <v>217</v>
      </c>
      <c r="C108" t="s">
        <v>229</v>
      </c>
      <c r="D108" t="s">
        <v>1428</v>
      </c>
      <c r="E108" t="s">
        <v>1431</v>
      </c>
    </row>
    <row r="109" spans="1:5" ht="15.75" customHeight="1">
      <c r="A109" s="42">
        <v>46022</v>
      </c>
      <c r="B109" t="s">
        <v>217</v>
      </c>
      <c r="C109" t="s">
        <v>232</v>
      </c>
      <c r="D109" t="s">
        <v>1428</v>
      </c>
      <c r="E109" t="s">
        <v>1432</v>
      </c>
    </row>
    <row r="110" spans="1:5" ht="15.75" customHeight="1">
      <c r="A110" s="42">
        <v>46022</v>
      </c>
      <c r="B110" t="s">
        <v>217</v>
      </c>
      <c r="C110" t="s">
        <v>221</v>
      </c>
      <c r="D110" t="s">
        <v>1428</v>
      </c>
      <c r="E110" t="s">
        <v>1433</v>
      </c>
    </row>
    <row r="111" spans="1:5" ht="15.75" customHeight="1">
      <c r="A111" s="42">
        <v>46022</v>
      </c>
      <c r="B111" t="s">
        <v>217</v>
      </c>
      <c r="C111" t="s">
        <v>230</v>
      </c>
      <c r="D111" t="s">
        <v>1428</v>
      </c>
      <c r="E111" t="s">
        <v>1434</v>
      </c>
    </row>
    <row r="112" spans="1:5" ht="15.75" customHeight="1">
      <c r="A112" s="42">
        <v>46022</v>
      </c>
      <c r="B112" t="s">
        <v>217</v>
      </c>
      <c r="C112" t="s">
        <v>235</v>
      </c>
      <c r="D112" t="s">
        <v>1428</v>
      </c>
      <c r="E112" t="s">
        <v>1435</v>
      </c>
    </row>
    <row r="113" spans="1:5" ht="15.75" customHeight="1">
      <c r="A113" s="42">
        <v>46022</v>
      </c>
      <c r="B113" t="s">
        <v>217</v>
      </c>
      <c r="C113" t="s">
        <v>218</v>
      </c>
      <c r="D113" t="s">
        <v>1428</v>
      </c>
      <c r="E113" t="s">
        <v>1436</v>
      </c>
    </row>
    <row r="114" spans="1:5" ht="15.75" customHeight="1">
      <c r="A114" s="42">
        <v>46022</v>
      </c>
      <c r="B114" t="s">
        <v>217</v>
      </c>
      <c r="C114" t="s">
        <v>224</v>
      </c>
      <c r="D114" t="s">
        <v>1428</v>
      </c>
      <c r="E114" t="s">
        <v>1437</v>
      </c>
    </row>
    <row r="115" spans="1:5" ht="15.75" customHeight="1">
      <c r="A115" s="42">
        <v>46022</v>
      </c>
      <c r="B115" t="s">
        <v>217</v>
      </c>
      <c r="C115" t="s">
        <v>238</v>
      </c>
      <c r="D115" t="s">
        <v>1428</v>
      </c>
      <c r="E115" t="s">
        <v>1478</v>
      </c>
    </row>
    <row r="116" spans="1:5" ht="15.75" customHeight="1">
      <c r="A116" s="42">
        <v>46022</v>
      </c>
      <c r="B116" t="s">
        <v>217</v>
      </c>
      <c r="C116" t="s">
        <v>239</v>
      </c>
      <c r="D116" t="s">
        <v>1428</v>
      </c>
      <c r="E116" t="s">
        <v>1479</v>
      </c>
    </row>
    <row r="117" spans="1:5" ht="15.75" customHeight="1">
      <c r="A117" s="42">
        <v>46022</v>
      </c>
      <c r="B117" t="s">
        <v>217</v>
      </c>
      <c r="C117" t="s">
        <v>240</v>
      </c>
      <c r="D117" t="s">
        <v>1428</v>
      </c>
      <c r="E117" t="s">
        <v>1466</v>
      </c>
    </row>
    <row r="118" spans="1:5" ht="15.75" customHeight="1">
      <c r="A118" s="42">
        <v>46022</v>
      </c>
      <c r="B118" t="s">
        <v>217</v>
      </c>
      <c r="C118" t="s">
        <v>243</v>
      </c>
      <c r="D118" t="s">
        <v>1449</v>
      </c>
      <c r="E118" t="s">
        <v>1450</v>
      </c>
    </row>
    <row r="119" spans="1:5" ht="15.75" customHeight="1">
      <c r="A119" s="42">
        <v>46022</v>
      </c>
      <c r="B119" t="s">
        <v>217</v>
      </c>
      <c r="C119" t="s">
        <v>246</v>
      </c>
      <c r="D119" t="s">
        <v>1449</v>
      </c>
      <c r="E119" t="s">
        <v>1462</v>
      </c>
    </row>
    <row r="120" spans="1:5" ht="15.75" customHeight="1">
      <c r="A120" s="42">
        <v>46022</v>
      </c>
      <c r="B120" t="s">
        <v>217</v>
      </c>
      <c r="C120" t="s">
        <v>249</v>
      </c>
      <c r="D120" t="s">
        <v>1449</v>
      </c>
      <c r="E120" t="s">
        <v>1453</v>
      </c>
    </row>
    <row r="121" spans="1:5" ht="15.75" customHeight="1">
      <c r="A121" s="42">
        <v>46022</v>
      </c>
      <c r="B121" t="s">
        <v>252</v>
      </c>
      <c r="C121" t="s">
        <v>258</v>
      </c>
      <c r="D121" t="s">
        <v>1428</v>
      </c>
      <c r="E121" t="s">
        <v>1429</v>
      </c>
    </row>
    <row r="122" spans="1:5" ht="15.75" customHeight="1">
      <c r="A122" s="42">
        <v>46022</v>
      </c>
      <c r="B122" t="s">
        <v>252</v>
      </c>
      <c r="C122" t="s">
        <v>260</v>
      </c>
      <c r="D122" t="s">
        <v>1428</v>
      </c>
      <c r="E122" t="s">
        <v>1430</v>
      </c>
    </row>
    <row r="123" spans="1:5" ht="15.75" customHeight="1">
      <c r="A123" s="42">
        <v>46022</v>
      </c>
      <c r="B123" t="s">
        <v>252</v>
      </c>
      <c r="C123" t="s">
        <v>263</v>
      </c>
      <c r="D123" t="s">
        <v>1428</v>
      </c>
      <c r="E123" t="s">
        <v>1431</v>
      </c>
    </row>
    <row r="124" spans="1:5" ht="15.75" customHeight="1">
      <c r="A124" s="42">
        <v>46022</v>
      </c>
      <c r="B124" t="s">
        <v>252</v>
      </c>
      <c r="C124" t="s">
        <v>268</v>
      </c>
      <c r="D124" t="s">
        <v>1428</v>
      </c>
      <c r="E124" t="s">
        <v>1432</v>
      </c>
    </row>
    <row r="125" spans="1:5" ht="15.75" customHeight="1">
      <c r="A125" s="42">
        <v>46022</v>
      </c>
      <c r="B125" t="s">
        <v>252</v>
      </c>
      <c r="C125" t="s">
        <v>255</v>
      </c>
      <c r="D125" t="s">
        <v>1428</v>
      </c>
      <c r="E125" t="s">
        <v>1433</v>
      </c>
    </row>
    <row r="126" spans="1:5" ht="15.75" customHeight="1">
      <c r="A126" s="42">
        <v>46022</v>
      </c>
      <c r="B126" t="s">
        <v>252</v>
      </c>
      <c r="C126" t="s">
        <v>266</v>
      </c>
      <c r="D126" t="s">
        <v>1428</v>
      </c>
      <c r="E126" t="s">
        <v>1434</v>
      </c>
    </row>
    <row r="127" spans="1:5" ht="15.75" customHeight="1">
      <c r="A127" s="42">
        <v>46022</v>
      </c>
      <c r="B127" t="s">
        <v>252</v>
      </c>
      <c r="C127" t="s">
        <v>270</v>
      </c>
      <c r="D127" t="s">
        <v>1428</v>
      </c>
      <c r="E127" t="s">
        <v>1435</v>
      </c>
    </row>
    <row r="128" spans="1:5" ht="15.75" customHeight="1">
      <c r="A128" s="42">
        <v>46022</v>
      </c>
      <c r="B128" t="s">
        <v>252</v>
      </c>
      <c r="C128" t="s">
        <v>257</v>
      </c>
      <c r="D128" t="s">
        <v>1428</v>
      </c>
      <c r="E128" t="s">
        <v>1437</v>
      </c>
    </row>
    <row r="129" spans="1:5" ht="15.75" customHeight="1">
      <c r="A129" s="42">
        <v>46022</v>
      </c>
      <c r="B129" t="s">
        <v>252</v>
      </c>
      <c r="C129" t="s">
        <v>253</v>
      </c>
      <c r="D129" t="s">
        <v>1428</v>
      </c>
      <c r="E129" t="s">
        <v>1436</v>
      </c>
    </row>
    <row r="130" spans="1:5" ht="15.75" customHeight="1">
      <c r="A130" s="42">
        <v>46022</v>
      </c>
      <c r="B130" t="s">
        <v>252</v>
      </c>
      <c r="C130" t="s">
        <v>273</v>
      </c>
      <c r="D130" t="s">
        <v>1428</v>
      </c>
      <c r="E130" t="s">
        <v>1480</v>
      </c>
    </row>
    <row r="131" spans="1:5" ht="15.75" customHeight="1">
      <c r="A131" s="42">
        <v>46022</v>
      </c>
      <c r="B131" t="s">
        <v>252</v>
      </c>
      <c r="C131" t="s">
        <v>274</v>
      </c>
      <c r="D131" t="s">
        <v>1428</v>
      </c>
      <c r="E131" t="s">
        <v>1438</v>
      </c>
    </row>
    <row r="132" spans="1:5" ht="15.75" customHeight="1">
      <c r="A132" s="42">
        <v>46022</v>
      </c>
      <c r="B132" t="s">
        <v>252</v>
      </c>
      <c r="C132" t="s">
        <v>276</v>
      </c>
      <c r="D132" t="s">
        <v>1428</v>
      </c>
      <c r="E132" t="s">
        <v>1444</v>
      </c>
    </row>
    <row r="133" spans="1:5" ht="15.75" customHeight="1">
      <c r="A133" s="42">
        <v>46022</v>
      </c>
      <c r="B133" t="s">
        <v>252</v>
      </c>
      <c r="C133" t="s">
        <v>277</v>
      </c>
      <c r="D133" t="s">
        <v>1428</v>
      </c>
      <c r="E133" t="s">
        <v>1478</v>
      </c>
    </row>
    <row r="134" spans="1:5" ht="15.75" customHeight="1">
      <c r="A134" s="42">
        <v>46022</v>
      </c>
      <c r="B134" t="s">
        <v>252</v>
      </c>
      <c r="C134" t="s">
        <v>278</v>
      </c>
      <c r="D134" t="s">
        <v>1428</v>
      </c>
      <c r="E134" t="s">
        <v>1481</v>
      </c>
    </row>
    <row r="135" spans="1:5" ht="15.75" customHeight="1">
      <c r="A135" s="42">
        <v>46022</v>
      </c>
      <c r="B135" t="s">
        <v>252</v>
      </c>
      <c r="C135" t="s">
        <v>279</v>
      </c>
      <c r="D135" t="s">
        <v>1449</v>
      </c>
      <c r="E135" t="s">
        <v>1463</v>
      </c>
    </row>
    <row r="136" spans="1:5" ht="15.75" customHeight="1">
      <c r="A136" s="42">
        <v>46022</v>
      </c>
      <c r="B136" t="s">
        <v>252</v>
      </c>
      <c r="C136" t="s">
        <v>282</v>
      </c>
      <c r="D136" t="s">
        <v>1449</v>
      </c>
      <c r="E136" t="s">
        <v>1482</v>
      </c>
    </row>
    <row r="137" spans="1:5" ht="15.75" customHeight="1">
      <c r="A137" s="42">
        <v>46022</v>
      </c>
      <c r="B137" t="s">
        <v>252</v>
      </c>
      <c r="C137" t="s">
        <v>285</v>
      </c>
      <c r="D137" t="s">
        <v>1449</v>
      </c>
      <c r="E137" t="s">
        <v>1451</v>
      </c>
    </row>
    <row r="138" spans="1:5" ht="15.75" customHeight="1">
      <c r="A138" s="42">
        <v>46022</v>
      </c>
      <c r="B138" t="s">
        <v>252</v>
      </c>
      <c r="C138" t="s">
        <v>288</v>
      </c>
      <c r="D138" t="s">
        <v>1428</v>
      </c>
      <c r="E138" t="s">
        <v>1453</v>
      </c>
    </row>
    <row r="139" spans="1:5" ht="15.75" customHeight="1">
      <c r="A139" s="42">
        <v>46022</v>
      </c>
      <c r="B139" t="s">
        <v>252</v>
      </c>
      <c r="C139" t="s">
        <v>291</v>
      </c>
      <c r="D139" t="s">
        <v>1428</v>
      </c>
      <c r="E139" t="s">
        <v>1465</v>
      </c>
    </row>
    <row r="140" spans="1:5" ht="15.75" customHeight="1">
      <c r="A140" s="42">
        <v>46022</v>
      </c>
      <c r="B140" t="s">
        <v>296</v>
      </c>
      <c r="C140" t="s">
        <v>304</v>
      </c>
      <c r="D140" t="s">
        <v>1428</v>
      </c>
      <c r="E140" t="s">
        <v>1429</v>
      </c>
    </row>
    <row r="141" spans="1:5" ht="15.75" customHeight="1">
      <c r="A141" s="42">
        <v>46022</v>
      </c>
      <c r="B141" t="s">
        <v>296</v>
      </c>
      <c r="C141" t="s">
        <v>307</v>
      </c>
      <c r="D141" t="s">
        <v>1428</v>
      </c>
      <c r="E141" t="s">
        <v>1430</v>
      </c>
    </row>
    <row r="142" spans="1:5" ht="15.75" customHeight="1">
      <c r="A142" s="42">
        <v>46022</v>
      </c>
      <c r="B142" t="s">
        <v>296</v>
      </c>
      <c r="C142" t="s">
        <v>310</v>
      </c>
      <c r="D142" t="s">
        <v>1428</v>
      </c>
      <c r="E142" t="s">
        <v>1431</v>
      </c>
    </row>
    <row r="143" spans="1:5" ht="15.75" customHeight="1">
      <c r="A143" s="42">
        <v>46022</v>
      </c>
      <c r="B143" t="s">
        <v>296</v>
      </c>
      <c r="C143" t="s">
        <v>315</v>
      </c>
      <c r="D143" t="s">
        <v>1428</v>
      </c>
      <c r="E143" t="s">
        <v>1432</v>
      </c>
    </row>
    <row r="144" spans="1:5" ht="15.75" customHeight="1">
      <c r="A144" s="42">
        <v>46022</v>
      </c>
      <c r="B144" t="s">
        <v>296</v>
      </c>
      <c r="C144" t="s">
        <v>300</v>
      </c>
      <c r="D144" t="s">
        <v>1428</v>
      </c>
      <c r="E144" t="s">
        <v>1433</v>
      </c>
    </row>
    <row r="145" spans="1:5" ht="15.75" customHeight="1">
      <c r="A145" s="42">
        <v>46022</v>
      </c>
      <c r="B145" t="s">
        <v>296</v>
      </c>
      <c r="C145" t="s">
        <v>313</v>
      </c>
      <c r="D145" t="s">
        <v>1428</v>
      </c>
      <c r="E145" t="s">
        <v>1434</v>
      </c>
    </row>
    <row r="146" spans="1:5" ht="15.75" customHeight="1">
      <c r="A146" s="42">
        <v>46022</v>
      </c>
      <c r="B146" t="s">
        <v>296</v>
      </c>
      <c r="C146" t="s">
        <v>297</v>
      </c>
      <c r="D146" t="s">
        <v>1428</v>
      </c>
      <c r="E146" t="s">
        <v>1436</v>
      </c>
    </row>
    <row r="147" spans="1:5" ht="15.75" customHeight="1">
      <c r="A147" s="42">
        <v>46022</v>
      </c>
      <c r="B147" t="s">
        <v>296</v>
      </c>
      <c r="C147" t="s">
        <v>301</v>
      </c>
      <c r="D147" t="s">
        <v>1428</v>
      </c>
      <c r="E147" t="s">
        <v>1437</v>
      </c>
    </row>
    <row r="148" spans="1:5" ht="15.75" customHeight="1">
      <c r="A148" s="42">
        <v>46022</v>
      </c>
      <c r="B148" t="s">
        <v>296</v>
      </c>
      <c r="C148" t="s">
        <v>316</v>
      </c>
      <c r="D148" t="s">
        <v>1428</v>
      </c>
      <c r="E148" t="s">
        <v>1476</v>
      </c>
    </row>
    <row r="149" spans="1:5" ht="15.75" customHeight="1">
      <c r="A149" s="42">
        <v>46022</v>
      </c>
      <c r="B149" t="s">
        <v>296</v>
      </c>
      <c r="C149" t="s">
        <v>319</v>
      </c>
      <c r="D149" t="s">
        <v>1428</v>
      </c>
      <c r="E149" t="s">
        <v>1466</v>
      </c>
    </row>
    <row r="150" spans="1:5" ht="15.75" customHeight="1">
      <c r="A150" s="42">
        <v>46022</v>
      </c>
      <c r="B150" t="s">
        <v>296</v>
      </c>
      <c r="C150" t="s">
        <v>322</v>
      </c>
      <c r="D150" t="s">
        <v>1428</v>
      </c>
      <c r="E150" t="s">
        <v>1483</v>
      </c>
    </row>
    <row r="151" spans="1:5" ht="15.75" customHeight="1">
      <c r="A151" s="42">
        <v>46022</v>
      </c>
      <c r="B151" t="s">
        <v>296</v>
      </c>
      <c r="C151" t="s">
        <v>323</v>
      </c>
      <c r="D151" t="s">
        <v>1428</v>
      </c>
      <c r="E151" t="s">
        <v>1484</v>
      </c>
    </row>
    <row r="152" spans="1:5" ht="15.75" customHeight="1">
      <c r="A152" s="42">
        <v>46022</v>
      </c>
      <c r="B152" t="s">
        <v>296</v>
      </c>
      <c r="C152" t="s">
        <v>324</v>
      </c>
      <c r="D152" t="s">
        <v>1449</v>
      </c>
      <c r="E152" t="s">
        <v>1463</v>
      </c>
    </row>
    <row r="153" spans="1:5" ht="15.75" customHeight="1">
      <c r="A153" s="42">
        <v>46022</v>
      </c>
      <c r="B153" t="s">
        <v>296</v>
      </c>
      <c r="C153" t="s">
        <v>327</v>
      </c>
      <c r="D153" t="s">
        <v>1449</v>
      </c>
      <c r="E153" t="s">
        <v>1450</v>
      </c>
    </row>
    <row r="154" spans="1:5" ht="15.75" customHeight="1">
      <c r="A154" s="42">
        <v>46022</v>
      </c>
      <c r="B154" t="s">
        <v>296</v>
      </c>
      <c r="C154" t="s">
        <v>328</v>
      </c>
      <c r="D154" t="s">
        <v>1449</v>
      </c>
      <c r="E154" t="s">
        <v>1465</v>
      </c>
    </row>
    <row r="155" spans="1:5" ht="15.75" customHeight="1">
      <c r="A155" s="42">
        <v>46022</v>
      </c>
      <c r="B155" t="s">
        <v>296</v>
      </c>
      <c r="C155" t="s">
        <v>331</v>
      </c>
      <c r="D155" t="s">
        <v>1449</v>
      </c>
      <c r="E155" t="s">
        <v>1453</v>
      </c>
    </row>
    <row r="156" spans="1:5" ht="15.75" customHeight="1">
      <c r="A156" s="42">
        <v>46022</v>
      </c>
      <c r="B156" t="s">
        <v>296</v>
      </c>
      <c r="C156" t="s">
        <v>332</v>
      </c>
      <c r="D156" t="s">
        <v>1449</v>
      </c>
      <c r="E156" t="s">
        <v>1451</v>
      </c>
    </row>
    <row r="157" spans="1:5" ht="15.75" customHeight="1">
      <c r="A157" s="42">
        <v>46022</v>
      </c>
      <c r="B157" t="s">
        <v>333</v>
      </c>
      <c r="C157" t="s">
        <v>334</v>
      </c>
      <c r="D157" t="s">
        <v>1428</v>
      </c>
      <c r="E157" t="s">
        <v>1435</v>
      </c>
    </row>
    <row r="158" spans="1:5" ht="15.75" customHeight="1">
      <c r="A158" s="42">
        <v>46022</v>
      </c>
      <c r="B158" t="s">
        <v>333</v>
      </c>
      <c r="C158" t="s">
        <v>337</v>
      </c>
      <c r="D158" t="s">
        <v>1428</v>
      </c>
      <c r="E158" t="s">
        <v>1433</v>
      </c>
    </row>
    <row r="159" spans="1:5" ht="15.75" customHeight="1">
      <c r="A159" s="42">
        <v>46022</v>
      </c>
      <c r="B159" t="s">
        <v>333</v>
      </c>
      <c r="C159" t="s">
        <v>340</v>
      </c>
      <c r="D159" t="s">
        <v>1428</v>
      </c>
      <c r="E159" t="s">
        <v>1429</v>
      </c>
    </row>
    <row r="160" spans="1:5" ht="15.75" customHeight="1">
      <c r="A160" s="42">
        <v>46022</v>
      </c>
      <c r="B160" t="s">
        <v>333</v>
      </c>
      <c r="C160" t="s">
        <v>343</v>
      </c>
      <c r="D160" t="s">
        <v>1428</v>
      </c>
      <c r="E160" t="s">
        <v>1430</v>
      </c>
    </row>
    <row r="161" spans="1:5" ht="15.75" customHeight="1">
      <c r="A161" s="42">
        <v>46022</v>
      </c>
      <c r="B161" t="s">
        <v>333</v>
      </c>
      <c r="C161" t="s">
        <v>345</v>
      </c>
      <c r="D161" t="s">
        <v>1428</v>
      </c>
      <c r="E161" t="s">
        <v>1431</v>
      </c>
    </row>
    <row r="162" spans="1:5" ht="15.75" customHeight="1">
      <c r="A162" s="42">
        <v>46022</v>
      </c>
      <c r="B162" t="s">
        <v>333</v>
      </c>
      <c r="C162" t="s">
        <v>348</v>
      </c>
      <c r="D162" t="s">
        <v>1428</v>
      </c>
      <c r="E162" t="s">
        <v>1432</v>
      </c>
    </row>
    <row r="163" spans="1:5" ht="15.75" customHeight="1">
      <c r="A163" s="42">
        <v>46022</v>
      </c>
      <c r="B163" t="s">
        <v>333</v>
      </c>
      <c r="C163" t="s">
        <v>349</v>
      </c>
      <c r="D163" t="s">
        <v>1428</v>
      </c>
      <c r="E163" t="s">
        <v>1434</v>
      </c>
    </row>
    <row r="164" spans="1:5" ht="15.75" customHeight="1">
      <c r="A164" s="42">
        <v>46022</v>
      </c>
      <c r="B164" t="s">
        <v>333</v>
      </c>
      <c r="C164" t="s">
        <v>352</v>
      </c>
      <c r="D164" t="s">
        <v>1428</v>
      </c>
      <c r="E164" t="s">
        <v>1437</v>
      </c>
    </row>
    <row r="165" spans="1:5" ht="15.75" customHeight="1">
      <c r="A165" s="42">
        <v>46022</v>
      </c>
      <c r="B165" t="s">
        <v>333</v>
      </c>
      <c r="C165" t="s">
        <v>355</v>
      </c>
      <c r="D165" t="s">
        <v>1428</v>
      </c>
      <c r="E165" t="s">
        <v>1436</v>
      </c>
    </row>
    <row r="166" spans="1:5" ht="15.75" customHeight="1">
      <c r="A166" s="42">
        <v>46022</v>
      </c>
      <c r="B166" t="s">
        <v>333</v>
      </c>
      <c r="C166" t="s">
        <v>357</v>
      </c>
      <c r="D166" t="s">
        <v>1428</v>
      </c>
      <c r="E166" t="s">
        <v>1485</v>
      </c>
    </row>
    <row r="167" spans="1:5" ht="15.75" customHeight="1">
      <c r="A167" s="42">
        <v>46022</v>
      </c>
      <c r="B167" t="s">
        <v>333</v>
      </c>
      <c r="C167" t="s">
        <v>359</v>
      </c>
      <c r="D167" t="s">
        <v>1428</v>
      </c>
      <c r="E167" t="s">
        <v>1486</v>
      </c>
    </row>
    <row r="168" spans="1:5" ht="15.75" customHeight="1">
      <c r="A168" s="42">
        <v>46022</v>
      </c>
      <c r="B168" t="s">
        <v>333</v>
      </c>
      <c r="C168" t="s">
        <v>362</v>
      </c>
      <c r="D168" t="s">
        <v>1428</v>
      </c>
      <c r="E168" t="s">
        <v>1487</v>
      </c>
    </row>
    <row r="169" spans="1:5" ht="15.75" customHeight="1">
      <c r="A169" s="42">
        <v>46022</v>
      </c>
      <c r="B169" t="s">
        <v>333</v>
      </c>
      <c r="C169" t="s">
        <v>365</v>
      </c>
      <c r="D169" t="s">
        <v>1449</v>
      </c>
      <c r="E169" t="s">
        <v>1463</v>
      </c>
    </row>
    <row r="170" spans="1:5" ht="15.75" customHeight="1">
      <c r="A170" s="42">
        <v>46022</v>
      </c>
      <c r="B170" t="s">
        <v>333</v>
      </c>
      <c r="C170" t="s">
        <v>368</v>
      </c>
      <c r="D170" t="s">
        <v>1449</v>
      </c>
      <c r="E170" t="s">
        <v>1450</v>
      </c>
    </row>
    <row r="171" spans="1:5" ht="15.75" customHeight="1">
      <c r="A171" s="42">
        <v>46022</v>
      </c>
      <c r="B171" t="s">
        <v>333</v>
      </c>
      <c r="C171" t="s">
        <v>371</v>
      </c>
      <c r="D171" t="s">
        <v>1449</v>
      </c>
      <c r="E171" t="s">
        <v>1453</v>
      </c>
    </row>
    <row r="172" spans="1:5" ht="15.75" customHeight="1">
      <c r="A172" s="42">
        <v>46022</v>
      </c>
      <c r="B172" t="s">
        <v>333</v>
      </c>
      <c r="C172" t="s">
        <v>373</v>
      </c>
      <c r="D172" t="s">
        <v>1449</v>
      </c>
      <c r="E172" t="s">
        <v>1451</v>
      </c>
    </row>
    <row r="173" spans="1:5" ht="15.75" customHeight="1">
      <c r="A173" s="42">
        <v>46022</v>
      </c>
      <c r="B173" t="s">
        <v>333</v>
      </c>
      <c r="C173" t="s">
        <v>376</v>
      </c>
      <c r="D173" t="s">
        <v>1449</v>
      </c>
      <c r="E173" t="s">
        <v>1462</v>
      </c>
    </row>
    <row r="174" spans="1:5" ht="15.75" customHeight="1">
      <c r="A174" s="42">
        <v>46022</v>
      </c>
      <c r="B174" t="s">
        <v>333</v>
      </c>
      <c r="C174" t="s">
        <v>379</v>
      </c>
      <c r="D174" t="s">
        <v>1449</v>
      </c>
      <c r="E174" t="s">
        <v>1465</v>
      </c>
    </row>
    <row r="175" spans="1:5" ht="15.75" customHeight="1">
      <c r="A175" s="42">
        <v>46022</v>
      </c>
      <c r="B175" t="s">
        <v>333</v>
      </c>
      <c r="C175" t="s">
        <v>382</v>
      </c>
      <c r="D175" t="s">
        <v>1449</v>
      </c>
      <c r="E175" t="s">
        <v>1477</v>
      </c>
    </row>
    <row r="176" spans="1:5" ht="15.75" customHeight="1">
      <c r="A176" s="42">
        <v>46022</v>
      </c>
      <c r="B176" t="s">
        <v>333</v>
      </c>
      <c r="C176" t="s">
        <v>385</v>
      </c>
      <c r="D176" t="s">
        <v>1428</v>
      </c>
      <c r="E176" t="s">
        <v>1488</v>
      </c>
    </row>
    <row r="177" spans="1:5" ht="15.75" customHeight="1">
      <c r="A177" s="42">
        <v>46022</v>
      </c>
      <c r="B177" t="s">
        <v>333</v>
      </c>
      <c r="C177" t="s">
        <v>388</v>
      </c>
      <c r="D177" t="s">
        <v>1428</v>
      </c>
      <c r="E177" t="s">
        <v>1489</v>
      </c>
    </row>
    <row r="178" spans="1:5" ht="15.75" customHeight="1">
      <c r="A178" s="42">
        <v>46022</v>
      </c>
      <c r="B178" t="s">
        <v>391</v>
      </c>
      <c r="C178" t="s">
        <v>392</v>
      </c>
      <c r="D178" t="s">
        <v>1428</v>
      </c>
      <c r="E178" t="s">
        <v>1429</v>
      </c>
    </row>
    <row r="179" spans="1:5" ht="15.75" customHeight="1">
      <c r="A179" s="42">
        <v>46022</v>
      </c>
      <c r="B179" t="s">
        <v>391</v>
      </c>
      <c r="C179" t="s">
        <v>395</v>
      </c>
      <c r="D179" t="s">
        <v>1428</v>
      </c>
      <c r="E179" t="s">
        <v>1435</v>
      </c>
    </row>
    <row r="180" spans="1:5" ht="15.75" customHeight="1">
      <c r="A180" s="42">
        <v>46022</v>
      </c>
      <c r="B180" t="s">
        <v>391</v>
      </c>
      <c r="C180" t="s">
        <v>396</v>
      </c>
      <c r="D180" t="s">
        <v>1428</v>
      </c>
      <c r="E180" t="s">
        <v>1434</v>
      </c>
    </row>
    <row r="181" spans="1:5" ht="15.75" customHeight="1">
      <c r="A181" s="42">
        <v>46022</v>
      </c>
      <c r="B181" t="s">
        <v>391</v>
      </c>
      <c r="C181" t="s">
        <v>397</v>
      </c>
      <c r="D181" t="s">
        <v>1428</v>
      </c>
      <c r="E181" t="s">
        <v>1436</v>
      </c>
    </row>
    <row r="182" spans="1:5" ht="15.75" customHeight="1">
      <c r="A182" s="42">
        <v>46022</v>
      </c>
      <c r="B182" t="s">
        <v>391</v>
      </c>
      <c r="C182" t="s">
        <v>400</v>
      </c>
      <c r="D182" t="s">
        <v>1428</v>
      </c>
      <c r="E182" t="s">
        <v>1438</v>
      </c>
    </row>
    <row r="183" spans="1:5" ht="15.75" customHeight="1">
      <c r="A183" s="42">
        <v>46022</v>
      </c>
      <c r="B183" t="s">
        <v>391</v>
      </c>
      <c r="C183" t="s">
        <v>402</v>
      </c>
      <c r="D183" t="s">
        <v>1449</v>
      </c>
      <c r="E183" t="s">
        <v>1463</v>
      </c>
    </row>
    <row r="184" spans="1:5" ht="15.75" customHeight="1">
      <c r="A184" s="42">
        <v>46022</v>
      </c>
      <c r="B184" t="s">
        <v>391</v>
      </c>
      <c r="C184" t="s">
        <v>405</v>
      </c>
      <c r="D184" t="s">
        <v>1449</v>
      </c>
      <c r="E184" t="s">
        <v>1451</v>
      </c>
    </row>
    <row r="185" spans="1:5" ht="15.75" customHeight="1">
      <c r="A185" s="42">
        <v>46022</v>
      </c>
      <c r="B185" t="s">
        <v>408</v>
      </c>
      <c r="C185" t="s">
        <v>415</v>
      </c>
      <c r="D185" t="s">
        <v>1428</v>
      </c>
      <c r="E185" t="s">
        <v>1429</v>
      </c>
    </row>
    <row r="186" spans="1:5" ht="15.75" customHeight="1">
      <c r="A186" s="42">
        <v>46022</v>
      </c>
      <c r="B186" t="s">
        <v>408</v>
      </c>
      <c r="C186" t="s">
        <v>417</v>
      </c>
      <c r="D186" t="s">
        <v>1428</v>
      </c>
      <c r="E186" t="s">
        <v>1430</v>
      </c>
    </row>
    <row r="187" spans="1:5" ht="15.75" customHeight="1">
      <c r="A187" s="42">
        <v>46022</v>
      </c>
      <c r="B187" t="s">
        <v>408</v>
      </c>
      <c r="C187" t="s">
        <v>418</v>
      </c>
      <c r="D187" t="s">
        <v>1428</v>
      </c>
      <c r="E187" t="s">
        <v>1431</v>
      </c>
    </row>
    <row r="188" spans="1:5" ht="15.75" customHeight="1">
      <c r="A188" s="42">
        <v>46022</v>
      </c>
      <c r="B188" t="s">
        <v>408</v>
      </c>
      <c r="C188" t="s">
        <v>420</v>
      </c>
      <c r="D188" t="s">
        <v>1428</v>
      </c>
      <c r="E188" t="s">
        <v>1432</v>
      </c>
    </row>
    <row r="189" spans="1:5" ht="15.75" customHeight="1">
      <c r="A189" s="42">
        <v>46022</v>
      </c>
      <c r="B189" t="s">
        <v>408</v>
      </c>
      <c r="C189" t="s">
        <v>411</v>
      </c>
      <c r="D189" t="s">
        <v>1428</v>
      </c>
      <c r="E189" t="s">
        <v>1433</v>
      </c>
    </row>
    <row r="190" spans="1:5" ht="15.75" customHeight="1">
      <c r="A190" s="42">
        <v>46022</v>
      </c>
      <c r="B190" t="s">
        <v>408</v>
      </c>
      <c r="C190" t="s">
        <v>419</v>
      </c>
      <c r="D190" t="s">
        <v>1428</v>
      </c>
      <c r="E190" t="s">
        <v>1434</v>
      </c>
    </row>
    <row r="191" spans="1:5" ht="15.75" customHeight="1">
      <c r="A191" s="42">
        <v>46022</v>
      </c>
      <c r="B191" t="s">
        <v>408</v>
      </c>
      <c r="C191" t="s">
        <v>413</v>
      </c>
      <c r="D191" t="s">
        <v>1428</v>
      </c>
      <c r="E191" t="s">
        <v>1437</v>
      </c>
    </row>
    <row r="192" spans="1:5" ht="15.75" customHeight="1">
      <c r="A192" s="42">
        <v>46022</v>
      </c>
      <c r="B192" t="s">
        <v>408</v>
      </c>
      <c r="C192" t="s">
        <v>421</v>
      </c>
      <c r="D192" t="s">
        <v>1428</v>
      </c>
      <c r="E192" t="s">
        <v>1435</v>
      </c>
    </row>
    <row r="193" spans="1:5" ht="15.75" customHeight="1">
      <c r="A193" s="42">
        <v>46022</v>
      </c>
      <c r="B193" t="s">
        <v>408</v>
      </c>
      <c r="C193" t="s">
        <v>409</v>
      </c>
      <c r="D193" t="s">
        <v>1428</v>
      </c>
      <c r="E193" t="s">
        <v>1436</v>
      </c>
    </row>
    <row r="194" spans="1:5" ht="15.75" customHeight="1">
      <c r="A194" s="42">
        <v>46022</v>
      </c>
      <c r="B194" t="s">
        <v>408</v>
      </c>
      <c r="C194" t="s">
        <v>423</v>
      </c>
      <c r="D194" t="s">
        <v>1428</v>
      </c>
      <c r="E194" t="s">
        <v>1438</v>
      </c>
    </row>
    <row r="195" spans="1:5" ht="15.75" customHeight="1">
      <c r="A195" s="42">
        <v>46022</v>
      </c>
      <c r="B195" t="s">
        <v>408</v>
      </c>
      <c r="C195" t="s">
        <v>424</v>
      </c>
      <c r="D195" t="s">
        <v>1428</v>
      </c>
      <c r="E195" t="s">
        <v>1490</v>
      </c>
    </row>
    <row r="196" spans="1:5" ht="15.75" customHeight="1">
      <c r="A196" s="42">
        <v>46022</v>
      </c>
      <c r="B196" t="s">
        <v>408</v>
      </c>
      <c r="C196" t="s">
        <v>427</v>
      </c>
      <c r="D196" t="s">
        <v>1428</v>
      </c>
      <c r="E196" t="s">
        <v>1491</v>
      </c>
    </row>
    <row r="197" spans="1:5" ht="15.75" customHeight="1">
      <c r="A197" s="42">
        <v>46022</v>
      </c>
      <c r="B197" t="s">
        <v>408</v>
      </c>
      <c r="C197" t="s">
        <v>429</v>
      </c>
      <c r="D197" t="s">
        <v>1428</v>
      </c>
      <c r="E197" t="s">
        <v>1445</v>
      </c>
    </row>
    <row r="198" spans="1:5" ht="15.75" customHeight="1">
      <c r="A198" s="42">
        <v>46022</v>
      </c>
      <c r="B198" t="s">
        <v>408</v>
      </c>
      <c r="C198" t="s">
        <v>431</v>
      </c>
      <c r="D198" t="s">
        <v>1428</v>
      </c>
      <c r="E198" t="s">
        <v>1458</v>
      </c>
    </row>
    <row r="199" spans="1:5" ht="15.75" customHeight="1">
      <c r="A199" s="42">
        <v>46022</v>
      </c>
      <c r="B199" t="s">
        <v>408</v>
      </c>
      <c r="C199" t="s">
        <v>433</v>
      </c>
      <c r="D199" t="s">
        <v>1428</v>
      </c>
      <c r="E199" t="s">
        <v>1441</v>
      </c>
    </row>
    <row r="200" spans="1:5" ht="15.75" customHeight="1">
      <c r="A200" s="42">
        <v>46022</v>
      </c>
      <c r="B200" t="s">
        <v>408</v>
      </c>
      <c r="C200" t="s">
        <v>435</v>
      </c>
      <c r="D200" t="s">
        <v>1428</v>
      </c>
      <c r="E200" t="s">
        <v>1447</v>
      </c>
    </row>
    <row r="201" spans="1:5" ht="15.75" customHeight="1">
      <c r="A201" s="42">
        <v>46022</v>
      </c>
      <c r="B201" t="s">
        <v>408</v>
      </c>
      <c r="C201" t="s">
        <v>436</v>
      </c>
      <c r="D201" t="s">
        <v>1428</v>
      </c>
      <c r="E201" t="s">
        <v>1492</v>
      </c>
    </row>
    <row r="202" spans="1:5" ht="15.75" customHeight="1">
      <c r="A202" s="42">
        <v>46022</v>
      </c>
      <c r="B202" t="s">
        <v>408</v>
      </c>
      <c r="C202" t="s">
        <v>438</v>
      </c>
      <c r="D202" t="s">
        <v>1428</v>
      </c>
      <c r="E202" t="s">
        <v>1446</v>
      </c>
    </row>
    <row r="203" spans="1:5" ht="15.75" customHeight="1">
      <c r="A203" s="42">
        <v>46022</v>
      </c>
      <c r="B203" t="s">
        <v>408</v>
      </c>
      <c r="C203" t="s">
        <v>440</v>
      </c>
      <c r="D203" t="s">
        <v>1428</v>
      </c>
      <c r="E203" t="s">
        <v>1444</v>
      </c>
    </row>
    <row r="204" spans="1:5" ht="15.75" customHeight="1">
      <c r="A204" s="42">
        <v>46022</v>
      </c>
      <c r="B204" t="s">
        <v>408</v>
      </c>
      <c r="C204" t="s">
        <v>441</v>
      </c>
      <c r="D204" t="s">
        <v>1428</v>
      </c>
      <c r="E204" t="s">
        <v>1493</v>
      </c>
    </row>
    <row r="205" spans="1:5" ht="15.75" customHeight="1">
      <c r="A205" s="42">
        <v>46022</v>
      </c>
      <c r="B205" t="s">
        <v>408</v>
      </c>
      <c r="C205" t="s">
        <v>442</v>
      </c>
      <c r="D205" t="s">
        <v>1428</v>
      </c>
      <c r="E205" t="s">
        <v>1494</v>
      </c>
    </row>
    <row r="206" spans="1:5" ht="15.75" customHeight="1">
      <c r="A206" s="42">
        <v>46022</v>
      </c>
      <c r="B206" t="s">
        <v>408</v>
      </c>
      <c r="C206" t="s">
        <v>443</v>
      </c>
      <c r="D206" t="s">
        <v>1428</v>
      </c>
      <c r="E206" t="s">
        <v>1472</v>
      </c>
    </row>
    <row r="207" spans="1:5" ht="15.75" customHeight="1">
      <c r="A207" s="42">
        <v>46022</v>
      </c>
      <c r="B207" t="s">
        <v>408</v>
      </c>
      <c r="C207" t="s">
        <v>444</v>
      </c>
      <c r="D207" t="s">
        <v>1449</v>
      </c>
      <c r="E207" t="s">
        <v>1450</v>
      </c>
    </row>
    <row r="208" spans="1:5" ht="15.75" customHeight="1">
      <c r="A208" s="42">
        <v>46022</v>
      </c>
      <c r="B208" t="s">
        <v>408</v>
      </c>
      <c r="C208" t="s">
        <v>448</v>
      </c>
      <c r="D208" t="s">
        <v>1449</v>
      </c>
      <c r="E208" t="s">
        <v>1453</v>
      </c>
    </row>
    <row r="209" spans="1:5" ht="15.75" customHeight="1">
      <c r="A209" s="42">
        <v>46022</v>
      </c>
      <c r="B209" t="s">
        <v>408</v>
      </c>
      <c r="C209" t="s">
        <v>451</v>
      </c>
      <c r="D209" t="s">
        <v>1449</v>
      </c>
      <c r="E209" t="s">
        <v>1495</v>
      </c>
    </row>
    <row r="210" spans="1:5" ht="15.75" customHeight="1">
      <c r="A210" s="42">
        <v>46022</v>
      </c>
      <c r="B210" t="s">
        <v>408</v>
      </c>
      <c r="C210" t="s">
        <v>454</v>
      </c>
      <c r="D210" t="s">
        <v>1449</v>
      </c>
      <c r="E210" t="s">
        <v>1451</v>
      </c>
    </row>
    <row r="211" spans="1:5" ht="15.75" customHeight="1">
      <c r="A211" s="42">
        <v>46022</v>
      </c>
      <c r="B211" t="s">
        <v>408</v>
      </c>
      <c r="C211" t="s">
        <v>457</v>
      </c>
      <c r="D211" t="s">
        <v>1428</v>
      </c>
      <c r="E211" t="s">
        <v>1496</v>
      </c>
    </row>
    <row r="212" spans="1:5" ht="15.75" customHeight="1">
      <c r="A212" s="42">
        <v>46022</v>
      </c>
      <c r="B212" t="s">
        <v>408</v>
      </c>
      <c r="C212" t="s">
        <v>460</v>
      </c>
      <c r="D212" t="s">
        <v>1449</v>
      </c>
      <c r="E212" t="s">
        <v>1497</v>
      </c>
    </row>
    <row r="213" spans="1:5" ht="15.75" customHeight="1">
      <c r="A213" s="42">
        <v>46022</v>
      </c>
      <c r="B213" t="s">
        <v>461</v>
      </c>
      <c r="C213" t="s">
        <v>468</v>
      </c>
      <c r="D213" t="s">
        <v>1428</v>
      </c>
      <c r="E213" t="s">
        <v>1429</v>
      </c>
    </row>
    <row r="214" spans="1:5" ht="15.75" customHeight="1">
      <c r="A214" s="42">
        <v>46022</v>
      </c>
      <c r="B214" t="s">
        <v>461</v>
      </c>
      <c r="C214" t="s">
        <v>471</v>
      </c>
      <c r="D214" t="s">
        <v>1428</v>
      </c>
      <c r="E214" t="s">
        <v>1430</v>
      </c>
    </row>
    <row r="215" spans="1:5" ht="15.75" customHeight="1">
      <c r="A215" s="42">
        <v>46022</v>
      </c>
      <c r="B215" t="s">
        <v>461</v>
      </c>
      <c r="C215" t="s">
        <v>473</v>
      </c>
      <c r="D215" t="s">
        <v>1428</v>
      </c>
      <c r="E215" t="s">
        <v>1431</v>
      </c>
    </row>
    <row r="216" spans="1:5" ht="15.75" customHeight="1">
      <c r="A216" s="42">
        <v>46022</v>
      </c>
      <c r="B216" t="s">
        <v>461</v>
      </c>
      <c r="C216" t="s">
        <v>476</v>
      </c>
      <c r="D216" t="s">
        <v>1428</v>
      </c>
      <c r="E216" t="s">
        <v>1432</v>
      </c>
    </row>
    <row r="217" spans="1:5" ht="15.75" customHeight="1">
      <c r="A217" s="42">
        <v>46022</v>
      </c>
      <c r="B217" t="s">
        <v>461</v>
      </c>
      <c r="C217" t="s">
        <v>464</v>
      </c>
      <c r="D217" t="s">
        <v>1428</v>
      </c>
      <c r="E217" t="s">
        <v>1433</v>
      </c>
    </row>
    <row r="218" spans="1:5" ht="15.75" customHeight="1">
      <c r="A218" s="42">
        <v>46022</v>
      </c>
      <c r="B218" t="s">
        <v>461</v>
      </c>
      <c r="C218" t="s">
        <v>475</v>
      </c>
      <c r="D218" t="s">
        <v>1428</v>
      </c>
      <c r="E218" t="s">
        <v>1434</v>
      </c>
    </row>
    <row r="219" spans="1:5" ht="15.75" customHeight="1">
      <c r="A219" s="42">
        <v>46022</v>
      </c>
      <c r="B219" t="s">
        <v>461</v>
      </c>
      <c r="C219" t="s">
        <v>479</v>
      </c>
      <c r="D219" t="s">
        <v>1428</v>
      </c>
      <c r="E219" t="s">
        <v>1435</v>
      </c>
    </row>
    <row r="220" spans="1:5" ht="15.75" customHeight="1">
      <c r="A220" s="42">
        <v>46022</v>
      </c>
      <c r="B220" t="s">
        <v>461</v>
      </c>
      <c r="C220" t="s">
        <v>462</v>
      </c>
      <c r="D220" t="s">
        <v>1428</v>
      </c>
      <c r="E220" t="s">
        <v>1436</v>
      </c>
    </row>
    <row r="221" spans="1:5" ht="15.75" customHeight="1">
      <c r="A221" s="42">
        <v>46022</v>
      </c>
      <c r="B221" t="s">
        <v>461</v>
      </c>
      <c r="C221" t="s">
        <v>466</v>
      </c>
      <c r="D221" t="s">
        <v>1428</v>
      </c>
      <c r="E221" t="s">
        <v>1437</v>
      </c>
    </row>
    <row r="222" spans="1:5" ht="15.75" customHeight="1">
      <c r="A222" s="42">
        <v>46022</v>
      </c>
      <c r="B222" t="s">
        <v>461</v>
      </c>
      <c r="C222" t="s">
        <v>482</v>
      </c>
      <c r="D222" t="s">
        <v>1449</v>
      </c>
      <c r="E222" t="s">
        <v>1450</v>
      </c>
    </row>
    <row r="223" spans="1:5" ht="15.75" customHeight="1">
      <c r="A223" s="42">
        <v>46022</v>
      </c>
      <c r="B223" t="s">
        <v>461</v>
      </c>
      <c r="C223" t="s">
        <v>485</v>
      </c>
      <c r="D223" t="s">
        <v>1449</v>
      </c>
      <c r="E223" t="s">
        <v>1453</v>
      </c>
    </row>
    <row r="224" spans="1:5" ht="15.75" customHeight="1">
      <c r="A224" s="42">
        <v>46022</v>
      </c>
      <c r="B224" t="s">
        <v>461</v>
      </c>
      <c r="C224" t="s">
        <v>488</v>
      </c>
      <c r="D224" t="s">
        <v>1449</v>
      </c>
      <c r="E224" t="s">
        <v>1463</v>
      </c>
    </row>
    <row r="225" spans="1:5" ht="15.75" customHeight="1">
      <c r="A225" s="42">
        <v>46022</v>
      </c>
      <c r="B225" t="s">
        <v>461</v>
      </c>
      <c r="C225" t="s">
        <v>491</v>
      </c>
      <c r="D225" t="s">
        <v>1449</v>
      </c>
      <c r="E225" t="s">
        <v>1451</v>
      </c>
    </row>
    <row r="226" spans="1:5" ht="15.75" customHeight="1">
      <c r="A226" s="42">
        <v>46022</v>
      </c>
      <c r="B226" t="s">
        <v>461</v>
      </c>
      <c r="C226" t="s">
        <v>494</v>
      </c>
      <c r="D226" t="s">
        <v>1449</v>
      </c>
      <c r="E226" t="s">
        <v>1498</v>
      </c>
    </row>
    <row r="227" spans="1:5" ht="15.75" customHeight="1">
      <c r="A227" s="42">
        <v>46022</v>
      </c>
      <c r="B227" t="s">
        <v>461</v>
      </c>
      <c r="C227" t="s">
        <v>497</v>
      </c>
      <c r="D227" t="s">
        <v>1428</v>
      </c>
      <c r="E227" t="s">
        <v>1499</v>
      </c>
    </row>
    <row r="228" spans="1:5" ht="15.75" customHeight="1">
      <c r="A228" s="42">
        <v>46022</v>
      </c>
      <c r="B228" t="s">
        <v>461</v>
      </c>
      <c r="C228" t="s">
        <v>500</v>
      </c>
      <c r="D228" t="s">
        <v>1428</v>
      </c>
      <c r="E228" t="s">
        <v>1500</v>
      </c>
    </row>
    <row r="229" spans="1:5" ht="15.75" customHeight="1">
      <c r="A229" s="42">
        <v>46022</v>
      </c>
      <c r="B229" t="s">
        <v>461</v>
      </c>
      <c r="C229" t="s">
        <v>502</v>
      </c>
      <c r="D229" t="s">
        <v>1428</v>
      </c>
      <c r="E229" t="s">
        <v>1501</v>
      </c>
    </row>
    <row r="230" spans="1:5" ht="15.75" customHeight="1">
      <c r="A230" s="42">
        <v>46022</v>
      </c>
      <c r="B230" t="s">
        <v>461</v>
      </c>
      <c r="C230" t="s">
        <v>505</v>
      </c>
      <c r="D230" t="s">
        <v>1428</v>
      </c>
      <c r="E230" t="s">
        <v>1448</v>
      </c>
    </row>
    <row r="231" spans="1:5" ht="15.75" customHeight="1">
      <c r="A231" s="42">
        <v>46022</v>
      </c>
      <c r="B231" t="s">
        <v>461</v>
      </c>
      <c r="C231" t="s">
        <v>507</v>
      </c>
      <c r="D231" t="s">
        <v>1428</v>
      </c>
      <c r="E231" t="s">
        <v>1444</v>
      </c>
    </row>
    <row r="232" spans="1:5" ht="15.75" customHeight="1">
      <c r="A232" s="42">
        <v>46022</v>
      </c>
      <c r="B232" t="s">
        <v>461</v>
      </c>
      <c r="C232" t="s">
        <v>510</v>
      </c>
      <c r="D232" t="s">
        <v>1428</v>
      </c>
      <c r="E232" t="s">
        <v>1438</v>
      </c>
    </row>
    <row r="233" spans="1:5" ht="15.75" customHeight="1">
      <c r="A233" s="42">
        <v>46022</v>
      </c>
      <c r="B233" t="s">
        <v>461</v>
      </c>
      <c r="C233" t="s">
        <v>511</v>
      </c>
      <c r="D233" t="s">
        <v>1428</v>
      </c>
      <c r="E233" t="s">
        <v>1491</v>
      </c>
    </row>
    <row r="234" spans="1:5" ht="15.75" customHeight="1">
      <c r="A234" s="42">
        <v>46022</v>
      </c>
      <c r="B234" t="s">
        <v>461</v>
      </c>
      <c r="C234" t="s">
        <v>512</v>
      </c>
      <c r="D234" t="s">
        <v>1428</v>
      </c>
      <c r="E234" t="s">
        <v>1441</v>
      </c>
    </row>
    <row r="235" spans="1:5" ht="15.75" customHeight="1">
      <c r="A235" s="42">
        <v>46022</v>
      </c>
      <c r="B235" t="s">
        <v>461</v>
      </c>
      <c r="C235" t="s">
        <v>514</v>
      </c>
      <c r="D235" t="s">
        <v>1428</v>
      </c>
      <c r="E235" t="s">
        <v>1440</v>
      </c>
    </row>
    <row r="236" spans="1:5" ht="15.75" customHeight="1">
      <c r="A236" s="42">
        <v>46022</v>
      </c>
      <c r="B236" t="s">
        <v>461</v>
      </c>
      <c r="C236" t="s">
        <v>516</v>
      </c>
      <c r="D236" t="s">
        <v>1428</v>
      </c>
      <c r="E236" t="s">
        <v>1445</v>
      </c>
    </row>
    <row r="237" spans="1:5" ht="15.75" customHeight="1">
      <c r="A237" s="42">
        <v>46022</v>
      </c>
      <c r="B237" t="s">
        <v>461</v>
      </c>
      <c r="C237" t="s">
        <v>517</v>
      </c>
      <c r="D237" t="s">
        <v>1428</v>
      </c>
      <c r="E237" t="s">
        <v>1458</v>
      </c>
    </row>
    <row r="238" spans="1:5" ht="15.75" customHeight="1">
      <c r="A238" s="42">
        <v>46022</v>
      </c>
      <c r="B238" t="s">
        <v>461</v>
      </c>
      <c r="C238" t="s">
        <v>518</v>
      </c>
      <c r="D238" t="s">
        <v>1428</v>
      </c>
      <c r="E238" t="s">
        <v>1447</v>
      </c>
    </row>
    <row r="239" spans="1:5" ht="15.75" customHeight="1">
      <c r="A239" s="42">
        <v>46022</v>
      </c>
      <c r="B239" t="s">
        <v>461</v>
      </c>
      <c r="C239" t="s">
        <v>519</v>
      </c>
      <c r="D239" t="s">
        <v>1428</v>
      </c>
      <c r="E239" t="s">
        <v>1446</v>
      </c>
    </row>
    <row r="240" spans="1:5" ht="15.75" customHeight="1">
      <c r="A240" s="42">
        <v>46022</v>
      </c>
      <c r="B240" t="s">
        <v>461</v>
      </c>
      <c r="C240" t="s">
        <v>522</v>
      </c>
      <c r="D240" t="s">
        <v>1428</v>
      </c>
      <c r="E240" t="s">
        <v>1502</v>
      </c>
    </row>
    <row r="241" spans="1:5" ht="15.75" customHeight="1">
      <c r="A241" s="42">
        <v>46022</v>
      </c>
      <c r="B241" t="s">
        <v>461</v>
      </c>
      <c r="C241" t="s">
        <v>524</v>
      </c>
      <c r="D241" t="s">
        <v>1428</v>
      </c>
      <c r="E241" t="s">
        <v>1443</v>
      </c>
    </row>
    <row r="242" spans="1:5" ht="15.75" customHeight="1">
      <c r="A242" s="42">
        <v>46022</v>
      </c>
      <c r="B242" t="s">
        <v>461</v>
      </c>
      <c r="C242" t="s">
        <v>525</v>
      </c>
      <c r="D242" t="s">
        <v>1428</v>
      </c>
      <c r="E242" t="s">
        <v>1503</v>
      </c>
    </row>
    <row r="243" spans="1:5" ht="15.75" customHeight="1">
      <c r="A243" s="42">
        <v>46022</v>
      </c>
      <c r="B243" t="s">
        <v>461</v>
      </c>
      <c r="C243" t="s">
        <v>526</v>
      </c>
      <c r="D243" t="s">
        <v>1428</v>
      </c>
      <c r="E243" t="s">
        <v>1504</v>
      </c>
    </row>
    <row r="244" spans="1:5" ht="15.75" customHeight="1">
      <c r="A244" s="42">
        <v>46022</v>
      </c>
      <c r="B244" t="s">
        <v>461</v>
      </c>
      <c r="C244" t="s">
        <v>527</v>
      </c>
      <c r="D244" t="s">
        <v>1428</v>
      </c>
      <c r="E244" t="s">
        <v>1494</v>
      </c>
    </row>
    <row r="245" spans="1:5" ht="15.75" customHeight="1">
      <c r="A245" s="42">
        <v>46022</v>
      </c>
      <c r="B245" t="s">
        <v>461</v>
      </c>
      <c r="C245" t="s">
        <v>529</v>
      </c>
      <c r="D245" t="s">
        <v>1428</v>
      </c>
      <c r="E245" t="s">
        <v>1493</v>
      </c>
    </row>
    <row r="246" spans="1:5" ht="15.75" customHeight="1">
      <c r="A246" s="42">
        <v>46022</v>
      </c>
      <c r="B246" t="s">
        <v>461</v>
      </c>
      <c r="C246" t="s">
        <v>530</v>
      </c>
      <c r="D246" t="s">
        <v>1428</v>
      </c>
      <c r="E246" t="s">
        <v>1505</v>
      </c>
    </row>
    <row r="247" spans="1:5" ht="15.75" customHeight="1">
      <c r="A247" s="42">
        <v>46022</v>
      </c>
      <c r="B247" t="s">
        <v>461</v>
      </c>
      <c r="C247" t="s">
        <v>533</v>
      </c>
      <c r="D247" t="s">
        <v>1428</v>
      </c>
      <c r="E247" t="s">
        <v>1506</v>
      </c>
    </row>
    <row r="248" spans="1:5" ht="15.75" customHeight="1">
      <c r="A248" s="42">
        <v>46022</v>
      </c>
      <c r="B248" t="s">
        <v>461</v>
      </c>
      <c r="C248" t="s">
        <v>535</v>
      </c>
      <c r="D248" t="s">
        <v>1428</v>
      </c>
      <c r="E248" t="s">
        <v>1507</v>
      </c>
    </row>
    <row r="249" spans="1:5" ht="15.75" customHeight="1">
      <c r="A249" s="42">
        <v>46022</v>
      </c>
      <c r="B249" t="s">
        <v>540</v>
      </c>
      <c r="C249" t="s">
        <v>550</v>
      </c>
      <c r="D249" t="s">
        <v>1428</v>
      </c>
      <c r="E249" t="s">
        <v>1429</v>
      </c>
    </row>
    <row r="250" spans="1:5" ht="15.75" customHeight="1">
      <c r="A250" s="42">
        <v>46022</v>
      </c>
      <c r="B250" t="s">
        <v>540</v>
      </c>
      <c r="C250" t="s">
        <v>553</v>
      </c>
      <c r="D250" t="s">
        <v>1428</v>
      </c>
      <c r="E250" t="s">
        <v>1430</v>
      </c>
    </row>
    <row r="251" spans="1:5" ht="15.75" customHeight="1">
      <c r="A251" s="42">
        <v>46022</v>
      </c>
      <c r="B251" t="s">
        <v>540</v>
      </c>
      <c r="C251" t="s">
        <v>556</v>
      </c>
      <c r="D251" t="s">
        <v>1428</v>
      </c>
      <c r="E251" t="s">
        <v>1431</v>
      </c>
    </row>
    <row r="252" spans="1:5" ht="15.75" customHeight="1">
      <c r="A252" s="42">
        <v>46022</v>
      </c>
      <c r="B252" t="s">
        <v>540</v>
      </c>
      <c r="C252" t="s">
        <v>560</v>
      </c>
      <c r="D252" t="s">
        <v>1428</v>
      </c>
      <c r="E252" t="s">
        <v>1432</v>
      </c>
    </row>
    <row r="253" spans="1:5" ht="15.75" customHeight="1">
      <c r="A253" s="42">
        <v>46022</v>
      </c>
      <c r="B253" t="s">
        <v>540</v>
      </c>
      <c r="C253" t="s">
        <v>546</v>
      </c>
      <c r="D253" t="s">
        <v>1428</v>
      </c>
      <c r="E253" t="s">
        <v>1433</v>
      </c>
    </row>
    <row r="254" spans="1:5" ht="15.75" customHeight="1">
      <c r="A254" s="42">
        <v>46022</v>
      </c>
      <c r="B254" t="s">
        <v>540</v>
      </c>
      <c r="C254" t="s">
        <v>558</v>
      </c>
      <c r="D254" t="s">
        <v>1428</v>
      </c>
      <c r="E254" t="s">
        <v>1434</v>
      </c>
    </row>
    <row r="255" spans="1:5" ht="15.75" customHeight="1">
      <c r="A255" s="42">
        <v>46022</v>
      </c>
      <c r="B255" t="s">
        <v>540</v>
      </c>
      <c r="C255" t="s">
        <v>547</v>
      </c>
      <c r="D255" t="s">
        <v>1428</v>
      </c>
      <c r="E255" t="s">
        <v>1437</v>
      </c>
    </row>
    <row r="256" spans="1:5" ht="15.75" customHeight="1">
      <c r="A256" s="42">
        <v>46022</v>
      </c>
      <c r="B256" t="s">
        <v>540</v>
      </c>
      <c r="C256" t="s">
        <v>563</v>
      </c>
      <c r="D256" t="s">
        <v>1428</v>
      </c>
      <c r="E256" t="s">
        <v>1508</v>
      </c>
    </row>
    <row r="257" spans="1:5" ht="15.75" customHeight="1">
      <c r="A257" s="42">
        <v>46022</v>
      </c>
      <c r="B257" t="s">
        <v>540</v>
      </c>
      <c r="C257" t="s">
        <v>566</v>
      </c>
      <c r="D257" t="s">
        <v>1428</v>
      </c>
      <c r="E257" t="s">
        <v>1509</v>
      </c>
    </row>
    <row r="258" spans="1:5" ht="15.75" customHeight="1">
      <c r="A258" s="42">
        <v>46022</v>
      </c>
      <c r="B258" t="s">
        <v>540</v>
      </c>
      <c r="C258" t="s">
        <v>569</v>
      </c>
      <c r="D258" t="s">
        <v>1428</v>
      </c>
      <c r="E258" t="s">
        <v>1510</v>
      </c>
    </row>
    <row r="259" spans="1:5" ht="15.75" customHeight="1">
      <c r="A259" s="42">
        <v>46022</v>
      </c>
      <c r="B259" t="s">
        <v>540</v>
      </c>
      <c r="C259" t="s">
        <v>571</v>
      </c>
      <c r="D259" t="s">
        <v>1428</v>
      </c>
      <c r="E259" t="s">
        <v>1511</v>
      </c>
    </row>
    <row r="260" spans="1:5" ht="15.75" customHeight="1">
      <c r="A260" s="42">
        <v>46022</v>
      </c>
      <c r="B260" t="s">
        <v>540</v>
      </c>
      <c r="C260" t="s">
        <v>574</v>
      </c>
      <c r="D260" t="s">
        <v>1428</v>
      </c>
      <c r="E260" t="s">
        <v>1512</v>
      </c>
    </row>
    <row r="261" spans="1:5" ht="15.75" customHeight="1">
      <c r="A261" s="42">
        <v>46022</v>
      </c>
      <c r="B261" t="s">
        <v>540</v>
      </c>
      <c r="C261" t="s">
        <v>577</v>
      </c>
      <c r="D261" t="s">
        <v>1428</v>
      </c>
      <c r="E261" t="s">
        <v>1513</v>
      </c>
    </row>
    <row r="262" spans="1:5" ht="15.75" customHeight="1">
      <c r="A262" s="42">
        <v>46022</v>
      </c>
      <c r="B262" t="s">
        <v>540</v>
      </c>
      <c r="C262" t="s">
        <v>580</v>
      </c>
      <c r="D262" t="s">
        <v>1428</v>
      </c>
      <c r="E262" t="s">
        <v>1514</v>
      </c>
    </row>
    <row r="263" spans="1:5" ht="15.75" customHeight="1">
      <c r="A263" s="42">
        <v>46022</v>
      </c>
      <c r="B263" t="s">
        <v>540</v>
      </c>
      <c r="C263" t="s">
        <v>582</v>
      </c>
      <c r="D263" t="s">
        <v>1428</v>
      </c>
      <c r="E263" t="s">
        <v>1515</v>
      </c>
    </row>
    <row r="264" spans="1:5" ht="15.75" customHeight="1">
      <c r="A264" s="42">
        <v>46022</v>
      </c>
      <c r="B264" t="s">
        <v>540</v>
      </c>
      <c r="C264" t="s">
        <v>541</v>
      </c>
      <c r="D264" t="s">
        <v>1428</v>
      </c>
      <c r="E264" t="s">
        <v>1516</v>
      </c>
    </row>
    <row r="265" spans="1:5" ht="15.75" customHeight="1">
      <c r="A265" s="42">
        <v>46022</v>
      </c>
      <c r="B265" t="s">
        <v>540</v>
      </c>
      <c r="C265" t="s">
        <v>543</v>
      </c>
      <c r="D265" t="s">
        <v>1428</v>
      </c>
      <c r="E265" t="s">
        <v>1436</v>
      </c>
    </row>
    <row r="266" spans="1:5" ht="15.75" customHeight="1">
      <c r="A266" s="42">
        <v>46022</v>
      </c>
      <c r="B266" t="s">
        <v>540</v>
      </c>
      <c r="C266" t="s">
        <v>585</v>
      </c>
      <c r="D266" t="s">
        <v>1449</v>
      </c>
      <c r="E266" t="s">
        <v>1451</v>
      </c>
    </row>
    <row r="267" spans="1:5" ht="15.75" customHeight="1">
      <c r="A267" s="42">
        <v>46022</v>
      </c>
      <c r="B267" t="s">
        <v>540</v>
      </c>
      <c r="C267" t="s">
        <v>588</v>
      </c>
      <c r="D267" t="s">
        <v>1449</v>
      </c>
      <c r="E267" t="s">
        <v>1450</v>
      </c>
    </row>
    <row r="268" spans="1:5" ht="15.75" customHeight="1">
      <c r="A268" s="42">
        <v>46022</v>
      </c>
      <c r="B268" t="s">
        <v>540</v>
      </c>
      <c r="C268" t="s">
        <v>591</v>
      </c>
      <c r="D268" t="s">
        <v>1449</v>
      </c>
      <c r="E268" t="s">
        <v>1463</v>
      </c>
    </row>
    <row r="269" spans="1:5" ht="15.75" customHeight="1">
      <c r="A269" s="42">
        <v>46022</v>
      </c>
      <c r="B269" t="s">
        <v>540</v>
      </c>
      <c r="C269" t="s">
        <v>594</v>
      </c>
      <c r="D269" t="s">
        <v>1449</v>
      </c>
      <c r="E269" t="s">
        <v>1453</v>
      </c>
    </row>
    <row r="270" spans="1:5" ht="15.75" customHeight="1">
      <c r="A270" s="42">
        <v>46022</v>
      </c>
      <c r="B270" t="s">
        <v>540</v>
      </c>
      <c r="C270" t="s">
        <v>596</v>
      </c>
      <c r="D270" t="s">
        <v>1449</v>
      </c>
      <c r="E270" t="s">
        <v>1465</v>
      </c>
    </row>
    <row r="271" spans="1:5" ht="15.75" customHeight="1">
      <c r="A271" s="42">
        <v>46022</v>
      </c>
      <c r="B271" t="s">
        <v>599</v>
      </c>
      <c r="C271" t="s">
        <v>603</v>
      </c>
      <c r="D271" t="s">
        <v>1428</v>
      </c>
      <c r="E271" t="s">
        <v>1433</v>
      </c>
    </row>
    <row r="272" spans="1:5" ht="15.75" customHeight="1">
      <c r="A272" s="42">
        <v>46022</v>
      </c>
      <c r="B272" t="s">
        <v>599</v>
      </c>
      <c r="C272" t="s">
        <v>607</v>
      </c>
      <c r="D272" t="s">
        <v>1428</v>
      </c>
      <c r="E272" t="s">
        <v>1429</v>
      </c>
    </row>
    <row r="273" spans="1:5" ht="15.75" customHeight="1">
      <c r="A273" s="42">
        <v>46022</v>
      </c>
      <c r="B273" t="s">
        <v>599</v>
      </c>
      <c r="C273" t="s">
        <v>610</v>
      </c>
      <c r="D273" t="s">
        <v>1428</v>
      </c>
      <c r="E273" t="s">
        <v>1430</v>
      </c>
    </row>
    <row r="274" spans="1:5" ht="15.75" customHeight="1">
      <c r="A274" s="42">
        <v>46022</v>
      </c>
      <c r="B274" t="s">
        <v>599</v>
      </c>
      <c r="C274" t="s">
        <v>611</v>
      </c>
      <c r="D274" t="s">
        <v>1428</v>
      </c>
      <c r="E274" t="s">
        <v>1431</v>
      </c>
    </row>
    <row r="275" spans="1:5" ht="15.75" customHeight="1">
      <c r="A275" s="42">
        <v>46022</v>
      </c>
      <c r="B275" t="s">
        <v>599</v>
      </c>
      <c r="C275" t="s">
        <v>613</v>
      </c>
      <c r="D275" t="s">
        <v>1428</v>
      </c>
      <c r="E275" t="s">
        <v>1432</v>
      </c>
    </row>
    <row r="276" spans="1:5" ht="15.75" customHeight="1">
      <c r="A276" s="42">
        <v>46022</v>
      </c>
      <c r="B276" t="s">
        <v>599</v>
      </c>
      <c r="C276" t="s">
        <v>612</v>
      </c>
      <c r="D276" t="s">
        <v>1428</v>
      </c>
      <c r="E276" t="s">
        <v>1434</v>
      </c>
    </row>
    <row r="277" spans="1:5" ht="15.75" customHeight="1">
      <c r="A277" s="42">
        <v>46022</v>
      </c>
      <c r="B277" t="s">
        <v>599</v>
      </c>
      <c r="C277" t="s">
        <v>614</v>
      </c>
      <c r="D277" t="s">
        <v>1428</v>
      </c>
      <c r="E277" t="s">
        <v>1435</v>
      </c>
    </row>
    <row r="278" spans="1:5" ht="15.75" customHeight="1">
      <c r="A278" s="42">
        <v>46022</v>
      </c>
      <c r="B278" t="s">
        <v>599</v>
      </c>
      <c r="C278" t="s">
        <v>606</v>
      </c>
      <c r="D278" t="s">
        <v>1428</v>
      </c>
      <c r="E278" t="s">
        <v>1437</v>
      </c>
    </row>
    <row r="279" spans="1:5" ht="15.75" customHeight="1">
      <c r="A279" s="42">
        <v>46022</v>
      </c>
      <c r="B279" t="s">
        <v>599</v>
      </c>
      <c r="C279" t="s">
        <v>600</v>
      </c>
      <c r="D279" t="s">
        <v>1428</v>
      </c>
      <c r="E279" t="s">
        <v>1436</v>
      </c>
    </row>
    <row r="280" spans="1:5" ht="15.75" customHeight="1">
      <c r="A280" s="42">
        <v>46022</v>
      </c>
      <c r="B280" t="s">
        <v>599</v>
      </c>
      <c r="C280" t="s">
        <v>615</v>
      </c>
      <c r="D280" t="s">
        <v>1428</v>
      </c>
      <c r="E280" t="s">
        <v>1517</v>
      </c>
    </row>
    <row r="281" spans="1:5" ht="15.75" customHeight="1">
      <c r="A281" s="42">
        <v>46022</v>
      </c>
      <c r="B281" t="s">
        <v>599</v>
      </c>
      <c r="C281" t="s">
        <v>618</v>
      </c>
      <c r="D281" t="s">
        <v>1428</v>
      </c>
      <c r="E281" t="s">
        <v>1508</v>
      </c>
    </row>
    <row r="282" spans="1:5" ht="15.75" customHeight="1">
      <c r="A282" s="42">
        <v>46022</v>
      </c>
      <c r="B282" t="s">
        <v>599</v>
      </c>
      <c r="C282" t="s">
        <v>619</v>
      </c>
      <c r="D282" t="s">
        <v>1428</v>
      </c>
      <c r="E282" t="s">
        <v>1518</v>
      </c>
    </row>
    <row r="283" spans="1:5" ht="15.75" customHeight="1">
      <c r="A283" s="42">
        <v>46022</v>
      </c>
      <c r="B283" t="s">
        <v>599</v>
      </c>
      <c r="C283" t="s">
        <v>620</v>
      </c>
      <c r="D283" t="s">
        <v>1449</v>
      </c>
      <c r="E283" t="s">
        <v>1465</v>
      </c>
    </row>
    <row r="284" spans="1:5" ht="15.75" customHeight="1">
      <c r="A284" s="42">
        <v>46022</v>
      </c>
      <c r="B284" t="s">
        <v>599</v>
      </c>
      <c r="C284" t="s">
        <v>623</v>
      </c>
      <c r="D284" t="s">
        <v>1449</v>
      </c>
      <c r="E284" t="s">
        <v>1450</v>
      </c>
    </row>
    <row r="285" spans="1:5" ht="15.75" customHeight="1">
      <c r="A285" s="42">
        <v>46022</v>
      </c>
      <c r="B285" t="s">
        <v>627</v>
      </c>
      <c r="C285" t="s">
        <v>634</v>
      </c>
      <c r="D285" t="s">
        <v>1428</v>
      </c>
      <c r="E285" t="s">
        <v>1429</v>
      </c>
    </row>
    <row r="286" spans="1:5" ht="15.75" customHeight="1">
      <c r="A286" s="42">
        <v>46022</v>
      </c>
      <c r="B286" t="s">
        <v>627</v>
      </c>
      <c r="C286" t="s">
        <v>635</v>
      </c>
      <c r="D286" t="s">
        <v>1428</v>
      </c>
      <c r="E286" t="s">
        <v>1430</v>
      </c>
    </row>
    <row r="287" spans="1:5" ht="15.75" customHeight="1">
      <c r="A287" s="42">
        <v>46022</v>
      </c>
      <c r="B287" t="s">
        <v>627</v>
      </c>
      <c r="C287" t="s">
        <v>636</v>
      </c>
      <c r="D287" t="s">
        <v>1428</v>
      </c>
      <c r="E287" t="s">
        <v>1431</v>
      </c>
    </row>
    <row r="288" spans="1:5" ht="15.75" customHeight="1">
      <c r="A288" s="42">
        <v>46022</v>
      </c>
      <c r="B288" t="s">
        <v>627</v>
      </c>
      <c r="C288" t="s">
        <v>638</v>
      </c>
      <c r="D288" t="s">
        <v>1428</v>
      </c>
      <c r="E288" t="s">
        <v>1432</v>
      </c>
    </row>
    <row r="289" spans="1:5" ht="15.75" customHeight="1">
      <c r="A289" s="42">
        <v>46022</v>
      </c>
      <c r="B289" t="s">
        <v>627</v>
      </c>
      <c r="C289" t="s">
        <v>630</v>
      </c>
      <c r="D289" t="s">
        <v>1428</v>
      </c>
      <c r="E289" t="s">
        <v>1433</v>
      </c>
    </row>
    <row r="290" spans="1:5" ht="15.75" customHeight="1">
      <c r="A290" s="42">
        <v>46022</v>
      </c>
      <c r="B290" t="s">
        <v>627</v>
      </c>
      <c r="C290" t="s">
        <v>639</v>
      </c>
      <c r="D290" t="s">
        <v>1428</v>
      </c>
      <c r="E290" t="s">
        <v>1435</v>
      </c>
    </row>
    <row r="291" spans="1:5" ht="15.75" customHeight="1">
      <c r="A291" s="42">
        <v>46022</v>
      </c>
      <c r="B291" t="s">
        <v>627</v>
      </c>
      <c r="C291" t="s">
        <v>632</v>
      </c>
      <c r="D291" t="s">
        <v>1428</v>
      </c>
      <c r="E291" t="s">
        <v>1437</v>
      </c>
    </row>
    <row r="292" spans="1:5" ht="15.75" customHeight="1">
      <c r="A292" s="42">
        <v>46022</v>
      </c>
      <c r="B292" t="s">
        <v>627</v>
      </c>
      <c r="C292" t="s">
        <v>628</v>
      </c>
      <c r="D292" t="s">
        <v>1428</v>
      </c>
      <c r="E292" t="s">
        <v>1436</v>
      </c>
    </row>
    <row r="293" spans="1:5" ht="15.75" customHeight="1">
      <c r="A293" s="42">
        <v>46022</v>
      </c>
      <c r="B293" t="s">
        <v>627</v>
      </c>
      <c r="C293" t="s">
        <v>641</v>
      </c>
      <c r="D293" t="s">
        <v>1449</v>
      </c>
      <c r="E293" t="s">
        <v>1463</v>
      </c>
    </row>
    <row r="294" spans="1:5" ht="15.75" customHeight="1">
      <c r="A294" s="42">
        <v>46022</v>
      </c>
      <c r="B294" t="s">
        <v>642</v>
      </c>
      <c r="C294" t="s">
        <v>643</v>
      </c>
      <c r="D294" t="s">
        <v>1428</v>
      </c>
      <c r="E294" t="s">
        <v>1433</v>
      </c>
    </row>
    <row r="295" spans="1:5" ht="15.75" customHeight="1">
      <c r="A295" s="42">
        <v>46022</v>
      </c>
      <c r="B295" t="s">
        <v>642</v>
      </c>
      <c r="C295" t="s">
        <v>645</v>
      </c>
      <c r="D295" t="s">
        <v>1428</v>
      </c>
      <c r="E295" t="s">
        <v>1434</v>
      </c>
    </row>
    <row r="296" spans="1:5" ht="15.75" customHeight="1">
      <c r="A296" s="42">
        <v>46022</v>
      </c>
      <c r="B296" t="s">
        <v>642</v>
      </c>
      <c r="C296" t="s">
        <v>648</v>
      </c>
      <c r="D296" t="s">
        <v>1428</v>
      </c>
      <c r="E296" t="s">
        <v>1429</v>
      </c>
    </row>
    <row r="297" spans="1:5" ht="15.75" customHeight="1">
      <c r="A297" s="42">
        <v>46022</v>
      </c>
      <c r="B297" t="s">
        <v>642</v>
      </c>
      <c r="C297" t="s">
        <v>650</v>
      </c>
      <c r="D297" t="s">
        <v>1428</v>
      </c>
      <c r="E297" t="s">
        <v>1430</v>
      </c>
    </row>
    <row r="298" spans="1:5" ht="15.75" customHeight="1">
      <c r="A298" s="42">
        <v>46022</v>
      </c>
      <c r="B298" t="s">
        <v>642</v>
      </c>
      <c r="C298" t="s">
        <v>651</v>
      </c>
      <c r="D298" t="s">
        <v>1428</v>
      </c>
      <c r="E298" t="s">
        <v>1431</v>
      </c>
    </row>
    <row r="299" spans="1:5" ht="15.75" customHeight="1">
      <c r="A299" s="42">
        <v>46022</v>
      </c>
      <c r="B299" t="s">
        <v>642</v>
      </c>
      <c r="C299" t="s">
        <v>653</v>
      </c>
      <c r="D299" t="s">
        <v>1428</v>
      </c>
      <c r="E299" t="s">
        <v>1432</v>
      </c>
    </row>
    <row r="300" spans="1:5" ht="15.75" customHeight="1">
      <c r="A300" s="42">
        <v>46022</v>
      </c>
      <c r="B300" t="s">
        <v>642</v>
      </c>
      <c r="C300" t="s">
        <v>655</v>
      </c>
      <c r="D300" t="s">
        <v>1428</v>
      </c>
      <c r="E300" t="s">
        <v>1438</v>
      </c>
    </row>
    <row r="301" spans="1:5" ht="15.75" customHeight="1">
      <c r="A301" s="42">
        <v>46022</v>
      </c>
      <c r="B301" t="s">
        <v>642</v>
      </c>
      <c r="C301" t="s">
        <v>658</v>
      </c>
      <c r="D301" t="s">
        <v>1428</v>
      </c>
      <c r="E301" t="s">
        <v>1491</v>
      </c>
    </row>
    <row r="302" spans="1:5" ht="15.75" customHeight="1">
      <c r="A302" s="42">
        <v>46022</v>
      </c>
      <c r="B302" t="s">
        <v>642</v>
      </c>
      <c r="C302" t="s">
        <v>659</v>
      </c>
      <c r="D302" t="s">
        <v>1428</v>
      </c>
      <c r="E302" t="s">
        <v>1480</v>
      </c>
    </row>
    <row r="303" spans="1:5" ht="15.75" customHeight="1">
      <c r="A303" s="42">
        <v>46022</v>
      </c>
      <c r="B303" t="s">
        <v>642</v>
      </c>
      <c r="C303" t="s">
        <v>662</v>
      </c>
      <c r="D303" t="s">
        <v>1428</v>
      </c>
      <c r="E303" t="s">
        <v>1459</v>
      </c>
    </row>
    <row r="304" spans="1:5" ht="15.75" customHeight="1">
      <c r="A304" s="42">
        <v>46022</v>
      </c>
      <c r="B304" t="s">
        <v>642</v>
      </c>
      <c r="C304" t="s">
        <v>664</v>
      </c>
      <c r="D304" t="s">
        <v>1428</v>
      </c>
      <c r="E304" t="s">
        <v>1457</v>
      </c>
    </row>
    <row r="305" spans="1:5" ht="15.75" customHeight="1">
      <c r="A305" s="42">
        <v>46022</v>
      </c>
      <c r="B305" t="s">
        <v>642</v>
      </c>
      <c r="C305" t="s">
        <v>666</v>
      </c>
      <c r="D305" t="s">
        <v>1428</v>
      </c>
      <c r="E305" t="s">
        <v>1447</v>
      </c>
    </row>
    <row r="306" spans="1:5" ht="15.75" customHeight="1">
      <c r="A306" s="42">
        <v>46022</v>
      </c>
      <c r="B306" t="s">
        <v>642</v>
      </c>
      <c r="C306" t="s">
        <v>669</v>
      </c>
      <c r="D306" t="s">
        <v>1428</v>
      </c>
      <c r="E306" t="s">
        <v>1458</v>
      </c>
    </row>
    <row r="307" spans="1:5" ht="15.75" customHeight="1">
      <c r="A307" s="42">
        <v>46022</v>
      </c>
      <c r="B307" t="s">
        <v>642</v>
      </c>
      <c r="C307" t="s">
        <v>672</v>
      </c>
      <c r="D307" t="s">
        <v>1428</v>
      </c>
      <c r="E307" t="s">
        <v>1445</v>
      </c>
    </row>
    <row r="308" spans="1:5" ht="15.75" customHeight="1">
      <c r="A308" s="42">
        <v>46022</v>
      </c>
      <c r="B308" t="s">
        <v>642</v>
      </c>
      <c r="C308" t="s">
        <v>674</v>
      </c>
      <c r="D308" t="s">
        <v>1428</v>
      </c>
      <c r="E308" t="s">
        <v>1444</v>
      </c>
    </row>
    <row r="309" spans="1:5" ht="15.75" customHeight="1">
      <c r="A309" s="42">
        <v>46022</v>
      </c>
      <c r="B309" t="s">
        <v>642</v>
      </c>
      <c r="C309" t="s">
        <v>677</v>
      </c>
      <c r="D309" t="s">
        <v>1428</v>
      </c>
      <c r="E309" t="s">
        <v>1504</v>
      </c>
    </row>
    <row r="310" spans="1:5" ht="15.75" customHeight="1">
      <c r="A310" s="42">
        <v>46022</v>
      </c>
      <c r="B310" t="s">
        <v>642</v>
      </c>
      <c r="C310" t="s">
        <v>680</v>
      </c>
      <c r="D310" t="s">
        <v>1428</v>
      </c>
      <c r="E310" t="s">
        <v>1446</v>
      </c>
    </row>
    <row r="311" spans="1:5" ht="15.75" customHeight="1">
      <c r="A311" s="42">
        <v>46022</v>
      </c>
      <c r="B311" t="s">
        <v>642</v>
      </c>
      <c r="C311" t="s">
        <v>683</v>
      </c>
      <c r="D311" t="s">
        <v>1428</v>
      </c>
      <c r="E311" t="s">
        <v>1519</v>
      </c>
    </row>
    <row r="312" spans="1:5" ht="15.75" customHeight="1">
      <c r="A312" s="42">
        <v>46022</v>
      </c>
      <c r="B312" t="s">
        <v>642</v>
      </c>
      <c r="C312" t="s">
        <v>684</v>
      </c>
      <c r="D312" t="s">
        <v>1428</v>
      </c>
      <c r="E312" t="s">
        <v>1448</v>
      </c>
    </row>
    <row r="313" spans="1:5" ht="15.75" customHeight="1">
      <c r="A313" s="42">
        <v>46022</v>
      </c>
      <c r="B313" t="s">
        <v>642</v>
      </c>
      <c r="C313" t="s">
        <v>687</v>
      </c>
      <c r="D313" t="s">
        <v>1428</v>
      </c>
      <c r="E313" t="s">
        <v>1520</v>
      </c>
    </row>
    <row r="314" spans="1:5" ht="15.75" customHeight="1">
      <c r="A314" s="42">
        <v>46022</v>
      </c>
      <c r="B314" t="s">
        <v>642</v>
      </c>
      <c r="C314" t="s">
        <v>689</v>
      </c>
      <c r="D314" t="s">
        <v>1428</v>
      </c>
      <c r="E314" t="s">
        <v>1437</v>
      </c>
    </row>
    <row r="315" spans="1:5" ht="15.75" customHeight="1">
      <c r="A315" s="42">
        <v>46022</v>
      </c>
      <c r="B315" t="s">
        <v>642</v>
      </c>
      <c r="C315" t="s">
        <v>691</v>
      </c>
      <c r="D315" t="s">
        <v>1428</v>
      </c>
      <c r="E315" t="s">
        <v>1436</v>
      </c>
    </row>
    <row r="316" spans="1:5" ht="15.75" customHeight="1">
      <c r="A316" s="42">
        <v>46022</v>
      </c>
      <c r="B316" t="s">
        <v>642</v>
      </c>
      <c r="C316" t="s">
        <v>1521</v>
      </c>
      <c r="D316" t="s">
        <v>1428</v>
      </c>
      <c r="E316" t="s">
        <v>1435</v>
      </c>
    </row>
    <row r="317" spans="1:5" ht="15.75" customHeight="1">
      <c r="A317" s="42">
        <v>46022</v>
      </c>
      <c r="B317" t="s">
        <v>642</v>
      </c>
      <c r="C317" t="s">
        <v>692</v>
      </c>
      <c r="D317" t="s">
        <v>1428</v>
      </c>
      <c r="E317" t="s">
        <v>1460</v>
      </c>
    </row>
    <row r="318" spans="1:5" ht="15.75" customHeight="1">
      <c r="A318" s="42">
        <v>46022</v>
      </c>
      <c r="B318" t="s">
        <v>642</v>
      </c>
      <c r="C318" t="s">
        <v>694</v>
      </c>
      <c r="D318" t="s">
        <v>1428</v>
      </c>
      <c r="E318" t="s">
        <v>1516</v>
      </c>
    </row>
    <row r="319" spans="1:5" ht="15.75" customHeight="1">
      <c r="A319" s="42">
        <v>46022</v>
      </c>
      <c r="B319" t="s">
        <v>642</v>
      </c>
      <c r="C319" t="s">
        <v>695</v>
      </c>
      <c r="D319" t="s">
        <v>1449</v>
      </c>
      <c r="E319" t="s">
        <v>1450</v>
      </c>
    </row>
    <row r="320" spans="1:5" ht="15.75" customHeight="1">
      <c r="A320" s="42">
        <v>46022</v>
      </c>
      <c r="B320" t="s">
        <v>642</v>
      </c>
      <c r="C320" t="s">
        <v>698</v>
      </c>
      <c r="D320" t="s">
        <v>1449</v>
      </c>
      <c r="E320" t="s">
        <v>1463</v>
      </c>
    </row>
    <row r="321" spans="1:5" ht="15.75" customHeight="1">
      <c r="A321" s="42">
        <v>46022</v>
      </c>
      <c r="B321" t="s">
        <v>642</v>
      </c>
      <c r="C321" t="s">
        <v>699</v>
      </c>
      <c r="D321" t="s">
        <v>1449</v>
      </c>
      <c r="E321" t="s">
        <v>1453</v>
      </c>
    </row>
    <row r="322" spans="1:5" ht="15.75" customHeight="1">
      <c r="A322" s="42">
        <v>46022</v>
      </c>
      <c r="B322" t="s">
        <v>701</v>
      </c>
      <c r="C322" t="s">
        <v>702</v>
      </c>
      <c r="D322" t="s">
        <v>1449</v>
      </c>
      <c r="E322" t="s">
        <v>1465</v>
      </c>
    </row>
    <row r="323" spans="1:5" ht="15.75" customHeight="1">
      <c r="A323" s="42">
        <v>46022</v>
      </c>
      <c r="B323" t="s">
        <v>701</v>
      </c>
      <c r="C323" t="s">
        <v>704</v>
      </c>
      <c r="D323" t="s">
        <v>1449</v>
      </c>
      <c r="E323" t="s">
        <v>1450</v>
      </c>
    </row>
    <row r="324" spans="1:5" ht="15.75" customHeight="1">
      <c r="A324" s="42">
        <v>46022</v>
      </c>
      <c r="B324" t="s">
        <v>701</v>
      </c>
      <c r="C324" t="s">
        <v>707</v>
      </c>
      <c r="D324" t="s">
        <v>1449</v>
      </c>
      <c r="E324" t="s">
        <v>1463</v>
      </c>
    </row>
    <row r="325" spans="1:5" ht="15.75" customHeight="1">
      <c r="A325" s="42">
        <v>46022</v>
      </c>
      <c r="B325" t="s">
        <v>701</v>
      </c>
      <c r="C325" t="s">
        <v>709</v>
      </c>
      <c r="D325" t="s">
        <v>1449</v>
      </c>
      <c r="E325" t="s">
        <v>1453</v>
      </c>
    </row>
    <row r="326" spans="1:5" ht="15.75" customHeight="1">
      <c r="A326" s="42">
        <v>46022</v>
      </c>
      <c r="B326" t="s">
        <v>701</v>
      </c>
      <c r="C326" t="s">
        <v>710</v>
      </c>
      <c r="D326" t="s">
        <v>1449</v>
      </c>
      <c r="E326" t="s">
        <v>1451</v>
      </c>
    </row>
    <row r="327" spans="1:5" ht="15.75" customHeight="1">
      <c r="A327" s="42">
        <v>46022</v>
      </c>
      <c r="B327" t="s">
        <v>701</v>
      </c>
      <c r="C327" t="s">
        <v>720</v>
      </c>
      <c r="D327" t="s">
        <v>1428</v>
      </c>
      <c r="E327" t="s">
        <v>1429</v>
      </c>
    </row>
    <row r="328" spans="1:5" ht="15.75" customHeight="1">
      <c r="A328" s="42">
        <v>46022</v>
      </c>
      <c r="B328" t="s">
        <v>701</v>
      </c>
      <c r="C328" t="s">
        <v>723</v>
      </c>
      <c r="D328" t="s">
        <v>1428</v>
      </c>
      <c r="E328" t="s">
        <v>1430</v>
      </c>
    </row>
    <row r="329" spans="1:5" ht="15.75" customHeight="1">
      <c r="A329" s="42">
        <v>46022</v>
      </c>
      <c r="B329" t="s">
        <v>701</v>
      </c>
      <c r="C329" t="s">
        <v>724</v>
      </c>
      <c r="D329" t="s">
        <v>1428</v>
      </c>
      <c r="E329" t="s">
        <v>1431</v>
      </c>
    </row>
    <row r="330" spans="1:5" ht="15.75" customHeight="1">
      <c r="A330" s="42">
        <v>46022</v>
      </c>
      <c r="B330" t="s">
        <v>701</v>
      </c>
      <c r="C330" t="s">
        <v>728</v>
      </c>
      <c r="D330" t="s">
        <v>1428</v>
      </c>
      <c r="E330" t="s">
        <v>1432</v>
      </c>
    </row>
    <row r="331" spans="1:5" ht="15.75" customHeight="1">
      <c r="A331" s="42">
        <v>46022</v>
      </c>
      <c r="B331" t="s">
        <v>701</v>
      </c>
      <c r="C331" t="s">
        <v>715</v>
      </c>
      <c r="D331" t="s">
        <v>1428</v>
      </c>
      <c r="E331" t="s">
        <v>1433</v>
      </c>
    </row>
    <row r="332" spans="1:5" ht="15.75" customHeight="1">
      <c r="A332" s="42">
        <v>46022</v>
      </c>
      <c r="B332" t="s">
        <v>701</v>
      </c>
      <c r="C332" t="s">
        <v>727</v>
      </c>
      <c r="D332" t="s">
        <v>1428</v>
      </c>
      <c r="E332" t="s">
        <v>1434</v>
      </c>
    </row>
    <row r="333" spans="1:5" ht="15.75" customHeight="1">
      <c r="A333" s="42">
        <v>46022</v>
      </c>
      <c r="B333" t="s">
        <v>701</v>
      </c>
      <c r="C333" t="s">
        <v>731</v>
      </c>
      <c r="D333" t="s">
        <v>1428</v>
      </c>
      <c r="E333" t="s">
        <v>1435</v>
      </c>
    </row>
    <row r="334" spans="1:5" ht="15.75" customHeight="1">
      <c r="A334" s="42">
        <v>46022</v>
      </c>
      <c r="B334" t="s">
        <v>701</v>
      </c>
      <c r="C334" t="s">
        <v>717</v>
      </c>
      <c r="D334" t="s">
        <v>1428</v>
      </c>
      <c r="E334" t="s">
        <v>1437</v>
      </c>
    </row>
    <row r="335" spans="1:5" ht="15.75" customHeight="1">
      <c r="A335" s="42">
        <v>46022</v>
      </c>
      <c r="B335" t="s">
        <v>701</v>
      </c>
      <c r="C335" t="s">
        <v>732</v>
      </c>
      <c r="D335" t="s">
        <v>1428</v>
      </c>
      <c r="E335" t="s">
        <v>1438</v>
      </c>
    </row>
    <row r="336" spans="1:5" ht="15.75" customHeight="1">
      <c r="A336" s="42">
        <v>46022</v>
      </c>
      <c r="B336" t="s">
        <v>701</v>
      </c>
      <c r="C336" t="s">
        <v>734</v>
      </c>
      <c r="D336" t="s">
        <v>1428</v>
      </c>
      <c r="E336" t="s">
        <v>1459</v>
      </c>
    </row>
    <row r="337" spans="1:5" ht="15.75" customHeight="1">
      <c r="A337" s="42">
        <v>46022</v>
      </c>
      <c r="B337" t="s">
        <v>701</v>
      </c>
      <c r="C337" t="s">
        <v>737</v>
      </c>
      <c r="D337" t="s">
        <v>1428</v>
      </c>
      <c r="E337" t="s">
        <v>1472</v>
      </c>
    </row>
    <row r="338" spans="1:5" ht="15.75" customHeight="1">
      <c r="A338" s="42">
        <v>46022</v>
      </c>
      <c r="B338" t="s">
        <v>701</v>
      </c>
      <c r="C338" t="s">
        <v>738</v>
      </c>
      <c r="D338" t="s">
        <v>1428</v>
      </c>
      <c r="E338" t="s">
        <v>1480</v>
      </c>
    </row>
    <row r="339" spans="1:5" ht="15.75" customHeight="1">
      <c r="A339" s="42">
        <v>46022</v>
      </c>
      <c r="B339" t="s">
        <v>701</v>
      </c>
      <c r="C339" t="s">
        <v>740</v>
      </c>
      <c r="D339" t="s">
        <v>1428</v>
      </c>
      <c r="E339" t="s">
        <v>1445</v>
      </c>
    </row>
    <row r="340" spans="1:5" ht="15.75" customHeight="1">
      <c r="A340" s="42">
        <v>46022</v>
      </c>
      <c r="B340" t="s">
        <v>701</v>
      </c>
      <c r="C340" t="s">
        <v>741</v>
      </c>
      <c r="D340" t="s">
        <v>1428</v>
      </c>
      <c r="E340" t="s">
        <v>1458</v>
      </c>
    </row>
    <row r="341" spans="1:5" ht="15.75" customHeight="1">
      <c r="A341" s="42">
        <v>46022</v>
      </c>
      <c r="B341" t="s">
        <v>701</v>
      </c>
      <c r="C341" t="s">
        <v>742</v>
      </c>
      <c r="D341" t="s">
        <v>1428</v>
      </c>
      <c r="E341" t="s">
        <v>1464</v>
      </c>
    </row>
    <row r="342" spans="1:5" ht="15.75" customHeight="1">
      <c r="A342" s="42">
        <v>46022</v>
      </c>
      <c r="B342" t="s">
        <v>745</v>
      </c>
      <c r="C342" t="s">
        <v>746</v>
      </c>
      <c r="D342" t="s">
        <v>1428</v>
      </c>
      <c r="E342" t="s">
        <v>1429</v>
      </c>
    </row>
    <row r="343" spans="1:5" ht="15.75" customHeight="1">
      <c r="A343" s="42">
        <v>46022</v>
      </c>
      <c r="B343" t="s">
        <v>745</v>
      </c>
      <c r="C343" t="s">
        <v>748</v>
      </c>
      <c r="D343" t="s">
        <v>1428</v>
      </c>
      <c r="E343" t="s">
        <v>1430</v>
      </c>
    </row>
    <row r="344" spans="1:5" ht="15.75" customHeight="1">
      <c r="A344" s="42">
        <v>46022</v>
      </c>
      <c r="B344" t="s">
        <v>745</v>
      </c>
      <c r="C344" t="s">
        <v>750</v>
      </c>
      <c r="D344" t="s">
        <v>1428</v>
      </c>
      <c r="E344" t="s">
        <v>1431</v>
      </c>
    </row>
    <row r="345" spans="1:5" ht="15.75" customHeight="1">
      <c r="A345" s="42">
        <v>46022</v>
      </c>
      <c r="B345" t="s">
        <v>745</v>
      </c>
      <c r="C345" t="s">
        <v>753</v>
      </c>
      <c r="D345" t="s">
        <v>1428</v>
      </c>
      <c r="E345" t="s">
        <v>1432</v>
      </c>
    </row>
    <row r="346" spans="1:5" ht="15.75" customHeight="1">
      <c r="A346" s="42">
        <v>46022</v>
      </c>
      <c r="B346" t="s">
        <v>745</v>
      </c>
      <c r="C346" t="s">
        <v>756</v>
      </c>
      <c r="D346" t="s">
        <v>1428</v>
      </c>
      <c r="E346" t="s">
        <v>1433</v>
      </c>
    </row>
    <row r="347" spans="1:5" ht="15.75" customHeight="1">
      <c r="A347" s="42">
        <v>46022</v>
      </c>
      <c r="B347" t="s">
        <v>745</v>
      </c>
      <c r="C347" t="s">
        <v>758</v>
      </c>
      <c r="D347" t="s">
        <v>1428</v>
      </c>
      <c r="E347" t="s">
        <v>1434</v>
      </c>
    </row>
    <row r="348" spans="1:5" ht="15.75" customHeight="1">
      <c r="A348" s="42">
        <v>46022</v>
      </c>
      <c r="B348" t="s">
        <v>745</v>
      </c>
      <c r="C348" t="s">
        <v>761</v>
      </c>
      <c r="D348" t="s">
        <v>1428</v>
      </c>
      <c r="E348" t="s">
        <v>1435</v>
      </c>
    </row>
    <row r="349" spans="1:5" ht="15.75" customHeight="1">
      <c r="A349" s="42">
        <v>46022</v>
      </c>
      <c r="B349" t="s">
        <v>745</v>
      </c>
      <c r="C349" t="s">
        <v>762</v>
      </c>
      <c r="D349" t="s">
        <v>1428</v>
      </c>
      <c r="E349" t="s">
        <v>1437</v>
      </c>
    </row>
    <row r="350" spans="1:5" ht="15.75" customHeight="1">
      <c r="A350" s="42">
        <v>46022</v>
      </c>
      <c r="B350" t="s">
        <v>745</v>
      </c>
      <c r="C350" t="s">
        <v>765</v>
      </c>
      <c r="D350" t="s">
        <v>1428</v>
      </c>
      <c r="E350" t="s">
        <v>1436</v>
      </c>
    </row>
    <row r="351" spans="1:5" ht="15.75" customHeight="1">
      <c r="A351" s="42">
        <v>46022</v>
      </c>
      <c r="B351" t="s">
        <v>745</v>
      </c>
      <c r="C351" t="s">
        <v>766</v>
      </c>
      <c r="D351" t="s">
        <v>1428</v>
      </c>
      <c r="E351" t="s">
        <v>1466</v>
      </c>
    </row>
    <row r="352" spans="1:5" ht="15.75" customHeight="1">
      <c r="A352" s="42">
        <v>46022</v>
      </c>
      <c r="B352" t="s">
        <v>745</v>
      </c>
      <c r="C352" t="s">
        <v>768</v>
      </c>
      <c r="D352" t="s">
        <v>1428</v>
      </c>
      <c r="E352" t="s">
        <v>1479</v>
      </c>
    </row>
    <row r="353" spans="1:5" ht="15.75" customHeight="1">
      <c r="A353" s="42">
        <v>46022</v>
      </c>
      <c r="B353" t="s">
        <v>745</v>
      </c>
      <c r="C353" t="s">
        <v>771</v>
      </c>
      <c r="D353" t="s">
        <v>1428</v>
      </c>
      <c r="E353" t="s">
        <v>1467</v>
      </c>
    </row>
    <row r="354" spans="1:5" ht="15.75" customHeight="1">
      <c r="A354" s="42">
        <v>46022</v>
      </c>
      <c r="B354" t="s">
        <v>745</v>
      </c>
      <c r="C354" t="s">
        <v>773</v>
      </c>
      <c r="D354" t="s">
        <v>1428</v>
      </c>
      <c r="E354" t="s">
        <v>1476</v>
      </c>
    </row>
    <row r="355" spans="1:5" ht="15.75" customHeight="1">
      <c r="A355" s="42">
        <v>46022</v>
      </c>
      <c r="B355" t="s">
        <v>745</v>
      </c>
      <c r="C355" t="s">
        <v>776</v>
      </c>
      <c r="D355" t="s">
        <v>1449</v>
      </c>
      <c r="E355" t="s">
        <v>1463</v>
      </c>
    </row>
    <row r="356" spans="1:5" ht="15.75" customHeight="1">
      <c r="A356" s="42">
        <v>46022</v>
      </c>
      <c r="B356" t="s">
        <v>745</v>
      </c>
      <c r="C356" t="s">
        <v>779</v>
      </c>
      <c r="D356" t="s">
        <v>1449</v>
      </c>
      <c r="E356" t="s">
        <v>1450</v>
      </c>
    </row>
    <row r="357" spans="1:5" ht="15.75" customHeight="1">
      <c r="A357" s="42">
        <v>46022</v>
      </c>
      <c r="B357" t="s">
        <v>745</v>
      </c>
      <c r="C357" t="s">
        <v>782</v>
      </c>
      <c r="D357" t="s">
        <v>1449</v>
      </c>
      <c r="E357" t="s">
        <v>1453</v>
      </c>
    </row>
    <row r="358" spans="1:5" ht="15.75" customHeight="1">
      <c r="A358" s="42">
        <v>46022</v>
      </c>
      <c r="B358" t="s">
        <v>745</v>
      </c>
      <c r="C358" t="s">
        <v>785</v>
      </c>
      <c r="D358" t="s">
        <v>1449</v>
      </c>
      <c r="E358" t="s">
        <v>1451</v>
      </c>
    </row>
    <row r="359" spans="1:5" ht="15.75" customHeight="1">
      <c r="A359" s="42">
        <v>46022</v>
      </c>
      <c r="B359" t="s">
        <v>820</v>
      </c>
      <c r="C359" t="s">
        <v>821</v>
      </c>
      <c r="D359" t="s">
        <v>1428</v>
      </c>
      <c r="E359" t="s">
        <v>1429</v>
      </c>
    </row>
    <row r="360" spans="1:5" ht="15.75" customHeight="1">
      <c r="A360" s="42">
        <v>46022</v>
      </c>
      <c r="B360" t="s">
        <v>820</v>
      </c>
      <c r="C360" t="s">
        <v>824</v>
      </c>
      <c r="D360" t="s">
        <v>1428</v>
      </c>
      <c r="E360" t="s">
        <v>1430</v>
      </c>
    </row>
    <row r="361" spans="1:5" ht="15.75" customHeight="1">
      <c r="A361" s="42">
        <v>46022</v>
      </c>
      <c r="B361" t="s">
        <v>820</v>
      </c>
      <c r="C361" t="s">
        <v>825</v>
      </c>
      <c r="D361" t="s">
        <v>1428</v>
      </c>
      <c r="E361" t="s">
        <v>1431</v>
      </c>
    </row>
    <row r="362" spans="1:5" ht="15.75" customHeight="1">
      <c r="A362" s="42">
        <v>46022</v>
      </c>
      <c r="B362" t="s">
        <v>820</v>
      </c>
      <c r="C362" t="s">
        <v>828</v>
      </c>
      <c r="D362" t="s">
        <v>1428</v>
      </c>
      <c r="E362" t="s">
        <v>1432</v>
      </c>
    </row>
    <row r="363" spans="1:5" ht="15.75" customHeight="1">
      <c r="A363" s="42">
        <v>46022</v>
      </c>
      <c r="B363" t="s">
        <v>820</v>
      </c>
      <c r="C363" t="s">
        <v>829</v>
      </c>
      <c r="D363" t="s">
        <v>1428</v>
      </c>
      <c r="E363" t="s">
        <v>1433</v>
      </c>
    </row>
    <row r="364" spans="1:5" ht="15.75" customHeight="1">
      <c r="A364" s="42">
        <v>46022</v>
      </c>
      <c r="B364" t="s">
        <v>820</v>
      </c>
      <c r="C364" t="s">
        <v>832</v>
      </c>
      <c r="D364" t="s">
        <v>1428</v>
      </c>
      <c r="E364" t="s">
        <v>1437</v>
      </c>
    </row>
    <row r="365" spans="1:5" ht="15.75" customHeight="1">
      <c r="A365" s="42">
        <v>46022</v>
      </c>
      <c r="B365" t="s">
        <v>820</v>
      </c>
      <c r="C365" t="s">
        <v>835</v>
      </c>
      <c r="D365" t="s">
        <v>1428</v>
      </c>
      <c r="E365" t="s">
        <v>1434</v>
      </c>
    </row>
    <row r="366" spans="1:5" ht="15.75" customHeight="1">
      <c r="A366" s="42">
        <v>46022</v>
      </c>
      <c r="B366" t="s">
        <v>820</v>
      </c>
      <c r="C366" t="s">
        <v>836</v>
      </c>
      <c r="D366" t="s">
        <v>1428</v>
      </c>
      <c r="E366" t="s">
        <v>1436</v>
      </c>
    </row>
    <row r="367" spans="1:5" ht="15.75" customHeight="1">
      <c r="A367" s="42">
        <v>46022</v>
      </c>
      <c r="B367" t="s">
        <v>820</v>
      </c>
      <c r="C367" t="s">
        <v>839</v>
      </c>
      <c r="D367" t="s">
        <v>1428</v>
      </c>
      <c r="E367" t="s">
        <v>1448</v>
      </c>
    </row>
    <row r="368" spans="1:5" ht="15.75" customHeight="1">
      <c r="A368" s="42">
        <v>46022</v>
      </c>
      <c r="B368" t="s">
        <v>820</v>
      </c>
      <c r="C368" t="s">
        <v>842</v>
      </c>
      <c r="D368" t="s">
        <v>1428</v>
      </c>
      <c r="E368" t="s">
        <v>1522</v>
      </c>
    </row>
    <row r="369" spans="1:5" ht="15.75" customHeight="1">
      <c r="A369" s="42">
        <v>46022</v>
      </c>
      <c r="B369" t="s">
        <v>820</v>
      </c>
      <c r="C369" t="s">
        <v>845</v>
      </c>
      <c r="D369" t="s">
        <v>1428</v>
      </c>
      <c r="E369" t="s">
        <v>1522</v>
      </c>
    </row>
    <row r="370" spans="1:5" ht="15.75" customHeight="1">
      <c r="A370" s="42">
        <v>46022</v>
      </c>
      <c r="B370" t="s">
        <v>820</v>
      </c>
      <c r="C370" t="s">
        <v>846</v>
      </c>
      <c r="D370" t="s">
        <v>1428</v>
      </c>
      <c r="E370" t="s">
        <v>1522</v>
      </c>
    </row>
    <row r="371" spans="1:5" ht="15.75" customHeight="1">
      <c r="A371" s="42">
        <v>46022</v>
      </c>
      <c r="B371" t="s">
        <v>820</v>
      </c>
      <c r="C371" t="s">
        <v>847</v>
      </c>
      <c r="D371" t="s">
        <v>1428</v>
      </c>
      <c r="E371" t="s">
        <v>1522</v>
      </c>
    </row>
    <row r="372" spans="1:5" ht="15.75" customHeight="1">
      <c r="A372" s="42">
        <v>46022</v>
      </c>
      <c r="B372" t="s">
        <v>820</v>
      </c>
      <c r="C372" t="s">
        <v>850</v>
      </c>
      <c r="D372" t="s">
        <v>1428</v>
      </c>
      <c r="E372" t="s">
        <v>1522</v>
      </c>
    </row>
    <row r="373" spans="1:5" ht="15.75" customHeight="1">
      <c r="A373" s="42">
        <v>46022</v>
      </c>
      <c r="B373" t="s">
        <v>820</v>
      </c>
      <c r="C373" t="s">
        <v>851</v>
      </c>
      <c r="D373" t="s">
        <v>1428</v>
      </c>
      <c r="E373" t="s">
        <v>1522</v>
      </c>
    </row>
    <row r="374" spans="1:5" ht="15.75" customHeight="1">
      <c r="A374" s="42">
        <v>46022</v>
      </c>
      <c r="B374" t="s">
        <v>820</v>
      </c>
      <c r="C374" t="s">
        <v>852</v>
      </c>
      <c r="D374" t="s">
        <v>1428</v>
      </c>
      <c r="E374" t="s">
        <v>1430</v>
      </c>
    </row>
    <row r="375" spans="1:5" ht="15.75" customHeight="1">
      <c r="A375" s="42">
        <v>46022</v>
      </c>
      <c r="B375" t="s">
        <v>820</v>
      </c>
      <c r="C375" t="s">
        <v>853</v>
      </c>
      <c r="D375" t="s">
        <v>1428</v>
      </c>
      <c r="E375" t="s">
        <v>1522</v>
      </c>
    </row>
    <row r="376" spans="1:5" ht="15.75" customHeight="1">
      <c r="A376" s="42">
        <v>46022</v>
      </c>
      <c r="B376" t="s">
        <v>820</v>
      </c>
      <c r="C376" t="s">
        <v>854</v>
      </c>
      <c r="D376" t="s">
        <v>1428</v>
      </c>
      <c r="E376" t="s">
        <v>1522</v>
      </c>
    </row>
    <row r="377" spans="1:5" ht="15.75" customHeight="1">
      <c r="A377" s="42">
        <v>46022</v>
      </c>
      <c r="B377" t="s">
        <v>820</v>
      </c>
      <c r="C377" t="s">
        <v>855</v>
      </c>
      <c r="D377" t="s">
        <v>1449</v>
      </c>
      <c r="E377" t="s">
        <v>1450</v>
      </c>
    </row>
    <row r="378" spans="1:5" ht="15.75" customHeight="1">
      <c r="A378" s="42">
        <v>46022</v>
      </c>
      <c r="B378" t="s">
        <v>856</v>
      </c>
      <c r="C378" t="s">
        <v>865</v>
      </c>
      <c r="D378" t="s">
        <v>1428</v>
      </c>
      <c r="E378" t="s">
        <v>1429</v>
      </c>
    </row>
    <row r="379" spans="1:5" ht="15.75" customHeight="1">
      <c r="A379" s="42">
        <v>46022</v>
      </c>
      <c r="B379" t="s">
        <v>856</v>
      </c>
      <c r="C379" t="s">
        <v>870</v>
      </c>
      <c r="D379" t="s">
        <v>1428</v>
      </c>
      <c r="E379" t="s">
        <v>1431</v>
      </c>
    </row>
    <row r="380" spans="1:5" ht="15.75" customHeight="1">
      <c r="A380" s="42">
        <v>46022</v>
      </c>
      <c r="B380" t="s">
        <v>856</v>
      </c>
      <c r="C380" t="s">
        <v>868</v>
      </c>
      <c r="D380" t="s">
        <v>1428</v>
      </c>
      <c r="E380" t="s">
        <v>1430</v>
      </c>
    </row>
    <row r="381" spans="1:5" ht="15.75" customHeight="1">
      <c r="A381" s="42">
        <v>46022</v>
      </c>
      <c r="B381" t="s">
        <v>856</v>
      </c>
      <c r="C381" t="s">
        <v>874</v>
      </c>
      <c r="D381" t="s">
        <v>1428</v>
      </c>
      <c r="E381" t="s">
        <v>1432</v>
      </c>
    </row>
    <row r="382" spans="1:5" ht="15.75" customHeight="1">
      <c r="A382" s="42">
        <v>46022</v>
      </c>
      <c r="B382" t="s">
        <v>856</v>
      </c>
      <c r="C382" t="s">
        <v>859</v>
      </c>
      <c r="D382" t="s">
        <v>1428</v>
      </c>
      <c r="E382" t="s">
        <v>1433</v>
      </c>
    </row>
    <row r="383" spans="1:5" ht="15.75" customHeight="1">
      <c r="A383" s="42">
        <v>46022</v>
      </c>
      <c r="B383" t="s">
        <v>856</v>
      </c>
      <c r="C383" t="s">
        <v>871</v>
      </c>
      <c r="D383" t="s">
        <v>1428</v>
      </c>
      <c r="E383" t="s">
        <v>1434</v>
      </c>
    </row>
    <row r="384" spans="1:5" ht="15.75" customHeight="1">
      <c r="A384" s="42">
        <v>46022</v>
      </c>
      <c r="B384" t="s">
        <v>856</v>
      </c>
      <c r="C384" t="s">
        <v>862</v>
      </c>
      <c r="D384" t="s">
        <v>1428</v>
      </c>
      <c r="E384" t="s">
        <v>1437</v>
      </c>
    </row>
    <row r="385" spans="1:5" ht="15.75" customHeight="1">
      <c r="A385" s="42">
        <v>46022</v>
      </c>
      <c r="B385" t="s">
        <v>856</v>
      </c>
      <c r="C385" t="s">
        <v>876</v>
      </c>
      <c r="D385" t="s">
        <v>1428</v>
      </c>
      <c r="E385" t="s">
        <v>1435</v>
      </c>
    </row>
    <row r="386" spans="1:5" ht="15.75" customHeight="1">
      <c r="A386" s="42">
        <v>46022</v>
      </c>
      <c r="B386" t="s">
        <v>856</v>
      </c>
      <c r="C386" t="s">
        <v>857</v>
      </c>
      <c r="D386" t="s">
        <v>1428</v>
      </c>
      <c r="E386" t="s">
        <v>1436</v>
      </c>
    </row>
    <row r="387" spans="1:5" ht="15.75" customHeight="1">
      <c r="A387" s="42">
        <v>46022</v>
      </c>
      <c r="B387" t="s">
        <v>856</v>
      </c>
      <c r="C387" t="s">
        <v>879</v>
      </c>
      <c r="D387" t="s">
        <v>1428</v>
      </c>
      <c r="E387" t="s">
        <v>1467</v>
      </c>
    </row>
    <row r="388" spans="1:5" ht="15.75" customHeight="1">
      <c r="A388" s="42">
        <v>46022</v>
      </c>
      <c r="B388" t="s">
        <v>856</v>
      </c>
      <c r="C388" t="s">
        <v>881</v>
      </c>
      <c r="D388" t="s">
        <v>1428</v>
      </c>
      <c r="E388" t="s">
        <v>1523</v>
      </c>
    </row>
    <row r="389" spans="1:5" ht="15.75" customHeight="1">
      <c r="A389" s="42">
        <v>46022</v>
      </c>
      <c r="B389" t="s">
        <v>856</v>
      </c>
      <c r="C389" t="s">
        <v>883</v>
      </c>
      <c r="D389" t="s">
        <v>1428</v>
      </c>
      <c r="E389" t="s">
        <v>1524</v>
      </c>
    </row>
    <row r="390" spans="1:5" ht="15.75" customHeight="1">
      <c r="A390" s="42">
        <v>46022</v>
      </c>
      <c r="B390" t="s">
        <v>856</v>
      </c>
      <c r="C390" t="s">
        <v>885</v>
      </c>
      <c r="D390" t="s">
        <v>1428</v>
      </c>
      <c r="E390" t="s">
        <v>1466</v>
      </c>
    </row>
    <row r="391" spans="1:5" ht="15.75" customHeight="1">
      <c r="A391" s="42">
        <v>46022</v>
      </c>
      <c r="B391" t="s">
        <v>856</v>
      </c>
      <c r="C391" t="s">
        <v>887</v>
      </c>
      <c r="D391" t="s">
        <v>1428</v>
      </c>
      <c r="E391" t="s">
        <v>1525</v>
      </c>
    </row>
    <row r="392" spans="1:5" ht="15.75" customHeight="1">
      <c r="A392" s="42">
        <v>46022</v>
      </c>
      <c r="B392" t="s">
        <v>856</v>
      </c>
      <c r="C392" t="s">
        <v>889</v>
      </c>
      <c r="D392" t="s">
        <v>1428</v>
      </c>
      <c r="E392" t="s">
        <v>1526</v>
      </c>
    </row>
    <row r="393" spans="1:5" ht="15.75" customHeight="1">
      <c r="A393" s="42">
        <v>46022</v>
      </c>
      <c r="B393" t="s">
        <v>856</v>
      </c>
      <c r="C393" t="s">
        <v>890</v>
      </c>
      <c r="D393" t="s">
        <v>1428</v>
      </c>
      <c r="E393" t="s">
        <v>1527</v>
      </c>
    </row>
    <row r="394" spans="1:5" ht="15.75" customHeight="1">
      <c r="A394" s="42">
        <v>46022</v>
      </c>
      <c r="B394" t="s">
        <v>856</v>
      </c>
      <c r="C394" t="s">
        <v>891</v>
      </c>
      <c r="D394" t="s">
        <v>1428</v>
      </c>
      <c r="E394" t="s">
        <v>1528</v>
      </c>
    </row>
    <row r="395" spans="1:5" ht="15.75" customHeight="1">
      <c r="A395" s="42">
        <v>46022</v>
      </c>
      <c r="B395" t="s">
        <v>856</v>
      </c>
      <c r="C395" t="s">
        <v>892</v>
      </c>
      <c r="D395" t="s">
        <v>1428</v>
      </c>
      <c r="E395" t="s">
        <v>1473</v>
      </c>
    </row>
    <row r="396" spans="1:5" ht="15.75" customHeight="1">
      <c r="A396" s="42">
        <v>46022</v>
      </c>
      <c r="B396" t="s">
        <v>856</v>
      </c>
      <c r="C396" t="s">
        <v>893</v>
      </c>
      <c r="D396" t="s">
        <v>1428</v>
      </c>
      <c r="E396" t="s">
        <v>1529</v>
      </c>
    </row>
    <row r="397" spans="1:5" ht="15.75" customHeight="1">
      <c r="A397" s="42">
        <v>46022</v>
      </c>
      <c r="B397" t="s">
        <v>856</v>
      </c>
      <c r="C397" t="s">
        <v>894</v>
      </c>
      <c r="D397" t="s">
        <v>1428</v>
      </c>
      <c r="E397" t="s">
        <v>1530</v>
      </c>
    </row>
    <row r="398" spans="1:5" ht="15.75" customHeight="1">
      <c r="A398" s="42">
        <v>46022</v>
      </c>
      <c r="B398" t="s">
        <v>856</v>
      </c>
      <c r="C398" t="s">
        <v>896</v>
      </c>
      <c r="D398" t="s">
        <v>1428</v>
      </c>
      <c r="E398" t="s">
        <v>1531</v>
      </c>
    </row>
    <row r="399" spans="1:5" ht="15.75" customHeight="1">
      <c r="A399" s="42">
        <v>46022</v>
      </c>
      <c r="B399" t="s">
        <v>856</v>
      </c>
      <c r="C399" t="s">
        <v>898</v>
      </c>
      <c r="D399" t="s">
        <v>1428</v>
      </c>
      <c r="E399" t="s">
        <v>1532</v>
      </c>
    </row>
    <row r="400" spans="1:5" ht="15.75" customHeight="1">
      <c r="A400" s="42">
        <v>46022</v>
      </c>
      <c r="B400" t="s">
        <v>856</v>
      </c>
      <c r="C400" t="s">
        <v>901</v>
      </c>
      <c r="D400" t="s">
        <v>1428</v>
      </c>
      <c r="E400" t="s">
        <v>1533</v>
      </c>
    </row>
    <row r="401" spans="1:5" ht="15.75" customHeight="1">
      <c r="A401" s="42">
        <v>46022</v>
      </c>
      <c r="B401" t="s">
        <v>856</v>
      </c>
      <c r="C401" t="s">
        <v>904</v>
      </c>
      <c r="D401" t="s">
        <v>1428</v>
      </c>
      <c r="E401" t="s">
        <v>1534</v>
      </c>
    </row>
    <row r="402" spans="1:5" ht="15.75" customHeight="1">
      <c r="A402" s="42">
        <v>46022</v>
      </c>
      <c r="B402" t="s">
        <v>856</v>
      </c>
      <c r="C402" t="s">
        <v>907</v>
      </c>
      <c r="D402" t="s">
        <v>1428</v>
      </c>
      <c r="E402" t="s">
        <v>1535</v>
      </c>
    </row>
    <row r="403" spans="1:5" ht="15.75" customHeight="1">
      <c r="A403" s="42">
        <v>46022</v>
      </c>
      <c r="B403" t="s">
        <v>913</v>
      </c>
      <c r="C403" t="s">
        <v>914</v>
      </c>
      <c r="D403" t="s">
        <v>1428</v>
      </c>
      <c r="E403" t="s">
        <v>1433</v>
      </c>
    </row>
    <row r="404" spans="1:5" ht="15.75" customHeight="1">
      <c r="A404" s="42">
        <v>46022</v>
      </c>
      <c r="B404" t="s">
        <v>913</v>
      </c>
      <c r="C404" t="s">
        <v>917</v>
      </c>
      <c r="D404" t="s">
        <v>1428</v>
      </c>
      <c r="E404" t="s">
        <v>1436</v>
      </c>
    </row>
    <row r="405" spans="1:5" ht="15.75" customHeight="1">
      <c r="A405" s="42">
        <v>46022</v>
      </c>
      <c r="B405" t="s">
        <v>913</v>
      </c>
      <c r="C405" t="s">
        <v>918</v>
      </c>
      <c r="D405" t="s">
        <v>1536</v>
      </c>
      <c r="E405" t="s">
        <v>1537</v>
      </c>
    </row>
    <row r="406" spans="1:5" ht="15.75" customHeight="1">
      <c r="A406" s="42">
        <v>46022</v>
      </c>
      <c r="B406" t="s">
        <v>913</v>
      </c>
      <c r="C406" t="s">
        <v>921</v>
      </c>
      <c r="D406" t="s">
        <v>1449</v>
      </c>
      <c r="E406" t="s">
        <v>1482</v>
      </c>
    </row>
    <row r="407" spans="1:5" ht="15.75" customHeight="1">
      <c r="A407" s="42">
        <v>46022</v>
      </c>
      <c r="B407" t="s">
        <v>913</v>
      </c>
      <c r="C407" t="s">
        <v>922</v>
      </c>
      <c r="D407" t="s">
        <v>1449</v>
      </c>
      <c r="E407" t="s">
        <v>1538</v>
      </c>
    </row>
    <row r="408" spans="1:5" ht="15.75" customHeight="1">
      <c r="A408" s="42">
        <v>46022</v>
      </c>
      <c r="B408" t="s">
        <v>923</v>
      </c>
      <c r="C408" t="s">
        <v>924</v>
      </c>
      <c r="D408" t="s">
        <v>1428</v>
      </c>
      <c r="E408" t="s">
        <v>1429</v>
      </c>
    </row>
    <row r="409" spans="1:5" ht="15.75" customHeight="1">
      <c r="A409" s="42">
        <v>46022</v>
      </c>
      <c r="B409" t="s">
        <v>923</v>
      </c>
      <c r="C409" t="s">
        <v>927</v>
      </c>
      <c r="D409" t="s">
        <v>1428</v>
      </c>
      <c r="E409" t="s">
        <v>1430</v>
      </c>
    </row>
    <row r="410" spans="1:5" ht="15.75" customHeight="1">
      <c r="A410" s="42">
        <v>46022</v>
      </c>
      <c r="B410" t="s">
        <v>923</v>
      </c>
      <c r="C410" t="s">
        <v>930</v>
      </c>
      <c r="D410" t="s">
        <v>1428</v>
      </c>
      <c r="E410" t="s">
        <v>1431</v>
      </c>
    </row>
    <row r="411" spans="1:5" ht="15.75" customHeight="1">
      <c r="A411" s="42">
        <v>46022</v>
      </c>
      <c r="B411" t="s">
        <v>923</v>
      </c>
      <c r="C411" t="s">
        <v>933</v>
      </c>
      <c r="D411" t="s">
        <v>1428</v>
      </c>
      <c r="E411" t="s">
        <v>1432</v>
      </c>
    </row>
    <row r="412" spans="1:5" ht="15.75" customHeight="1">
      <c r="A412" s="42">
        <v>46022</v>
      </c>
      <c r="B412" t="s">
        <v>923</v>
      </c>
      <c r="C412" t="s">
        <v>935</v>
      </c>
      <c r="D412" t="s">
        <v>1428</v>
      </c>
      <c r="E412" t="s">
        <v>1433</v>
      </c>
    </row>
    <row r="413" spans="1:5" ht="15.75" customHeight="1">
      <c r="A413" s="42">
        <v>46022</v>
      </c>
      <c r="B413" t="s">
        <v>923</v>
      </c>
      <c r="C413" t="s">
        <v>938</v>
      </c>
      <c r="D413" t="s">
        <v>1428</v>
      </c>
      <c r="E413" t="s">
        <v>1434</v>
      </c>
    </row>
    <row r="414" spans="1:5" ht="15.75" customHeight="1">
      <c r="A414" s="42">
        <v>46022</v>
      </c>
      <c r="B414" t="s">
        <v>923</v>
      </c>
      <c r="C414" t="s">
        <v>941</v>
      </c>
      <c r="D414" t="s">
        <v>1428</v>
      </c>
      <c r="E414" t="s">
        <v>1539</v>
      </c>
    </row>
    <row r="415" spans="1:5" ht="15.75" customHeight="1">
      <c r="A415" s="42">
        <v>46022</v>
      </c>
      <c r="B415" t="s">
        <v>923</v>
      </c>
      <c r="C415" t="s">
        <v>942</v>
      </c>
      <c r="D415" t="s">
        <v>1428</v>
      </c>
      <c r="E415" t="s">
        <v>1540</v>
      </c>
    </row>
    <row r="416" spans="1:5" ht="15.75" customHeight="1">
      <c r="A416" s="42">
        <v>46022</v>
      </c>
      <c r="B416" t="s">
        <v>923</v>
      </c>
      <c r="C416" t="s">
        <v>945</v>
      </c>
      <c r="D416" t="s">
        <v>1449</v>
      </c>
      <c r="E416" t="s">
        <v>1541</v>
      </c>
    </row>
    <row r="417" spans="1:5" ht="15.75" customHeight="1">
      <c r="A417" s="42">
        <v>46022</v>
      </c>
      <c r="B417" t="s">
        <v>923</v>
      </c>
      <c r="C417" t="s">
        <v>946</v>
      </c>
      <c r="D417" t="s">
        <v>1449</v>
      </c>
      <c r="E417" t="s">
        <v>1450</v>
      </c>
    </row>
    <row r="418" spans="1:5" ht="15.75" customHeight="1">
      <c r="A418" s="42">
        <v>46022</v>
      </c>
      <c r="B418" t="s">
        <v>923</v>
      </c>
      <c r="C418" t="s">
        <v>949</v>
      </c>
      <c r="D418" t="s">
        <v>1449</v>
      </c>
      <c r="E418" t="s">
        <v>1453</v>
      </c>
    </row>
    <row r="419" spans="1:5" ht="15.75" customHeight="1">
      <c r="A419" s="42">
        <v>46022</v>
      </c>
      <c r="B419" t="s">
        <v>923</v>
      </c>
      <c r="C419" t="s">
        <v>950</v>
      </c>
      <c r="D419" t="s">
        <v>1449</v>
      </c>
      <c r="E419" t="s">
        <v>1451</v>
      </c>
    </row>
    <row r="420" spans="1:5" ht="15.75" customHeight="1">
      <c r="A420" s="42">
        <v>46022</v>
      </c>
      <c r="B420" t="s">
        <v>923</v>
      </c>
      <c r="C420" t="s">
        <v>953</v>
      </c>
      <c r="D420" t="s">
        <v>1449</v>
      </c>
      <c r="E420" t="s">
        <v>1542</v>
      </c>
    </row>
    <row r="421" spans="1:5" ht="15.75" customHeight="1">
      <c r="A421" s="42">
        <v>46022</v>
      </c>
      <c r="B421" t="s">
        <v>956</v>
      </c>
      <c r="C421" t="s">
        <v>957</v>
      </c>
      <c r="D421" t="s">
        <v>1428</v>
      </c>
      <c r="E421" t="s">
        <v>1429</v>
      </c>
    </row>
    <row r="422" spans="1:5" ht="15.75" customHeight="1">
      <c r="A422" s="42">
        <v>46022</v>
      </c>
      <c r="B422" t="s">
        <v>956</v>
      </c>
      <c r="C422" t="s">
        <v>960</v>
      </c>
      <c r="D422" t="s">
        <v>1428</v>
      </c>
      <c r="E422" t="s">
        <v>1430</v>
      </c>
    </row>
    <row r="423" spans="1:5" ht="15.75" customHeight="1">
      <c r="A423" s="42">
        <v>46022</v>
      </c>
      <c r="B423" t="s">
        <v>956</v>
      </c>
      <c r="C423" t="s">
        <v>963</v>
      </c>
      <c r="D423" t="s">
        <v>1428</v>
      </c>
      <c r="E423" t="s">
        <v>1431</v>
      </c>
    </row>
    <row r="424" spans="1:5" ht="15.75" customHeight="1">
      <c r="A424" s="42">
        <v>46022</v>
      </c>
      <c r="B424" t="s">
        <v>956</v>
      </c>
      <c r="C424" t="s">
        <v>964</v>
      </c>
      <c r="D424" t="s">
        <v>1428</v>
      </c>
      <c r="E424" t="s">
        <v>1432</v>
      </c>
    </row>
    <row r="425" spans="1:5" ht="15.75" customHeight="1">
      <c r="A425" s="42">
        <v>46022</v>
      </c>
      <c r="B425" t="s">
        <v>956</v>
      </c>
      <c r="C425" t="s">
        <v>965</v>
      </c>
      <c r="D425" t="s">
        <v>1428</v>
      </c>
      <c r="E425" t="s">
        <v>1433</v>
      </c>
    </row>
    <row r="426" spans="1:5" ht="15.75" customHeight="1">
      <c r="A426" s="42">
        <v>46022</v>
      </c>
      <c r="B426" t="s">
        <v>956</v>
      </c>
      <c r="C426" t="s">
        <v>966</v>
      </c>
      <c r="D426" t="s">
        <v>1428</v>
      </c>
      <c r="E426" t="s">
        <v>1434</v>
      </c>
    </row>
    <row r="427" spans="1:5" ht="15.75" customHeight="1">
      <c r="A427" s="42">
        <v>46022</v>
      </c>
      <c r="B427" t="s">
        <v>956</v>
      </c>
      <c r="C427" t="s">
        <v>967</v>
      </c>
      <c r="D427" t="s">
        <v>1428</v>
      </c>
      <c r="E427" t="s">
        <v>1543</v>
      </c>
    </row>
    <row r="428" spans="1:5" ht="15.75" customHeight="1">
      <c r="A428" s="42">
        <v>46022</v>
      </c>
      <c r="B428" t="s">
        <v>956</v>
      </c>
      <c r="C428" t="s">
        <v>968</v>
      </c>
      <c r="D428" t="s">
        <v>1428</v>
      </c>
      <c r="E428" t="s">
        <v>1544</v>
      </c>
    </row>
    <row r="429" spans="1:5" ht="15.75" customHeight="1">
      <c r="A429" s="42">
        <v>46022</v>
      </c>
      <c r="B429" t="s">
        <v>956</v>
      </c>
      <c r="C429" t="s">
        <v>969</v>
      </c>
      <c r="D429" t="s">
        <v>1428</v>
      </c>
      <c r="E429" t="s">
        <v>1540</v>
      </c>
    </row>
    <row r="430" spans="1:5" ht="15.75" customHeight="1">
      <c r="A430" s="42">
        <v>46022</v>
      </c>
      <c r="B430" t="s">
        <v>956</v>
      </c>
      <c r="C430" t="s">
        <v>970</v>
      </c>
      <c r="D430" t="s">
        <v>1428</v>
      </c>
      <c r="E430" t="s">
        <v>1438</v>
      </c>
    </row>
    <row r="431" spans="1:5" ht="15.75" customHeight="1">
      <c r="A431" s="42">
        <v>46022</v>
      </c>
      <c r="B431" t="s">
        <v>956</v>
      </c>
      <c r="C431" t="s">
        <v>971</v>
      </c>
      <c r="D431" t="s">
        <v>1428</v>
      </c>
      <c r="E431" t="s">
        <v>1545</v>
      </c>
    </row>
    <row r="432" spans="1:5" ht="15.75" customHeight="1">
      <c r="A432" s="42">
        <v>46022</v>
      </c>
      <c r="B432" t="s">
        <v>956</v>
      </c>
      <c r="C432" t="s">
        <v>972</v>
      </c>
      <c r="D432" t="s">
        <v>1428</v>
      </c>
      <c r="E432" t="s">
        <v>1546</v>
      </c>
    </row>
    <row r="433" spans="1:5" ht="15.75" customHeight="1">
      <c r="A433" s="42">
        <v>46022</v>
      </c>
      <c r="B433" t="s">
        <v>956</v>
      </c>
      <c r="C433" t="s">
        <v>973</v>
      </c>
      <c r="D433" t="s">
        <v>1428</v>
      </c>
      <c r="E433" t="s">
        <v>1547</v>
      </c>
    </row>
    <row r="434" spans="1:5" ht="15.75" customHeight="1">
      <c r="A434" s="42">
        <v>46022</v>
      </c>
      <c r="B434" t="s">
        <v>956</v>
      </c>
      <c r="C434" t="s">
        <v>974</v>
      </c>
      <c r="D434" t="s">
        <v>1428</v>
      </c>
      <c r="E434" t="s">
        <v>1548</v>
      </c>
    </row>
    <row r="435" spans="1:5" ht="15.75" customHeight="1">
      <c r="A435" s="42">
        <v>46022</v>
      </c>
      <c r="B435" t="s">
        <v>956</v>
      </c>
      <c r="C435" t="s">
        <v>975</v>
      </c>
      <c r="D435" t="s">
        <v>1428</v>
      </c>
      <c r="E435" t="s">
        <v>1539</v>
      </c>
    </row>
    <row r="436" spans="1:5" ht="15.75" customHeight="1">
      <c r="A436" s="42">
        <v>46022</v>
      </c>
      <c r="B436" t="s">
        <v>956</v>
      </c>
      <c r="C436" t="s">
        <v>976</v>
      </c>
      <c r="D436" t="s">
        <v>1428</v>
      </c>
      <c r="E436" t="s">
        <v>1549</v>
      </c>
    </row>
    <row r="437" spans="1:5" ht="15.75" customHeight="1">
      <c r="A437" s="42">
        <v>46022</v>
      </c>
      <c r="B437" t="s">
        <v>956</v>
      </c>
      <c r="C437" t="s">
        <v>977</v>
      </c>
      <c r="D437" t="s">
        <v>1428</v>
      </c>
      <c r="E437" t="s">
        <v>1550</v>
      </c>
    </row>
    <row r="438" spans="1:5" ht="15.75" customHeight="1">
      <c r="A438" s="42">
        <v>46022</v>
      </c>
      <c r="B438" t="s">
        <v>956</v>
      </c>
      <c r="C438" t="s">
        <v>978</v>
      </c>
      <c r="D438" t="s">
        <v>1428</v>
      </c>
      <c r="E438" t="s">
        <v>1444</v>
      </c>
    </row>
    <row r="439" spans="1:5" ht="15.75" customHeight="1">
      <c r="A439" s="42">
        <v>46022</v>
      </c>
      <c r="B439" t="s">
        <v>956</v>
      </c>
      <c r="C439" t="s">
        <v>979</v>
      </c>
      <c r="D439" t="s">
        <v>1428</v>
      </c>
      <c r="E439" t="s">
        <v>1551</v>
      </c>
    </row>
    <row r="440" spans="1:5" ht="15.75" customHeight="1">
      <c r="A440" s="42">
        <v>46022</v>
      </c>
      <c r="B440" t="s">
        <v>956</v>
      </c>
      <c r="C440" t="s">
        <v>980</v>
      </c>
      <c r="D440" t="s">
        <v>1428</v>
      </c>
      <c r="E440" t="s">
        <v>1552</v>
      </c>
    </row>
    <row r="441" spans="1:5" ht="15.75" customHeight="1">
      <c r="A441" s="42">
        <v>46022</v>
      </c>
      <c r="B441" t="s">
        <v>956</v>
      </c>
      <c r="C441" t="s">
        <v>981</v>
      </c>
      <c r="D441" t="s">
        <v>1428</v>
      </c>
      <c r="E441" t="s">
        <v>1553</v>
      </c>
    </row>
    <row r="442" spans="1:5" ht="15.75" customHeight="1">
      <c r="A442" s="42">
        <v>46022</v>
      </c>
      <c r="B442" t="s">
        <v>956</v>
      </c>
      <c r="C442" t="s">
        <v>982</v>
      </c>
      <c r="D442" t="s">
        <v>1449</v>
      </c>
      <c r="E442" t="s">
        <v>1463</v>
      </c>
    </row>
    <row r="443" spans="1:5" ht="15.75" customHeight="1">
      <c r="A443" s="42">
        <v>46022</v>
      </c>
      <c r="B443" t="s">
        <v>956</v>
      </c>
      <c r="C443" t="s">
        <v>983</v>
      </c>
      <c r="D443" t="s">
        <v>1449</v>
      </c>
      <c r="E443" t="s">
        <v>1482</v>
      </c>
    </row>
    <row r="444" spans="1:5" ht="15.75" customHeight="1">
      <c r="A444" s="42">
        <v>46022</v>
      </c>
      <c r="B444" t="s">
        <v>956</v>
      </c>
      <c r="C444" t="s">
        <v>984</v>
      </c>
      <c r="D444" t="s">
        <v>1449</v>
      </c>
      <c r="E444" t="s">
        <v>1453</v>
      </c>
    </row>
    <row r="445" spans="1:5" ht="15.75" customHeight="1">
      <c r="A445" s="42">
        <v>46022</v>
      </c>
      <c r="B445" t="s">
        <v>956</v>
      </c>
      <c r="C445" t="s">
        <v>987</v>
      </c>
      <c r="D445" t="s">
        <v>1449</v>
      </c>
      <c r="E445" t="s">
        <v>1451</v>
      </c>
    </row>
    <row r="446" spans="1:5" ht="15.75" customHeight="1">
      <c r="A446" s="42">
        <v>46022</v>
      </c>
      <c r="B446" t="s">
        <v>956</v>
      </c>
      <c r="C446" t="s">
        <v>988</v>
      </c>
      <c r="D446" t="s">
        <v>1449</v>
      </c>
      <c r="E446" t="s">
        <v>1542</v>
      </c>
    </row>
    <row r="447" spans="1:5" ht="15.75" customHeight="1">
      <c r="A447" s="42">
        <v>46022</v>
      </c>
      <c r="B447" t="s">
        <v>991</v>
      </c>
      <c r="C447" t="s">
        <v>992</v>
      </c>
      <c r="D447" t="s">
        <v>1428</v>
      </c>
      <c r="E447" t="s">
        <v>1435</v>
      </c>
    </row>
    <row r="448" spans="1:5" ht="15.75" customHeight="1">
      <c r="A448" s="42">
        <v>46022</v>
      </c>
      <c r="B448" t="s">
        <v>991</v>
      </c>
      <c r="C448" t="s">
        <v>995</v>
      </c>
      <c r="D448" t="s">
        <v>1428</v>
      </c>
      <c r="E448" t="s">
        <v>1436</v>
      </c>
    </row>
    <row r="449" spans="1:5" ht="15.75" customHeight="1">
      <c r="A449" s="42">
        <v>46022</v>
      </c>
      <c r="B449" t="s">
        <v>991</v>
      </c>
      <c r="C449" t="s">
        <v>998</v>
      </c>
      <c r="D449" t="s">
        <v>1428</v>
      </c>
      <c r="E449" t="s">
        <v>1432</v>
      </c>
    </row>
    <row r="450" spans="1:5" ht="15.75" customHeight="1">
      <c r="A450" s="42">
        <v>46022</v>
      </c>
      <c r="B450" t="s">
        <v>991</v>
      </c>
      <c r="C450" t="s">
        <v>1001</v>
      </c>
      <c r="D450" t="s">
        <v>1428</v>
      </c>
      <c r="E450" t="s">
        <v>1457</v>
      </c>
    </row>
    <row r="451" spans="1:5" ht="15.75" customHeight="1">
      <c r="A451" s="42">
        <v>46022</v>
      </c>
      <c r="B451" t="s">
        <v>991</v>
      </c>
      <c r="C451" t="s">
        <v>1004</v>
      </c>
      <c r="D451" t="s">
        <v>1428</v>
      </c>
      <c r="E451" t="s">
        <v>1554</v>
      </c>
    </row>
    <row r="452" spans="1:5" ht="15.75" customHeight="1">
      <c r="A452" s="42">
        <v>46022</v>
      </c>
      <c r="B452" t="s">
        <v>991</v>
      </c>
      <c r="C452" t="s">
        <v>1006</v>
      </c>
      <c r="D452" t="s">
        <v>1449</v>
      </c>
      <c r="E452" t="s">
        <v>1451</v>
      </c>
    </row>
    <row r="453" spans="1:5" ht="15.75" customHeight="1">
      <c r="A453" s="42">
        <v>46022</v>
      </c>
      <c r="B453" t="s">
        <v>1010</v>
      </c>
      <c r="C453" t="s">
        <v>1015</v>
      </c>
      <c r="D453" t="s">
        <v>1428</v>
      </c>
      <c r="E453" t="s">
        <v>1429</v>
      </c>
    </row>
    <row r="454" spans="1:5" ht="15.75" customHeight="1">
      <c r="A454" s="42">
        <v>46022</v>
      </c>
      <c r="B454" t="s">
        <v>1010</v>
      </c>
      <c r="C454" t="s">
        <v>1016</v>
      </c>
      <c r="D454" t="s">
        <v>1428</v>
      </c>
      <c r="E454" t="s">
        <v>1430</v>
      </c>
    </row>
    <row r="455" spans="1:5" ht="15.75" customHeight="1">
      <c r="A455" s="42">
        <v>46022</v>
      </c>
      <c r="B455" t="s">
        <v>1010</v>
      </c>
      <c r="C455" t="s">
        <v>1014</v>
      </c>
      <c r="D455" t="s">
        <v>1428</v>
      </c>
      <c r="E455" t="s">
        <v>1433</v>
      </c>
    </row>
    <row r="456" spans="1:5" ht="15.75" customHeight="1">
      <c r="A456" s="42">
        <v>46022</v>
      </c>
      <c r="B456" t="s">
        <v>1010</v>
      </c>
      <c r="C456" t="s">
        <v>1017</v>
      </c>
      <c r="D456" t="s">
        <v>1428</v>
      </c>
      <c r="E456" t="s">
        <v>1434</v>
      </c>
    </row>
    <row r="457" spans="1:5" ht="15.75" customHeight="1">
      <c r="A457" s="42">
        <v>46022</v>
      </c>
      <c r="B457" t="s">
        <v>1010</v>
      </c>
      <c r="C457" t="s">
        <v>1018</v>
      </c>
      <c r="D457" t="s">
        <v>1428</v>
      </c>
      <c r="E457" t="s">
        <v>1432</v>
      </c>
    </row>
    <row r="458" spans="1:5" ht="15.75" customHeight="1">
      <c r="A458" s="42">
        <v>46022</v>
      </c>
      <c r="B458" t="s">
        <v>1010</v>
      </c>
      <c r="C458" t="s">
        <v>1011</v>
      </c>
      <c r="D458" t="s">
        <v>1428</v>
      </c>
      <c r="E458" t="s">
        <v>1436</v>
      </c>
    </row>
    <row r="459" spans="1:5" ht="15.75" customHeight="1">
      <c r="A459" s="42">
        <v>46022</v>
      </c>
      <c r="B459" t="s">
        <v>1010</v>
      </c>
      <c r="C459" t="s">
        <v>1019</v>
      </c>
      <c r="D459" t="s">
        <v>1428</v>
      </c>
      <c r="E459" t="s">
        <v>1500</v>
      </c>
    </row>
    <row r="460" spans="1:5" ht="15.75" customHeight="1">
      <c r="A460" s="42">
        <v>46022</v>
      </c>
      <c r="B460" t="s">
        <v>1010</v>
      </c>
      <c r="C460" t="s">
        <v>1020</v>
      </c>
      <c r="D460" t="s">
        <v>1428</v>
      </c>
      <c r="E460" t="s">
        <v>1519</v>
      </c>
    </row>
    <row r="461" spans="1:5" ht="15.75" customHeight="1">
      <c r="A461" s="42">
        <v>46022</v>
      </c>
      <c r="B461" t="s">
        <v>1010</v>
      </c>
      <c r="C461" t="s">
        <v>1021</v>
      </c>
      <c r="D461" t="s">
        <v>1449</v>
      </c>
      <c r="E461" t="s">
        <v>1482</v>
      </c>
    </row>
    <row r="462" spans="1:5" ht="15.75" customHeight="1">
      <c r="A462" s="42">
        <v>46022</v>
      </c>
      <c r="B462" t="s">
        <v>1010</v>
      </c>
      <c r="C462" t="s">
        <v>1022</v>
      </c>
      <c r="D462" t="s">
        <v>1449</v>
      </c>
      <c r="E462" t="s">
        <v>1451</v>
      </c>
    </row>
    <row r="463" spans="1:5" ht="15.75" customHeight="1">
      <c r="A463" s="42">
        <v>46022</v>
      </c>
      <c r="B463" t="s">
        <v>1023</v>
      </c>
      <c r="C463" t="s">
        <v>1032</v>
      </c>
      <c r="D463" t="s">
        <v>1428</v>
      </c>
      <c r="E463" t="s">
        <v>1429</v>
      </c>
    </row>
    <row r="464" spans="1:5" ht="15.75" customHeight="1">
      <c r="A464" s="42">
        <v>46022</v>
      </c>
      <c r="B464" t="s">
        <v>1023</v>
      </c>
      <c r="C464" t="s">
        <v>1034</v>
      </c>
      <c r="D464" t="s">
        <v>1428</v>
      </c>
      <c r="E464" t="s">
        <v>1430</v>
      </c>
    </row>
    <row r="465" spans="1:5" ht="15.75" customHeight="1">
      <c r="A465" s="42">
        <v>46022</v>
      </c>
      <c r="B465" t="s">
        <v>1023</v>
      </c>
      <c r="C465" t="s">
        <v>1035</v>
      </c>
      <c r="D465" t="s">
        <v>1428</v>
      </c>
      <c r="E465" t="s">
        <v>1431</v>
      </c>
    </row>
    <row r="466" spans="1:5" ht="15.75" customHeight="1">
      <c r="A466" s="42">
        <v>46022</v>
      </c>
      <c r="B466" t="s">
        <v>1023</v>
      </c>
      <c r="C466" t="s">
        <v>1040</v>
      </c>
      <c r="D466" t="s">
        <v>1428</v>
      </c>
      <c r="E466" t="s">
        <v>1432</v>
      </c>
    </row>
    <row r="467" spans="1:5" ht="15.75" customHeight="1">
      <c r="A467" s="42">
        <v>46022</v>
      </c>
      <c r="B467" t="s">
        <v>1023</v>
      </c>
      <c r="C467" t="s">
        <v>1027</v>
      </c>
      <c r="D467" t="s">
        <v>1428</v>
      </c>
      <c r="E467" t="s">
        <v>1433</v>
      </c>
    </row>
    <row r="468" spans="1:5" ht="15.75" customHeight="1">
      <c r="A468" s="42">
        <v>46022</v>
      </c>
      <c r="B468" t="s">
        <v>1023</v>
      </c>
      <c r="C468" t="s">
        <v>1037</v>
      </c>
      <c r="D468" t="s">
        <v>1428</v>
      </c>
      <c r="E468" t="s">
        <v>1434</v>
      </c>
    </row>
    <row r="469" spans="1:5" ht="15.75" customHeight="1">
      <c r="A469" s="42">
        <v>46022</v>
      </c>
      <c r="B469" t="s">
        <v>1023</v>
      </c>
      <c r="C469" t="s">
        <v>1026</v>
      </c>
      <c r="D469" t="s">
        <v>1428</v>
      </c>
      <c r="E469" t="s">
        <v>1436</v>
      </c>
    </row>
    <row r="470" spans="1:5" ht="15.75" customHeight="1">
      <c r="A470" s="42">
        <v>46022</v>
      </c>
      <c r="B470" t="s">
        <v>1023</v>
      </c>
      <c r="C470" t="s">
        <v>1030</v>
      </c>
      <c r="D470" t="s">
        <v>1428</v>
      </c>
      <c r="E470" t="s">
        <v>1437</v>
      </c>
    </row>
    <row r="471" spans="1:5" ht="15.75" customHeight="1">
      <c r="A471" s="42">
        <v>46022</v>
      </c>
      <c r="B471" t="s">
        <v>1023</v>
      </c>
      <c r="C471" t="s">
        <v>1024</v>
      </c>
      <c r="D471" t="s">
        <v>1428</v>
      </c>
      <c r="E471" t="s">
        <v>1516</v>
      </c>
    </row>
    <row r="472" spans="1:5" ht="15.75" customHeight="1">
      <c r="A472" s="42">
        <v>46022</v>
      </c>
      <c r="B472" t="s">
        <v>1023</v>
      </c>
      <c r="C472" t="s">
        <v>1041</v>
      </c>
      <c r="D472" t="s">
        <v>1428</v>
      </c>
      <c r="E472" t="s">
        <v>1472</v>
      </c>
    </row>
    <row r="473" spans="1:5" ht="15.75" customHeight="1">
      <c r="A473" s="42">
        <v>46022</v>
      </c>
      <c r="B473" t="s">
        <v>1023</v>
      </c>
      <c r="C473" t="s">
        <v>1043</v>
      </c>
      <c r="D473" t="s">
        <v>1428</v>
      </c>
      <c r="E473" t="s">
        <v>1555</v>
      </c>
    </row>
    <row r="474" spans="1:5" ht="15.75" customHeight="1">
      <c r="A474" s="42">
        <v>46022</v>
      </c>
      <c r="B474" t="s">
        <v>1023</v>
      </c>
      <c r="C474" t="s">
        <v>1045</v>
      </c>
      <c r="D474" t="s">
        <v>1428</v>
      </c>
      <c r="E474" t="s">
        <v>1448</v>
      </c>
    </row>
    <row r="475" spans="1:5" ht="15.75" customHeight="1">
      <c r="A475" s="42">
        <v>46022</v>
      </c>
      <c r="B475" t="s">
        <v>1023</v>
      </c>
      <c r="C475" t="s">
        <v>1047</v>
      </c>
      <c r="D475" t="s">
        <v>1428</v>
      </c>
      <c r="E475" t="s">
        <v>1447</v>
      </c>
    </row>
    <row r="476" spans="1:5" ht="15.75" customHeight="1">
      <c r="A476" s="42">
        <v>46022</v>
      </c>
      <c r="B476" t="s">
        <v>1023</v>
      </c>
      <c r="C476" t="s">
        <v>1049</v>
      </c>
      <c r="D476" t="s">
        <v>1428</v>
      </c>
      <c r="E476" t="s">
        <v>1457</v>
      </c>
    </row>
    <row r="477" spans="1:5" ht="15.75" customHeight="1">
      <c r="A477" s="42">
        <v>46022</v>
      </c>
      <c r="B477" t="s">
        <v>1023</v>
      </c>
      <c r="C477" t="s">
        <v>1050</v>
      </c>
      <c r="D477" t="s">
        <v>1428</v>
      </c>
      <c r="E477" t="s">
        <v>1459</v>
      </c>
    </row>
    <row r="478" spans="1:5" ht="15.75" customHeight="1">
      <c r="A478" s="42">
        <v>46022</v>
      </c>
      <c r="B478" t="s">
        <v>1023</v>
      </c>
      <c r="C478" t="s">
        <v>1051</v>
      </c>
      <c r="D478" t="s">
        <v>1428</v>
      </c>
      <c r="E478" t="s">
        <v>1491</v>
      </c>
    </row>
    <row r="479" spans="1:5" ht="15.75" customHeight="1">
      <c r="A479" s="42">
        <v>46022</v>
      </c>
      <c r="B479" t="s">
        <v>1023</v>
      </c>
      <c r="C479" t="s">
        <v>1053</v>
      </c>
      <c r="D479" t="s">
        <v>1428</v>
      </c>
      <c r="E479" t="s">
        <v>1480</v>
      </c>
    </row>
    <row r="480" spans="1:5" ht="15.75" customHeight="1">
      <c r="A480" s="42">
        <v>46022</v>
      </c>
      <c r="B480" t="s">
        <v>1023</v>
      </c>
      <c r="C480" t="s">
        <v>1054</v>
      </c>
      <c r="D480" t="s">
        <v>1428</v>
      </c>
      <c r="E480" t="s">
        <v>1445</v>
      </c>
    </row>
    <row r="481" spans="1:5" ht="15.75" customHeight="1">
      <c r="A481" s="42">
        <v>46022</v>
      </c>
      <c r="B481" t="s">
        <v>1023</v>
      </c>
      <c r="C481" t="s">
        <v>1055</v>
      </c>
      <c r="D481" t="s">
        <v>1428</v>
      </c>
      <c r="E481" t="s">
        <v>1556</v>
      </c>
    </row>
    <row r="482" spans="1:5" ht="15.75" customHeight="1">
      <c r="A482" s="42">
        <v>46022</v>
      </c>
      <c r="B482" t="s">
        <v>1023</v>
      </c>
      <c r="C482" t="s">
        <v>1056</v>
      </c>
      <c r="D482" t="s">
        <v>1428</v>
      </c>
      <c r="E482" t="s">
        <v>1557</v>
      </c>
    </row>
    <row r="483" spans="1:5" ht="15.75" customHeight="1">
      <c r="A483" s="42">
        <v>46022</v>
      </c>
      <c r="B483" t="s">
        <v>1023</v>
      </c>
      <c r="C483" t="s">
        <v>1057</v>
      </c>
      <c r="D483" t="s">
        <v>1428</v>
      </c>
      <c r="E483" t="s">
        <v>1438</v>
      </c>
    </row>
    <row r="484" spans="1:5" ht="15.75" customHeight="1">
      <c r="A484" s="42">
        <v>46022</v>
      </c>
      <c r="B484" t="s">
        <v>1023</v>
      </c>
      <c r="C484" t="s">
        <v>1059</v>
      </c>
      <c r="D484" t="s">
        <v>1428</v>
      </c>
      <c r="E484" t="s">
        <v>1558</v>
      </c>
    </row>
    <row r="485" spans="1:5" ht="15.75" customHeight="1">
      <c r="A485" s="42">
        <v>46022</v>
      </c>
      <c r="B485" t="s">
        <v>1023</v>
      </c>
      <c r="C485" t="s">
        <v>1061</v>
      </c>
      <c r="D485" t="s">
        <v>1428</v>
      </c>
      <c r="E485" t="s">
        <v>1559</v>
      </c>
    </row>
    <row r="486" spans="1:5" ht="15.75" customHeight="1">
      <c r="A486" s="42">
        <v>46022</v>
      </c>
      <c r="B486" t="s">
        <v>1023</v>
      </c>
      <c r="C486" t="s">
        <v>1062</v>
      </c>
      <c r="D486" t="s">
        <v>1428</v>
      </c>
      <c r="E486" t="s">
        <v>1560</v>
      </c>
    </row>
    <row r="487" spans="1:5" ht="15.75" customHeight="1">
      <c r="A487" s="42">
        <v>46022</v>
      </c>
      <c r="B487" t="s">
        <v>1023</v>
      </c>
      <c r="C487" t="s">
        <v>1063</v>
      </c>
      <c r="D487" t="s">
        <v>1428</v>
      </c>
      <c r="E487" t="s">
        <v>1519</v>
      </c>
    </row>
    <row r="488" spans="1:5" ht="15.75" customHeight="1">
      <c r="A488" s="42">
        <v>46022</v>
      </c>
      <c r="B488" t="s">
        <v>1023</v>
      </c>
      <c r="C488" t="s">
        <v>1064</v>
      </c>
      <c r="D488" t="s">
        <v>1449</v>
      </c>
      <c r="E488" t="s">
        <v>1463</v>
      </c>
    </row>
    <row r="489" spans="1:5" ht="15.75" customHeight="1">
      <c r="A489" s="42">
        <v>46022</v>
      </c>
      <c r="B489" t="s">
        <v>1023</v>
      </c>
      <c r="C489" t="s">
        <v>1067</v>
      </c>
      <c r="D489" t="s">
        <v>1449</v>
      </c>
      <c r="E489" t="s">
        <v>1462</v>
      </c>
    </row>
    <row r="490" spans="1:5" ht="15.75" customHeight="1">
      <c r="A490" s="42">
        <v>46022</v>
      </c>
      <c r="B490" t="s">
        <v>1023</v>
      </c>
      <c r="C490" t="s">
        <v>1070</v>
      </c>
      <c r="D490" t="s">
        <v>1449</v>
      </c>
      <c r="E490" t="s">
        <v>1465</v>
      </c>
    </row>
    <row r="491" spans="1:5" ht="15.75" customHeight="1">
      <c r="A491" s="42">
        <v>46022</v>
      </c>
      <c r="B491" t="s">
        <v>1023</v>
      </c>
      <c r="C491" t="s">
        <v>1072</v>
      </c>
      <c r="D491" t="s">
        <v>1449</v>
      </c>
      <c r="E491" t="s">
        <v>1453</v>
      </c>
    </row>
    <row r="492" spans="1:5" ht="15.75" customHeight="1">
      <c r="A492" s="42">
        <v>46022</v>
      </c>
      <c r="B492" t="s">
        <v>1023</v>
      </c>
      <c r="C492" t="s">
        <v>1074</v>
      </c>
      <c r="D492" t="s">
        <v>1449</v>
      </c>
      <c r="E492" t="s">
        <v>1451</v>
      </c>
    </row>
    <row r="493" spans="1:5" ht="15.75" customHeight="1">
      <c r="A493" s="42">
        <v>46022</v>
      </c>
      <c r="B493" t="s">
        <v>1023</v>
      </c>
      <c r="C493" t="s">
        <v>1075</v>
      </c>
      <c r="D493" t="s">
        <v>1449</v>
      </c>
      <c r="E493" t="s">
        <v>1450</v>
      </c>
    </row>
    <row r="494" spans="1:5" ht="15.75" customHeight="1">
      <c r="A494" s="42">
        <v>46022</v>
      </c>
      <c r="B494" t="s">
        <v>1023</v>
      </c>
      <c r="C494" t="s">
        <v>1077</v>
      </c>
      <c r="D494" t="s">
        <v>1449</v>
      </c>
      <c r="E494" t="s">
        <v>1561</v>
      </c>
    </row>
    <row r="495" spans="1:5" ht="15.75" customHeight="1">
      <c r="A495" s="42">
        <v>46022</v>
      </c>
      <c r="B495" t="s">
        <v>1023</v>
      </c>
      <c r="C495" t="s">
        <v>1079</v>
      </c>
      <c r="D495" t="s">
        <v>1449</v>
      </c>
      <c r="E495" t="s">
        <v>1562</v>
      </c>
    </row>
    <row r="496" spans="1:5" ht="15.75" customHeight="1">
      <c r="A496" s="42">
        <v>46022</v>
      </c>
      <c r="B496" t="s">
        <v>1023</v>
      </c>
      <c r="C496" t="s">
        <v>1080</v>
      </c>
      <c r="D496" t="s">
        <v>1449</v>
      </c>
      <c r="E496" t="s">
        <v>1563</v>
      </c>
    </row>
    <row r="497" spans="1:5" ht="15.75" customHeight="1">
      <c r="A497" s="42">
        <v>46022</v>
      </c>
      <c r="B497" t="s">
        <v>1023</v>
      </c>
      <c r="C497" t="s">
        <v>1081</v>
      </c>
      <c r="D497" t="s">
        <v>1449</v>
      </c>
      <c r="E497" t="s">
        <v>1564</v>
      </c>
    </row>
    <row r="498" spans="1:5" ht="15.75" customHeight="1">
      <c r="A498" s="42">
        <v>46022</v>
      </c>
      <c r="B498" t="s">
        <v>1125</v>
      </c>
      <c r="C498" t="s">
        <v>1132</v>
      </c>
      <c r="D498" t="s">
        <v>1428</v>
      </c>
      <c r="E498" t="s">
        <v>1429</v>
      </c>
    </row>
    <row r="499" spans="1:5" ht="15.75" customHeight="1">
      <c r="A499" s="42">
        <v>46022</v>
      </c>
      <c r="B499" t="s">
        <v>1125</v>
      </c>
      <c r="C499" t="s">
        <v>1135</v>
      </c>
      <c r="D499" t="s">
        <v>1428</v>
      </c>
      <c r="E499" t="s">
        <v>1430</v>
      </c>
    </row>
    <row r="500" spans="1:5" ht="15.75" customHeight="1">
      <c r="A500" s="42">
        <v>46022</v>
      </c>
      <c r="B500" t="s">
        <v>1125</v>
      </c>
      <c r="C500" t="s">
        <v>1137</v>
      </c>
      <c r="D500" t="s">
        <v>1428</v>
      </c>
      <c r="E500" t="s">
        <v>1431</v>
      </c>
    </row>
    <row r="501" spans="1:5" ht="15.75" customHeight="1">
      <c r="A501" s="42">
        <v>46022</v>
      </c>
      <c r="B501" t="s">
        <v>1125</v>
      </c>
      <c r="C501" t="s">
        <v>1142</v>
      </c>
      <c r="D501" t="s">
        <v>1428</v>
      </c>
      <c r="E501" t="s">
        <v>1432</v>
      </c>
    </row>
    <row r="502" spans="1:5" ht="15.75" customHeight="1">
      <c r="A502" s="42">
        <v>46022</v>
      </c>
      <c r="B502" t="s">
        <v>1125</v>
      </c>
      <c r="C502" t="s">
        <v>1128</v>
      </c>
      <c r="D502" t="s">
        <v>1428</v>
      </c>
      <c r="E502" t="s">
        <v>1433</v>
      </c>
    </row>
    <row r="503" spans="1:5" ht="15.75" customHeight="1">
      <c r="A503" s="42">
        <v>46022</v>
      </c>
      <c r="B503" t="s">
        <v>1125</v>
      </c>
      <c r="C503" t="s">
        <v>1139</v>
      </c>
      <c r="D503" t="s">
        <v>1428</v>
      </c>
      <c r="E503" t="s">
        <v>1434</v>
      </c>
    </row>
    <row r="504" spans="1:5" ht="15.75" customHeight="1">
      <c r="A504" s="42">
        <v>46022</v>
      </c>
      <c r="B504" t="s">
        <v>1125</v>
      </c>
      <c r="C504" t="s">
        <v>1126</v>
      </c>
      <c r="D504" t="s">
        <v>1428</v>
      </c>
      <c r="E504" t="s">
        <v>1436</v>
      </c>
    </row>
    <row r="505" spans="1:5" ht="15.75" customHeight="1">
      <c r="A505" s="42">
        <v>46022</v>
      </c>
      <c r="B505" t="s">
        <v>1125</v>
      </c>
      <c r="C505" t="s">
        <v>1143</v>
      </c>
      <c r="D505" t="s">
        <v>1428</v>
      </c>
      <c r="E505" t="s">
        <v>1435</v>
      </c>
    </row>
    <row r="506" spans="1:5" ht="15.75" customHeight="1">
      <c r="A506" s="42">
        <v>46022</v>
      </c>
      <c r="B506" t="s">
        <v>1125</v>
      </c>
      <c r="C506" t="s">
        <v>1130</v>
      </c>
      <c r="D506" t="s">
        <v>1428</v>
      </c>
      <c r="E506" t="s">
        <v>1437</v>
      </c>
    </row>
    <row r="507" spans="1:5" ht="15.75" customHeight="1">
      <c r="A507" s="42">
        <v>46022</v>
      </c>
      <c r="B507" t="s">
        <v>1125</v>
      </c>
      <c r="C507" t="s">
        <v>1145</v>
      </c>
      <c r="D507" t="s">
        <v>1428</v>
      </c>
      <c r="E507" t="s">
        <v>1438</v>
      </c>
    </row>
    <row r="508" spans="1:5" ht="15.75" customHeight="1">
      <c r="A508" s="42">
        <v>46022</v>
      </c>
      <c r="B508" t="s">
        <v>1125</v>
      </c>
      <c r="C508" t="s">
        <v>1147</v>
      </c>
      <c r="D508" t="s">
        <v>1428</v>
      </c>
      <c r="E508" t="s">
        <v>1444</v>
      </c>
    </row>
    <row r="509" spans="1:5" ht="15.75" customHeight="1">
      <c r="A509" s="42">
        <v>46022</v>
      </c>
      <c r="B509" t="s">
        <v>1125</v>
      </c>
      <c r="C509" t="s">
        <v>1150</v>
      </c>
      <c r="D509" t="s">
        <v>1428</v>
      </c>
      <c r="E509" t="s">
        <v>1442</v>
      </c>
    </row>
    <row r="510" spans="1:5" ht="15.75" customHeight="1">
      <c r="A510" s="42">
        <v>46022</v>
      </c>
      <c r="B510" t="s">
        <v>1125</v>
      </c>
      <c r="C510" t="s">
        <v>1152</v>
      </c>
      <c r="D510" t="s">
        <v>1428</v>
      </c>
      <c r="E510" t="s">
        <v>1472</v>
      </c>
    </row>
    <row r="511" spans="1:5" ht="15.75" customHeight="1">
      <c r="A511" s="42">
        <v>46022</v>
      </c>
      <c r="B511" t="s">
        <v>1125</v>
      </c>
      <c r="C511" t="s">
        <v>1153</v>
      </c>
      <c r="D511" t="s">
        <v>1428</v>
      </c>
      <c r="E511" t="s">
        <v>1554</v>
      </c>
    </row>
    <row r="512" spans="1:5" ht="15.75" customHeight="1">
      <c r="A512" s="42">
        <v>46022</v>
      </c>
      <c r="B512" t="s">
        <v>1125</v>
      </c>
      <c r="C512" t="s">
        <v>1155</v>
      </c>
      <c r="D512" t="s">
        <v>1428</v>
      </c>
      <c r="E512" t="s">
        <v>1494</v>
      </c>
    </row>
    <row r="513" spans="1:5" ht="15.75" customHeight="1">
      <c r="A513" s="42">
        <v>46022</v>
      </c>
      <c r="B513" t="s">
        <v>1125</v>
      </c>
      <c r="C513" t="s">
        <v>1158</v>
      </c>
      <c r="D513" t="s">
        <v>1428</v>
      </c>
      <c r="E513" t="s">
        <v>1565</v>
      </c>
    </row>
    <row r="514" spans="1:5" ht="15.75" customHeight="1">
      <c r="A514" s="42">
        <v>46022</v>
      </c>
      <c r="B514" t="s">
        <v>1125</v>
      </c>
      <c r="C514" t="s">
        <v>1159</v>
      </c>
      <c r="D514" t="s">
        <v>1428</v>
      </c>
      <c r="E514" t="s">
        <v>1566</v>
      </c>
    </row>
    <row r="515" spans="1:5" ht="15.75" customHeight="1">
      <c r="A515" s="42">
        <v>46022</v>
      </c>
      <c r="B515" t="s">
        <v>1125</v>
      </c>
      <c r="C515" t="s">
        <v>1160</v>
      </c>
      <c r="D515" t="s">
        <v>1428</v>
      </c>
      <c r="E515" t="s">
        <v>1441</v>
      </c>
    </row>
    <row r="516" spans="1:5" ht="15.75" customHeight="1">
      <c r="A516" s="42">
        <v>46022</v>
      </c>
      <c r="B516" t="s">
        <v>1125</v>
      </c>
      <c r="C516" t="s">
        <v>1162</v>
      </c>
      <c r="D516" t="s">
        <v>1428</v>
      </c>
      <c r="E516" t="s">
        <v>1445</v>
      </c>
    </row>
    <row r="517" spans="1:5" ht="15.75" customHeight="1">
      <c r="A517" s="42">
        <v>46022</v>
      </c>
      <c r="B517" t="s">
        <v>1125</v>
      </c>
      <c r="C517" t="s">
        <v>1163</v>
      </c>
      <c r="D517" t="s">
        <v>1428</v>
      </c>
      <c r="E517" t="s">
        <v>1567</v>
      </c>
    </row>
    <row r="518" spans="1:5" ht="15.75" customHeight="1">
      <c r="A518" s="42">
        <v>46022</v>
      </c>
      <c r="B518" t="s">
        <v>1125</v>
      </c>
      <c r="C518" t="s">
        <v>1164</v>
      </c>
      <c r="D518" t="s">
        <v>1449</v>
      </c>
      <c r="E518" t="s">
        <v>1463</v>
      </c>
    </row>
    <row r="519" spans="1:5" ht="15.75" customHeight="1">
      <c r="A519" s="42">
        <v>46022</v>
      </c>
      <c r="B519" t="s">
        <v>1125</v>
      </c>
      <c r="C519" t="s">
        <v>1167</v>
      </c>
      <c r="D519" t="s">
        <v>1449</v>
      </c>
      <c r="E519" t="s">
        <v>1450</v>
      </c>
    </row>
    <row r="520" spans="1:5" ht="15.75" customHeight="1">
      <c r="A520" s="42">
        <v>46022</v>
      </c>
      <c r="B520" t="s">
        <v>1125</v>
      </c>
      <c r="C520" t="s">
        <v>1170</v>
      </c>
      <c r="D520" t="s">
        <v>1449</v>
      </c>
      <c r="E520" t="s">
        <v>1465</v>
      </c>
    </row>
    <row r="521" spans="1:5" ht="15.75" customHeight="1">
      <c r="A521" s="42">
        <v>46022</v>
      </c>
      <c r="B521" t="s">
        <v>1125</v>
      </c>
      <c r="C521" t="s">
        <v>1171</v>
      </c>
      <c r="D521" t="s">
        <v>1449</v>
      </c>
      <c r="E521" t="s">
        <v>1453</v>
      </c>
    </row>
    <row r="522" spans="1:5" ht="15.75" customHeight="1">
      <c r="A522" s="42">
        <v>46022</v>
      </c>
      <c r="B522" t="s">
        <v>1125</v>
      </c>
      <c r="C522" t="s">
        <v>1174</v>
      </c>
      <c r="D522" t="s">
        <v>1449</v>
      </c>
      <c r="E522" t="s">
        <v>1451</v>
      </c>
    </row>
    <row r="523" spans="1:5" ht="15.75" customHeight="1">
      <c r="A523" s="42">
        <v>46022</v>
      </c>
      <c r="B523" t="s">
        <v>1125</v>
      </c>
      <c r="C523" t="s">
        <v>1177</v>
      </c>
      <c r="D523" t="s">
        <v>1449</v>
      </c>
      <c r="E523" t="s">
        <v>1568</v>
      </c>
    </row>
    <row r="524" spans="1:5" ht="15.75" customHeight="1">
      <c r="A524" s="42">
        <v>46022</v>
      </c>
      <c r="B524" t="s">
        <v>1125</v>
      </c>
      <c r="C524" t="s">
        <v>1178</v>
      </c>
      <c r="D524" t="s">
        <v>1449</v>
      </c>
      <c r="E524" t="s">
        <v>1569</v>
      </c>
    </row>
    <row r="525" spans="1:5" ht="15.75" customHeight="1">
      <c r="A525" s="42">
        <v>46022</v>
      </c>
      <c r="B525" t="s">
        <v>1179</v>
      </c>
      <c r="C525" t="s">
        <v>1183</v>
      </c>
      <c r="D525" t="s">
        <v>1428</v>
      </c>
      <c r="E525" t="s">
        <v>1429</v>
      </c>
    </row>
    <row r="526" spans="1:5" ht="15.75" customHeight="1">
      <c r="A526" s="42">
        <v>46022</v>
      </c>
      <c r="B526" t="s">
        <v>1179</v>
      </c>
      <c r="C526" t="s">
        <v>1184</v>
      </c>
      <c r="D526" t="s">
        <v>1428</v>
      </c>
      <c r="E526" t="s">
        <v>1431</v>
      </c>
    </row>
    <row r="527" spans="1:5" ht="15.75" customHeight="1">
      <c r="A527" s="42">
        <v>46022</v>
      </c>
      <c r="B527" t="s">
        <v>1179</v>
      </c>
      <c r="C527" t="s">
        <v>1182</v>
      </c>
      <c r="D527" t="s">
        <v>1428</v>
      </c>
      <c r="E527" t="s">
        <v>1433</v>
      </c>
    </row>
    <row r="528" spans="1:5" ht="15.75" customHeight="1">
      <c r="A528" s="42">
        <v>46022</v>
      </c>
      <c r="B528" t="s">
        <v>1179</v>
      </c>
      <c r="C528" t="s">
        <v>1180</v>
      </c>
      <c r="D528" t="s">
        <v>1428</v>
      </c>
      <c r="E528" t="s">
        <v>1540</v>
      </c>
    </row>
    <row r="529" spans="1:5" ht="15.75" customHeight="1">
      <c r="A529" s="42">
        <v>46022</v>
      </c>
      <c r="B529" t="s">
        <v>1179</v>
      </c>
      <c r="C529" t="s">
        <v>1187</v>
      </c>
      <c r="D529" t="s">
        <v>1428</v>
      </c>
      <c r="E529" t="s">
        <v>1570</v>
      </c>
    </row>
    <row r="530" spans="1:5" ht="15.75" customHeight="1">
      <c r="A530" s="42">
        <v>46022</v>
      </c>
      <c r="B530" t="s">
        <v>1179</v>
      </c>
      <c r="C530" t="s">
        <v>1188</v>
      </c>
      <c r="D530" t="s">
        <v>1428</v>
      </c>
      <c r="E530" t="s">
        <v>1438</v>
      </c>
    </row>
    <row r="531" spans="1:5" ht="15.75" customHeight="1">
      <c r="A531" s="42">
        <v>46022</v>
      </c>
      <c r="B531" t="s">
        <v>1179</v>
      </c>
      <c r="C531" t="s">
        <v>1189</v>
      </c>
      <c r="D531" t="s">
        <v>1428</v>
      </c>
      <c r="E531" t="s">
        <v>1547</v>
      </c>
    </row>
    <row r="532" spans="1:5" ht="15.75" customHeight="1">
      <c r="A532" s="42">
        <v>46022</v>
      </c>
      <c r="B532" t="s">
        <v>1190</v>
      </c>
      <c r="C532" t="s">
        <v>1195</v>
      </c>
      <c r="D532" t="s">
        <v>1428</v>
      </c>
      <c r="E532" t="s">
        <v>1432</v>
      </c>
    </row>
    <row r="533" spans="1:5" ht="15.75" customHeight="1">
      <c r="A533" s="42">
        <v>46022</v>
      </c>
      <c r="B533" t="s">
        <v>1190</v>
      </c>
      <c r="C533" t="s">
        <v>1191</v>
      </c>
      <c r="D533" t="s">
        <v>1428</v>
      </c>
      <c r="E533" t="s">
        <v>1433</v>
      </c>
    </row>
    <row r="534" spans="1:5" ht="15.75" customHeight="1">
      <c r="A534" s="42">
        <v>46022</v>
      </c>
      <c r="B534" t="s">
        <v>1190</v>
      </c>
      <c r="C534" t="s">
        <v>1194</v>
      </c>
      <c r="D534" t="s">
        <v>1428</v>
      </c>
      <c r="E534" t="s">
        <v>1434</v>
      </c>
    </row>
    <row r="535" spans="1:5" ht="15.75" customHeight="1">
      <c r="A535" s="42">
        <v>46022</v>
      </c>
      <c r="B535" t="s">
        <v>1190</v>
      </c>
      <c r="C535" t="s">
        <v>1196</v>
      </c>
      <c r="D535" t="s">
        <v>1428</v>
      </c>
      <c r="E535" t="s">
        <v>1557</v>
      </c>
    </row>
    <row r="536" spans="1:5" ht="15.75" customHeight="1">
      <c r="A536" s="42">
        <v>46022</v>
      </c>
      <c r="B536" t="s">
        <v>1190</v>
      </c>
      <c r="C536" t="s">
        <v>1198</v>
      </c>
      <c r="D536" t="s">
        <v>1449</v>
      </c>
      <c r="E536" t="s">
        <v>1465</v>
      </c>
    </row>
    <row r="537" spans="1:5" ht="15.75" customHeight="1">
      <c r="A537" s="42">
        <v>46022</v>
      </c>
      <c r="B537" t="s">
        <v>1200</v>
      </c>
      <c r="C537" t="s">
        <v>1201</v>
      </c>
      <c r="D537" t="s">
        <v>1428</v>
      </c>
      <c r="E537" t="s">
        <v>1433</v>
      </c>
    </row>
    <row r="538" spans="1:5" ht="15.75" customHeight="1">
      <c r="A538" s="42">
        <v>46022</v>
      </c>
      <c r="B538" t="s">
        <v>1200</v>
      </c>
      <c r="C538" t="s">
        <v>1204</v>
      </c>
      <c r="D538" t="s">
        <v>1449</v>
      </c>
      <c r="E538" t="s">
        <v>1482</v>
      </c>
    </row>
    <row r="539" spans="1:5" ht="15.75" customHeight="1">
      <c r="A539" s="42">
        <v>46022</v>
      </c>
      <c r="B539" t="s">
        <v>1205</v>
      </c>
      <c r="C539" t="s">
        <v>1213</v>
      </c>
      <c r="D539" t="s">
        <v>1428</v>
      </c>
      <c r="E539" t="s">
        <v>1429</v>
      </c>
    </row>
    <row r="540" spans="1:5" ht="15.75" customHeight="1">
      <c r="A540" s="42">
        <v>46022</v>
      </c>
      <c r="B540" t="s">
        <v>1205</v>
      </c>
      <c r="C540" t="s">
        <v>1216</v>
      </c>
      <c r="D540" t="s">
        <v>1428</v>
      </c>
      <c r="E540" t="s">
        <v>1430</v>
      </c>
    </row>
    <row r="541" spans="1:5" ht="15.75" customHeight="1">
      <c r="A541" s="42">
        <v>46022</v>
      </c>
      <c r="B541" t="s">
        <v>1205</v>
      </c>
      <c r="C541" t="s">
        <v>1217</v>
      </c>
      <c r="D541" t="s">
        <v>1428</v>
      </c>
      <c r="E541" t="s">
        <v>1431</v>
      </c>
    </row>
    <row r="542" spans="1:5" ht="15.75" customHeight="1">
      <c r="A542" s="42">
        <v>46022</v>
      </c>
      <c r="B542" t="s">
        <v>1205</v>
      </c>
      <c r="C542" t="s">
        <v>1223</v>
      </c>
      <c r="D542" t="s">
        <v>1428</v>
      </c>
      <c r="E542" t="s">
        <v>1432</v>
      </c>
    </row>
    <row r="543" spans="1:5" ht="15.75" customHeight="1">
      <c r="A543" s="42">
        <v>46022</v>
      </c>
      <c r="B543" t="s">
        <v>1205</v>
      </c>
      <c r="C543" t="s">
        <v>1209</v>
      </c>
      <c r="D543" t="s">
        <v>1428</v>
      </c>
      <c r="E543" t="s">
        <v>1433</v>
      </c>
    </row>
    <row r="544" spans="1:5" ht="15.75" customHeight="1">
      <c r="A544" s="42">
        <v>46022</v>
      </c>
      <c r="B544" t="s">
        <v>1205</v>
      </c>
      <c r="C544" t="s">
        <v>1220</v>
      </c>
      <c r="D544" t="s">
        <v>1428</v>
      </c>
      <c r="E544" t="s">
        <v>1434</v>
      </c>
    </row>
    <row r="545" spans="1:5" ht="15.75" customHeight="1">
      <c r="A545" s="42">
        <v>46022</v>
      </c>
      <c r="B545" t="s">
        <v>1205</v>
      </c>
      <c r="C545" t="s">
        <v>1224</v>
      </c>
      <c r="D545" t="s">
        <v>1428</v>
      </c>
      <c r="E545" t="s">
        <v>1435</v>
      </c>
    </row>
    <row r="546" spans="1:5" ht="15.75" customHeight="1">
      <c r="A546" s="42">
        <v>46022</v>
      </c>
      <c r="B546" t="s">
        <v>1205</v>
      </c>
      <c r="C546" t="s">
        <v>1210</v>
      </c>
      <c r="D546" t="s">
        <v>1428</v>
      </c>
      <c r="E546" t="s">
        <v>1437</v>
      </c>
    </row>
    <row r="547" spans="1:5" ht="15.75" customHeight="1">
      <c r="A547" s="42">
        <v>46022</v>
      </c>
      <c r="B547" t="s">
        <v>1205</v>
      </c>
      <c r="C547" t="s">
        <v>1206</v>
      </c>
      <c r="D547" t="s">
        <v>1428</v>
      </c>
      <c r="E547" t="s">
        <v>1436</v>
      </c>
    </row>
    <row r="548" spans="1:5" ht="15.75" customHeight="1">
      <c r="A548" s="42">
        <v>46022</v>
      </c>
      <c r="B548" t="s">
        <v>1205</v>
      </c>
      <c r="C548" t="s">
        <v>1227</v>
      </c>
      <c r="D548" t="s">
        <v>1428</v>
      </c>
      <c r="E548" t="s">
        <v>1485</v>
      </c>
    </row>
    <row r="549" spans="1:5" ht="15.75" customHeight="1">
      <c r="A549" s="42">
        <v>46022</v>
      </c>
      <c r="B549" t="s">
        <v>1205</v>
      </c>
      <c r="C549" t="s">
        <v>1230</v>
      </c>
      <c r="D549" t="s">
        <v>1428</v>
      </c>
      <c r="E549" t="s">
        <v>1456</v>
      </c>
    </row>
    <row r="550" spans="1:5" ht="15.75" customHeight="1">
      <c r="A550" s="42">
        <v>46022</v>
      </c>
      <c r="B550" t="s">
        <v>1205</v>
      </c>
      <c r="C550" t="s">
        <v>1233</v>
      </c>
      <c r="D550" t="s">
        <v>1428</v>
      </c>
      <c r="E550" t="s">
        <v>1456</v>
      </c>
    </row>
    <row r="551" spans="1:5" ht="15.75" customHeight="1">
      <c r="A551" s="42">
        <v>46022</v>
      </c>
      <c r="B551" t="s">
        <v>1205</v>
      </c>
      <c r="C551" t="s">
        <v>1234</v>
      </c>
      <c r="D551" t="s">
        <v>1428</v>
      </c>
      <c r="E551" t="s">
        <v>1456</v>
      </c>
    </row>
    <row r="552" spans="1:5" ht="15.75" customHeight="1">
      <c r="A552" s="42">
        <v>46022</v>
      </c>
      <c r="B552" t="s">
        <v>1205</v>
      </c>
      <c r="C552" t="s">
        <v>1235</v>
      </c>
      <c r="D552" t="s">
        <v>1449</v>
      </c>
      <c r="E552" t="s">
        <v>1463</v>
      </c>
    </row>
    <row r="553" spans="1:5" ht="15.75" customHeight="1">
      <c r="A553" s="42">
        <v>46022</v>
      </c>
      <c r="B553" t="s">
        <v>1205</v>
      </c>
      <c r="C553" t="s">
        <v>1238</v>
      </c>
      <c r="D553" t="s">
        <v>1449</v>
      </c>
      <c r="E553" t="s">
        <v>1450</v>
      </c>
    </row>
    <row r="554" spans="1:5" ht="15.75" customHeight="1">
      <c r="A554" s="42">
        <v>46022</v>
      </c>
      <c r="B554" t="s">
        <v>1205</v>
      </c>
      <c r="C554" t="s">
        <v>1241</v>
      </c>
      <c r="D554" t="s">
        <v>1449</v>
      </c>
      <c r="E554" t="s">
        <v>1453</v>
      </c>
    </row>
    <row r="555" spans="1:5" ht="15.75" customHeight="1">
      <c r="A555" s="42">
        <v>46022</v>
      </c>
      <c r="B555" t="s">
        <v>1205</v>
      </c>
      <c r="C555" t="s">
        <v>1244</v>
      </c>
      <c r="D555" t="s">
        <v>1449</v>
      </c>
      <c r="E555" t="s">
        <v>1451</v>
      </c>
    </row>
    <row r="556" spans="1:5" ht="15.75" customHeight="1">
      <c r="A556" s="42">
        <v>46022</v>
      </c>
      <c r="B556" t="s">
        <v>1247</v>
      </c>
      <c r="C556" t="s">
        <v>1254</v>
      </c>
      <c r="D556" t="s">
        <v>1428</v>
      </c>
      <c r="E556" t="s">
        <v>1429</v>
      </c>
    </row>
    <row r="557" spans="1:5" ht="15.75" customHeight="1">
      <c r="A557" s="42">
        <v>46022</v>
      </c>
      <c r="B557" t="s">
        <v>1247</v>
      </c>
      <c r="C557" t="s">
        <v>1255</v>
      </c>
      <c r="D557" t="s">
        <v>1428</v>
      </c>
      <c r="E557" t="s">
        <v>1430</v>
      </c>
    </row>
    <row r="558" spans="1:5" ht="15.75" customHeight="1">
      <c r="A558" s="42">
        <v>46022</v>
      </c>
      <c r="B558" t="s">
        <v>1247</v>
      </c>
      <c r="C558" t="s">
        <v>1256</v>
      </c>
      <c r="D558" t="s">
        <v>1428</v>
      </c>
      <c r="E558" t="s">
        <v>1431</v>
      </c>
    </row>
    <row r="559" spans="1:5" ht="15.75" customHeight="1">
      <c r="A559" s="42">
        <v>46022</v>
      </c>
      <c r="B559" t="s">
        <v>1247</v>
      </c>
      <c r="C559" t="s">
        <v>1251</v>
      </c>
      <c r="D559" t="s">
        <v>1428</v>
      </c>
      <c r="E559" t="s">
        <v>1433</v>
      </c>
    </row>
    <row r="560" spans="1:5" ht="15.75" customHeight="1">
      <c r="A560" s="42">
        <v>46022</v>
      </c>
      <c r="B560" t="s">
        <v>1247</v>
      </c>
      <c r="C560" t="s">
        <v>1257</v>
      </c>
      <c r="D560" t="s">
        <v>1428</v>
      </c>
      <c r="E560" t="s">
        <v>1434</v>
      </c>
    </row>
    <row r="561" spans="1:5" ht="15.75" customHeight="1">
      <c r="A561" s="42">
        <v>46022</v>
      </c>
      <c r="B561" t="s">
        <v>1247</v>
      </c>
      <c r="C561" t="s">
        <v>1248</v>
      </c>
      <c r="D561" t="s">
        <v>1428</v>
      </c>
      <c r="E561" t="s">
        <v>1436</v>
      </c>
    </row>
    <row r="562" spans="1:5" ht="15.75" customHeight="1">
      <c r="A562" s="42">
        <v>46022</v>
      </c>
      <c r="B562" t="s">
        <v>1247</v>
      </c>
      <c r="C562" t="s">
        <v>1258</v>
      </c>
      <c r="D562" t="s">
        <v>1428</v>
      </c>
      <c r="E562" t="s">
        <v>1571</v>
      </c>
    </row>
    <row r="563" spans="1:5" ht="15.75" customHeight="1">
      <c r="A563" s="42">
        <v>46022</v>
      </c>
      <c r="B563" t="s">
        <v>1247</v>
      </c>
      <c r="C563" t="s">
        <v>1259</v>
      </c>
      <c r="D563" t="s">
        <v>1428</v>
      </c>
      <c r="E563" t="s">
        <v>1519</v>
      </c>
    </row>
    <row r="564" spans="1:5" ht="15.75" customHeight="1">
      <c r="A564" s="42">
        <v>46022</v>
      </c>
      <c r="B564" t="s">
        <v>1247</v>
      </c>
      <c r="C564" t="s">
        <v>1260</v>
      </c>
      <c r="D564" t="s">
        <v>1428</v>
      </c>
      <c r="E564" t="s">
        <v>1438</v>
      </c>
    </row>
    <row r="565" spans="1:5" ht="15.75" customHeight="1">
      <c r="A565" s="42">
        <v>46022</v>
      </c>
      <c r="B565" t="s">
        <v>1247</v>
      </c>
      <c r="C565" t="s">
        <v>1261</v>
      </c>
      <c r="D565" t="s">
        <v>1428</v>
      </c>
      <c r="E565" t="s">
        <v>1572</v>
      </c>
    </row>
    <row r="566" spans="1:5" ht="15.75" customHeight="1">
      <c r="A566" s="42">
        <v>46022</v>
      </c>
      <c r="B566" t="s">
        <v>1247</v>
      </c>
      <c r="C566" t="s">
        <v>1262</v>
      </c>
      <c r="D566" t="s">
        <v>1428</v>
      </c>
      <c r="E566" t="s">
        <v>1441</v>
      </c>
    </row>
    <row r="567" spans="1:5" ht="15.75" customHeight="1">
      <c r="A567" s="42">
        <v>46022</v>
      </c>
      <c r="B567" t="s">
        <v>1247</v>
      </c>
      <c r="C567" t="s">
        <v>1263</v>
      </c>
      <c r="D567" t="s">
        <v>1428</v>
      </c>
      <c r="E567" t="s">
        <v>1457</v>
      </c>
    </row>
    <row r="568" spans="1:5" ht="15.75" customHeight="1">
      <c r="A568" s="42">
        <v>46022</v>
      </c>
      <c r="B568" t="s">
        <v>1247</v>
      </c>
      <c r="C568" t="s">
        <v>1264</v>
      </c>
      <c r="D568" t="s">
        <v>1449</v>
      </c>
      <c r="E568" t="s">
        <v>1450</v>
      </c>
    </row>
    <row r="569" spans="1:5" ht="15.75" customHeight="1">
      <c r="A569" s="42">
        <v>46022</v>
      </c>
      <c r="B569" t="s">
        <v>1247</v>
      </c>
      <c r="C569" t="s">
        <v>1265</v>
      </c>
      <c r="D569" t="s">
        <v>1449</v>
      </c>
      <c r="E569" t="s">
        <v>1455</v>
      </c>
    </row>
    <row r="570" spans="1:5" ht="15.75" customHeight="1">
      <c r="A570" s="42">
        <v>46022</v>
      </c>
      <c r="B570" t="s">
        <v>1247</v>
      </c>
      <c r="C570" t="s">
        <v>1266</v>
      </c>
      <c r="D570" t="s">
        <v>1449</v>
      </c>
      <c r="E570" t="s">
        <v>1453</v>
      </c>
    </row>
    <row r="571" spans="1:5" ht="15.75" customHeight="1">
      <c r="A571" s="42">
        <v>46022</v>
      </c>
      <c r="B571" t="s">
        <v>1247</v>
      </c>
      <c r="C571" t="s">
        <v>1269</v>
      </c>
      <c r="D571" t="s">
        <v>1449</v>
      </c>
      <c r="E571" t="s">
        <v>1451</v>
      </c>
    </row>
    <row r="572" spans="1:5" ht="15.75" customHeight="1">
      <c r="A572" s="42">
        <v>46022</v>
      </c>
      <c r="B572" t="s">
        <v>1273</v>
      </c>
      <c r="C572" t="s">
        <v>1282</v>
      </c>
      <c r="D572" t="s">
        <v>1428</v>
      </c>
      <c r="E572" t="s">
        <v>1429</v>
      </c>
    </row>
    <row r="573" spans="1:5" ht="15.75" customHeight="1">
      <c r="A573" s="42">
        <v>46022</v>
      </c>
      <c r="B573" t="s">
        <v>1273</v>
      </c>
      <c r="C573" t="s">
        <v>1285</v>
      </c>
      <c r="D573" t="s">
        <v>1428</v>
      </c>
      <c r="E573" t="s">
        <v>1430</v>
      </c>
    </row>
    <row r="574" spans="1:5" ht="15.75" customHeight="1">
      <c r="A574" s="42">
        <v>46022</v>
      </c>
      <c r="B574" t="s">
        <v>1273</v>
      </c>
      <c r="C574" t="s">
        <v>1288</v>
      </c>
      <c r="D574" t="s">
        <v>1428</v>
      </c>
      <c r="E574" t="s">
        <v>1431</v>
      </c>
    </row>
    <row r="575" spans="1:5" ht="15.75" customHeight="1">
      <c r="A575" s="42">
        <v>46022</v>
      </c>
      <c r="B575" t="s">
        <v>1273</v>
      </c>
      <c r="C575" t="s">
        <v>1294</v>
      </c>
      <c r="D575" t="s">
        <v>1428</v>
      </c>
      <c r="E575" t="s">
        <v>1432</v>
      </c>
    </row>
    <row r="576" spans="1:5" ht="15.75" customHeight="1">
      <c r="A576" s="42">
        <v>46022</v>
      </c>
      <c r="B576" t="s">
        <v>1273</v>
      </c>
      <c r="C576" t="s">
        <v>1276</v>
      </c>
      <c r="D576" t="s">
        <v>1428</v>
      </c>
      <c r="E576" t="s">
        <v>1433</v>
      </c>
    </row>
    <row r="577" spans="1:5" ht="15.75" customHeight="1">
      <c r="A577" s="42">
        <v>46022</v>
      </c>
      <c r="B577" t="s">
        <v>1273</v>
      </c>
      <c r="C577" t="s">
        <v>1291</v>
      </c>
      <c r="D577" t="s">
        <v>1428</v>
      </c>
      <c r="E577" t="s">
        <v>1434</v>
      </c>
    </row>
    <row r="578" spans="1:5" ht="15.75" customHeight="1">
      <c r="A578" s="42">
        <v>46022</v>
      </c>
      <c r="B578" t="s">
        <v>1273</v>
      </c>
      <c r="C578" t="s">
        <v>1297</v>
      </c>
      <c r="D578" t="s">
        <v>1428</v>
      </c>
      <c r="E578" t="s">
        <v>1435</v>
      </c>
    </row>
    <row r="579" spans="1:5" ht="15.75" customHeight="1">
      <c r="A579" s="42">
        <v>46022</v>
      </c>
      <c r="B579" t="s">
        <v>1273</v>
      </c>
      <c r="C579" t="s">
        <v>1279</v>
      </c>
      <c r="D579" t="s">
        <v>1428</v>
      </c>
      <c r="E579" t="s">
        <v>1437</v>
      </c>
    </row>
    <row r="580" spans="1:5" ht="15.75" customHeight="1">
      <c r="A580" s="42">
        <v>46022</v>
      </c>
      <c r="B580" t="s">
        <v>1273</v>
      </c>
      <c r="C580" t="s">
        <v>1274</v>
      </c>
      <c r="D580" t="s">
        <v>1428</v>
      </c>
      <c r="E580" t="s">
        <v>1436</v>
      </c>
    </row>
    <row r="581" spans="1:5" ht="15.75" customHeight="1">
      <c r="A581" s="42">
        <v>46022</v>
      </c>
      <c r="B581" t="s">
        <v>1273</v>
      </c>
      <c r="C581" t="s">
        <v>1298</v>
      </c>
      <c r="D581" t="s">
        <v>1428</v>
      </c>
      <c r="E581" t="s">
        <v>1573</v>
      </c>
    </row>
    <row r="582" spans="1:5" ht="15.75" customHeight="1">
      <c r="A582" s="42">
        <v>46022</v>
      </c>
      <c r="B582" t="s">
        <v>1273</v>
      </c>
      <c r="C582" t="s">
        <v>1301</v>
      </c>
      <c r="D582" t="s">
        <v>1428</v>
      </c>
      <c r="E582" t="s">
        <v>1445</v>
      </c>
    </row>
    <row r="583" spans="1:5" ht="15.75" customHeight="1">
      <c r="A583" s="42">
        <v>46022</v>
      </c>
      <c r="B583" t="s">
        <v>1273</v>
      </c>
      <c r="C583" t="s">
        <v>1303</v>
      </c>
      <c r="D583" t="s">
        <v>1428</v>
      </c>
      <c r="E583" t="s">
        <v>1480</v>
      </c>
    </row>
    <row r="584" spans="1:5" ht="15.75" customHeight="1">
      <c r="A584" s="42">
        <v>46022</v>
      </c>
      <c r="B584" t="s">
        <v>1273</v>
      </c>
      <c r="C584" t="s">
        <v>1304</v>
      </c>
      <c r="D584" t="s">
        <v>1428</v>
      </c>
      <c r="E584" t="s">
        <v>1444</v>
      </c>
    </row>
    <row r="585" spans="1:5" ht="15.75" customHeight="1">
      <c r="A585" s="42">
        <v>46022</v>
      </c>
      <c r="B585" t="s">
        <v>1273</v>
      </c>
      <c r="C585" t="s">
        <v>1307</v>
      </c>
      <c r="D585" t="s">
        <v>1428</v>
      </c>
      <c r="E585" t="s">
        <v>1446</v>
      </c>
    </row>
    <row r="586" spans="1:5" ht="15.75" customHeight="1">
      <c r="A586" s="42">
        <v>46022</v>
      </c>
      <c r="B586" t="s">
        <v>1273</v>
      </c>
      <c r="C586" t="s">
        <v>1308</v>
      </c>
      <c r="D586" t="s">
        <v>1428</v>
      </c>
      <c r="E586" t="s">
        <v>1493</v>
      </c>
    </row>
    <row r="587" spans="1:5" ht="15.75" customHeight="1">
      <c r="A587" s="42">
        <v>46022</v>
      </c>
      <c r="B587" t="s">
        <v>1273</v>
      </c>
      <c r="C587" t="s">
        <v>1310</v>
      </c>
      <c r="D587" t="s">
        <v>1449</v>
      </c>
      <c r="E587" t="s">
        <v>1450</v>
      </c>
    </row>
    <row r="588" spans="1:5" ht="15.75" customHeight="1">
      <c r="A588" s="42">
        <v>46022</v>
      </c>
      <c r="B588" t="s">
        <v>1273</v>
      </c>
      <c r="C588" t="s">
        <v>1313</v>
      </c>
      <c r="D588" t="s">
        <v>1449</v>
      </c>
      <c r="E588" t="s">
        <v>1463</v>
      </c>
    </row>
    <row r="589" spans="1:5" ht="15.75" customHeight="1">
      <c r="A589" s="42">
        <v>46022</v>
      </c>
      <c r="B589" t="s">
        <v>1273</v>
      </c>
      <c r="C589" t="s">
        <v>1315</v>
      </c>
      <c r="D589" t="s">
        <v>1449</v>
      </c>
      <c r="E589" t="s">
        <v>1462</v>
      </c>
    </row>
    <row r="590" spans="1:5" ht="15.75" customHeight="1">
      <c r="A590" s="42">
        <v>46022</v>
      </c>
      <c r="B590" t="s">
        <v>1273</v>
      </c>
      <c r="C590" t="s">
        <v>1316</v>
      </c>
      <c r="D590" t="s">
        <v>1449</v>
      </c>
      <c r="E590" t="s">
        <v>1453</v>
      </c>
    </row>
    <row r="591" spans="1:5" ht="15.75" customHeight="1">
      <c r="A591" s="42">
        <v>46022</v>
      </c>
      <c r="B591" t="s">
        <v>1273</v>
      </c>
      <c r="C591" t="s">
        <v>1319</v>
      </c>
      <c r="D591" t="s">
        <v>1449</v>
      </c>
      <c r="E591" t="s">
        <v>1451</v>
      </c>
    </row>
    <row r="592" spans="1:5" ht="15.75" customHeight="1">
      <c r="A592" s="42">
        <v>46022</v>
      </c>
      <c r="B592" t="s">
        <v>1325</v>
      </c>
      <c r="C592" t="s">
        <v>1338</v>
      </c>
      <c r="D592" t="s">
        <v>1428</v>
      </c>
      <c r="E592" t="s">
        <v>1434</v>
      </c>
    </row>
    <row r="593" spans="1:5" ht="15.75" customHeight="1">
      <c r="A593" s="42">
        <v>46022</v>
      </c>
      <c r="B593" t="s">
        <v>1325</v>
      </c>
      <c r="C593" t="s">
        <v>1333</v>
      </c>
      <c r="D593" t="s">
        <v>1428</v>
      </c>
      <c r="E593" t="s">
        <v>1429</v>
      </c>
    </row>
    <row r="594" spans="1:5" ht="15.75" customHeight="1">
      <c r="A594" s="42">
        <v>46022</v>
      </c>
      <c r="B594" t="s">
        <v>1325</v>
      </c>
      <c r="C594" t="s">
        <v>1328</v>
      </c>
      <c r="D594" t="s">
        <v>1428</v>
      </c>
      <c r="E594" t="s">
        <v>1433</v>
      </c>
    </row>
    <row r="595" spans="1:5" ht="15.75" customHeight="1">
      <c r="A595" s="42">
        <v>46022</v>
      </c>
      <c r="B595" t="s">
        <v>1325</v>
      </c>
      <c r="C595" t="s">
        <v>1337</v>
      </c>
      <c r="D595" t="s">
        <v>1428</v>
      </c>
      <c r="E595" t="s">
        <v>1431</v>
      </c>
    </row>
    <row r="596" spans="1:5" ht="15.75" customHeight="1">
      <c r="A596" s="42">
        <v>46022</v>
      </c>
      <c r="B596" t="s">
        <v>1325</v>
      </c>
      <c r="C596" t="s">
        <v>1339</v>
      </c>
      <c r="D596" t="s">
        <v>1428</v>
      </c>
      <c r="E596" t="s">
        <v>1432</v>
      </c>
    </row>
    <row r="597" spans="1:5" ht="15.75" customHeight="1">
      <c r="A597" s="42">
        <v>46022</v>
      </c>
      <c r="B597" t="s">
        <v>1325</v>
      </c>
      <c r="C597" t="s">
        <v>1335</v>
      </c>
      <c r="D597" t="s">
        <v>1428</v>
      </c>
      <c r="E597" t="s">
        <v>1430</v>
      </c>
    </row>
    <row r="598" spans="1:5" ht="15.75" customHeight="1">
      <c r="A598" s="42">
        <v>46022</v>
      </c>
      <c r="B598" t="s">
        <v>1325</v>
      </c>
      <c r="C598" t="s">
        <v>1341</v>
      </c>
      <c r="D598" t="s">
        <v>1428</v>
      </c>
      <c r="E598" t="s">
        <v>1435</v>
      </c>
    </row>
    <row r="599" spans="1:5" ht="15.75" customHeight="1">
      <c r="A599" s="42">
        <v>46022</v>
      </c>
      <c r="B599" t="s">
        <v>1325</v>
      </c>
      <c r="C599" t="s">
        <v>1331</v>
      </c>
      <c r="D599" t="s">
        <v>1428</v>
      </c>
      <c r="E599" t="s">
        <v>1437</v>
      </c>
    </row>
    <row r="600" spans="1:5" ht="15.75" customHeight="1">
      <c r="A600" s="42">
        <v>46022</v>
      </c>
      <c r="B600" t="s">
        <v>1325</v>
      </c>
      <c r="C600" t="s">
        <v>1326</v>
      </c>
      <c r="D600" t="s">
        <v>1428</v>
      </c>
      <c r="E600" t="s">
        <v>1436</v>
      </c>
    </row>
    <row r="601" spans="1:5" ht="15.75" customHeight="1">
      <c r="A601" s="42">
        <v>46022</v>
      </c>
      <c r="B601" t="s">
        <v>1325</v>
      </c>
      <c r="C601" t="s">
        <v>1342</v>
      </c>
      <c r="D601" t="s">
        <v>1428</v>
      </c>
      <c r="E601" t="s">
        <v>1517</v>
      </c>
    </row>
    <row r="602" spans="1:5" ht="15.75" customHeight="1">
      <c r="A602" s="42">
        <v>46022</v>
      </c>
      <c r="B602" t="s">
        <v>1325</v>
      </c>
      <c r="C602" t="s">
        <v>1343</v>
      </c>
      <c r="D602" t="s">
        <v>1428</v>
      </c>
      <c r="E602" t="s">
        <v>1574</v>
      </c>
    </row>
    <row r="603" spans="1:5" ht="15.75" customHeight="1">
      <c r="A603" s="42">
        <v>46022</v>
      </c>
      <c r="B603" t="s">
        <v>1325</v>
      </c>
      <c r="C603" t="s">
        <v>1345</v>
      </c>
      <c r="D603" t="s">
        <v>1449</v>
      </c>
      <c r="E603" t="s">
        <v>1482</v>
      </c>
    </row>
    <row r="604" spans="1:5" ht="15.75" customHeight="1">
      <c r="A604" s="42">
        <v>46022</v>
      </c>
      <c r="B604" t="s">
        <v>1325</v>
      </c>
      <c r="C604" t="s">
        <v>1348</v>
      </c>
      <c r="D604" t="s">
        <v>1428</v>
      </c>
      <c r="E604" t="s">
        <v>1575</v>
      </c>
    </row>
    <row r="605" spans="1:5" ht="15.75" customHeight="1">
      <c r="A605" s="42">
        <v>46022</v>
      </c>
      <c r="B605" t="s">
        <v>1325</v>
      </c>
      <c r="C605" t="s">
        <v>1349</v>
      </c>
      <c r="D605" t="s">
        <v>1428</v>
      </c>
      <c r="E605" t="s">
        <v>1576</v>
      </c>
    </row>
    <row r="606" spans="1:5" ht="15.75" customHeight="1">
      <c r="A606" s="42">
        <v>46022</v>
      </c>
      <c r="B606" t="s">
        <v>1325</v>
      </c>
      <c r="C606" t="s">
        <v>1350</v>
      </c>
      <c r="D606" t="s">
        <v>1428</v>
      </c>
      <c r="E606" t="s">
        <v>1577</v>
      </c>
    </row>
    <row r="607" spans="1:5" ht="15.75" customHeight="1">
      <c r="A607" s="42">
        <v>46022</v>
      </c>
      <c r="B607" t="s">
        <v>1325</v>
      </c>
      <c r="C607" t="s">
        <v>1353</v>
      </c>
      <c r="D607" t="s">
        <v>1428</v>
      </c>
      <c r="E607" t="s">
        <v>1510</v>
      </c>
    </row>
    <row r="608" spans="1:5" ht="15.75" customHeight="1">
      <c r="A608" s="42">
        <v>46022</v>
      </c>
      <c r="B608" t="s">
        <v>1325</v>
      </c>
      <c r="C608" t="s">
        <v>1356</v>
      </c>
      <c r="D608" t="s">
        <v>1428</v>
      </c>
      <c r="E608" t="s">
        <v>1578</v>
      </c>
    </row>
    <row r="609" spans="1:5" ht="15.75" customHeight="1">
      <c r="A609" s="42">
        <v>46022</v>
      </c>
      <c r="B609" t="s">
        <v>1325</v>
      </c>
      <c r="C609" t="s">
        <v>1359</v>
      </c>
      <c r="D609" t="s">
        <v>1449</v>
      </c>
      <c r="E609" t="s">
        <v>1462</v>
      </c>
    </row>
    <row r="610" spans="1:5" ht="15.75" customHeight="1">
      <c r="A610" s="42">
        <v>46022</v>
      </c>
      <c r="B610" t="s">
        <v>1366</v>
      </c>
      <c r="C610" t="s">
        <v>1367</v>
      </c>
      <c r="D610" t="s">
        <v>1428</v>
      </c>
      <c r="E610" t="s">
        <v>1433</v>
      </c>
    </row>
    <row r="611" spans="1:5" ht="15.75" customHeight="1">
      <c r="A611" s="42">
        <v>46022</v>
      </c>
      <c r="B611" t="s">
        <v>1366</v>
      </c>
      <c r="C611" t="s">
        <v>1370</v>
      </c>
      <c r="D611" t="s">
        <v>1428</v>
      </c>
      <c r="E611" t="s">
        <v>1436</v>
      </c>
    </row>
    <row r="612" spans="1:5" ht="15.75" customHeight="1">
      <c r="A612" s="42">
        <v>46022</v>
      </c>
      <c r="B612" t="s">
        <v>1366</v>
      </c>
      <c r="C612" t="s">
        <v>1371</v>
      </c>
      <c r="D612" t="s">
        <v>1428</v>
      </c>
      <c r="E612" t="s">
        <v>1579</v>
      </c>
    </row>
    <row r="613" spans="1:5" ht="15.75" customHeight="1">
      <c r="A613" s="42">
        <v>46022</v>
      </c>
      <c r="B613" t="s">
        <v>1366</v>
      </c>
      <c r="C613" t="s">
        <v>1372</v>
      </c>
      <c r="D613" t="s">
        <v>1449</v>
      </c>
      <c r="E613" t="s">
        <v>1463</v>
      </c>
    </row>
    <row r="614" spans="1:5" ht="15.75" customHeight="1">
      <c r="A614" s="42">
        <v>46022</v>
      </c>
      <c r="B614" t="s">
        <v>1366</v>
      </c>
      <c r="C614" t="s">
        <v>1375</v>
      </c>
      <c r="D614" t="s">
        <v>1449</v>
      </c>
      <c r="E614" t="s">
        <v>1450</v>
      </c>
    </row>
    <row r="615" spans="1:5" ht="15.75" customHeight="1">
      <c r="A615" s="42">
        <v>46022</v>
      </c>
      <c r="B615" t="s">
        <v>1366</v>
      </c>
      <c r="C615" t="s">
        <v>1376</v>
      </c>
      <c r="D615" t="s">
        <v>1449</v>
      </c>
      <c r="E615" t="s">
        <v>1451</v>
      </c>
    </row>
    <row r="616" spans="1:5" ht="15.75" customHeight="1">
      <c r="A616" s="42">
        <v>46022</v>
      </c>
      <c r="B616" t="s">
        <v>1377</v>
      </c>
      <c r="C616" t="s">
        <v>1378</v>
      </c>
      <c r="D616" t="s">
        <v>1428</v>
      </c>
      <c r="E616" t="s">
        <v>1429</v>
      </c>
    </row>
    <row r="617" spans="1:5" ht="15.75" customHeight="1">
      <c r="A617" s="42">
        <v>46022</v>
      </c>
      <c r="B617" t="s">
        <v>1377</v>
      </c>
      <c r="C617" t="s">
        <v>1381</v>
      </c>
      <c r="D617" t="s">
        <v>1428</v>
      </c>
      <c r="E617" t="s">
        <v>1430</v>
      </c>
    </row>
    <row r="618" spans="1:5" ht="15.75" customHeight="1">
      <c r="A618" s="42">
        <v>46022</v>
      </c>
      <c r="B618" t="s">
        <v>1377</v>
      </c>
      <c r="C618" t="s">
        <v>1384</v>
      </c>
      <c r="D618" t="s">
        <v>1428</v>
      </c>
      <c r="E618" t="s">
        <v>1431</v>
      </c>
    </row>
    <row r="619" spans="1:5" ht="15.75" customHeight="1">
      <c r="A619" s="42">
        <v>46022</v>
      </c>
      <c r="B619" t="s">
        <v>1377</v>
      </c>
      <c r="C619" t="s">
        <v>1385</v>
      </c>
      <c r="D619" t="s">
        <v>1428</v>
      </c>
      <c r="E619" t="s">
        <v>1432</v>
      </c>
    </row>
    <row r="620" spans="1:5" ht="15.75" customHeight="1">
      <c r="A620" s="42">
        <v>46022</v>
      </c>
      <c r="B620" t="s">
        <v>1377</v>
      </c>
      <c r="C620" t="s">
        <v>1388</v>
      </c>
      <c r="D620" t="s">
        <v>1428</v>
      </c>
      <c r="E620" t="s">
        <v>1433</v>
      </c>
    </row>
    <row r="621" spans="1:5" ht="15.75" customHeight="1">
      <c r="A621" s="42">
        <v>46022</v>
      </c>
      <c r="B621" t="s">
        <v>1377</v>
      </c>
      <c r="C621" t="s">
        <v>1391</v>
      </c>
      <c r="D621" t="s">
        <v>1428</v>
      </c>
      <c r="E621" t="s">
        <v>1434</v>
      </c>
    </row>
    <row r="622" spans="1:5" ht="15.75" customHeight="1">
      <c r="A622" s="42">
        <v>46022</v>
      </c>
      <c r="B622" t="s">
        <v>1377</v>
      </c>
      <c r="C622" t="s">
        <v>1394</v>
      </c>
      <c r="D622" t="s">
        <v>1428</v>
      </c>
      <c r="E622" t="s">
        <v>1435</v>
      </c>
    </row>
    <row r="623" spans="1:5" ht="15.75" customHeight="1">
      <c r="A623" s="42">
        <v>46022</v>
      </c>
      <c r="B623" t="s">
        <v>1377</v>
      </c>
      <c r="C623" t="s">
        <v>1395</v>
      </c>
      <c r="D623" t="s">
        <v>1428</v>
      </c>
      <c r="E623" t="s">
        <v>1437</v>
      </c>
    </row>
    <row r="624" spans="1:5" ht="15.75" customHeight="1">
      <c r="A624" s="42">
        <v>46022</v>
      </c>
      <c r="B624" t="s">
        <v>1377</v>
      </c>
      <c r="C624" t="s">
        <v>1398</v>
      </c>
      <c r="D624" t="s">
        <v>1428</v>
      </c>
      <c r="E624" t="s">
        <v>1436</v>
      </c>
    </row>
    <row r="625" spans="1:5" ht="15.75" customHeight="1">
      <c r="A625" s="42">
        <v>46022</v>
      </c>
      <c r="B625" t="s">
        <v>1377</v>
      </c>
      <c r="C625" t="s">
        <v>1400</v>
      </c>
      <c r="D625" t="s">
        <v>1428</v>
      </c>
      <c r="E625" t="s">
        <v>1436</v>
      </c>
    </row>
    <row r="626" spans="1:5" ht="15.75" customHeight="1">
      <c r="A626" s="42">
        <v>46022</v>
      </c>
      <c r="B626" t="s">
        <v>1377</v>
      </c>
      <c r="C626" t="s">
        <v>1403</v>
      </c>
      <c r="D626" t="s">
        <v>1428</v>
      </c>
      <c r="E626" t="s">
        <v>1580</v>
      </c>
    </row>
    <row r="627" spans="1:5" ht="15.75" customHeight="1">
      <c r="A627" s="42">
        <v>46022</v>
      </c>
      <c r="B627" t="s">
        <v>1377</v>
      </c>
      <c r="C627" t="s">
        <v>1406</v>
      </c>
      <c r="D627" t="s">
        <v>1428</v>
      </c>
      <c r="E627" t="s">
        <v>1509</v>
      </c>
    </row>
    <row r="628" spans="1:5" ht="15.75" customHeight="1">
      <c r="A628" s="42">
        <v>46022</v>
      </c>
      <c r="B628" t="s">
        <v>1377</v>
      </c>
      <c r="C628" t="s">
        <v>1407</v>
      </c>
      <c r="D628" t="s">
        <v>1428</v>
      </c>
      <c r="E628" t="s">
        <v>1508</v>
      </c>
    </row>
    <row r="629" spans="1:5" ht="15.75" customHeight="1">
      <c r="A629" s="42">
        <v>46022</v>
      </c>
      <c r="B629" t="s">
        <v>1377</v>
      </c>
      <c r="C629" t="s">
        <v>1410</v>
      </c>
      <c r="D629" t="s">
        <v>1428</v>
      </c>
      <c r="E629" t="s">
        <v>1581</v>
      </c>
    </row>
    <row r="630" spans="1:5" ht="15.75" customHeight="1">
      <c r="A630" s="42">
        <v>46022</v>
      </c>
      <c r="B630" t="s">
        <v>1377</v>
      </c>
      <c r="C630" t="s">
        <v>1411</v>
      </c>
      <c r="D630" t="s">
        <v>1449</v>
      </c>
      <c r="E630" t="s">
        <v>1463</v>
      </c>
    </row>
    <row r="631" spans="1:5" ht="15.75" customHeight="1">
      <c r="A631" s="42">
        <v>46022</v>
      </c>
      <c r="B631" t="s">
        <v>1377</v>
      </c>
      <c r="C631" t="s">
        <v>1414</v>
      </c>
      <c r="D631" t="s">
        <v>1449</v>
      </c>
      <c r="E631" t="s">
        <v>1450</v>
      </c>
    </row>
    <row r="632" spans="1:5" ht="15.75" customHeight="1">
      <c r="A632" s="42">
        <v>46022</v>
      </c>
      <c r="B632" t="s">
        <v>1377</v>
      </c>
      <c r="C632" t="s">
        <v>1417</v>
      </c>
      <c r="D632" t="s">
        <v>1449</v>
      </c>
      <c r="E632" t="s">
        <v>1462</v>
      </c>
    </row>
    <row r="633" spans="1:5" ht="15.75" customHeight="1">
      <c r="A633" s="42">
        <v>46022</v>
      </c>
      <c r="B633" t="s">
        <v>1377</v>
      </c>
      <c r="C633" t="s">
        <v>1420</v>
      </c>
      <c r="D633" t="s">
        <v>1449</v>
      </c>
      <c r="E633" t="s">
        <v>1453</v>
      </c>
    </row>
    <row r="634" spans="1:5" ht="15.75" customHeight="1">
      <c r="A634" s="42">
        <v>46022</v>
      </c>
      <c r="B634" t="s">
        <v>1377</v>
      </c>
      <c r="C634" t="s">
        <v>1423</v>
      </c>
      <c r="D634" t="s">
        <v>1449</v>
      </c>
      <c r="E634" t="s">
        <v>1451</v>
      </c>
    </row>
    <row r="635" spans="1:5" ht="15.75" customHeight="1">
      <c r="A635" s="42">
        <v>46022</v>
      </c>
      <c r="B635" t="s">
        <v>1082</v>
      </c>
      <c r="C635" t="s">
        <v>1116</v>
      </c>
      <c r="D635" t="s">
        <v>1428</v>
      </c>
      <c r="E635" t="s">
        <v>1429</v>
      </c>
    </row>
    <row r="636" spans="1:5" ht="15.75" customHeight="1">
      <c r="A636" s="42">
        <v>46022</v>
      </c>
      <c r="B636" t="s">
        <v>1082</v>
      </c>
      <c r="C636" t="s">
        <v>1083</v>
      </c>
      <c r="D636" t="s">
        <v>1428</v>
      </c>
      <c r="E636" t="s">
        <v>1431</v>
      </c>
    </row>
    <row r="637" spans="1:5" ht="15.75" customHeight="1">
      <c r="A637" s="42">
        <v>46022</v>
      </c>
      <c r="B637" t="s">
        <v>1082</v>
      </c>
      <c r="C637" t="s">
        <v>1086</v>
      </c>
      <c r="D637" t="s">
        <v>1428</v>
      </c>
      <c r="E637" t="s">
        <v>1432</v>
      </c>
    </row>
    <row r="638" spans="1:5" ht="15.75" customHeight="1">
      <c r="A638" s="42">
        <v>46022</v>
      </c>
      <c r="B638" t="s">
        <v>1082</v>
      </c>
      <c r="C638" t="s">
        <v>1089</v>
      </c>
      <c r="D638" t="s">
        <v>1428</v>
      </c>
      <c r="E638" t="s">
        <v>1434</v>
      </c>
    </row>
    <row r="639" spans="1:5" ht="15.75" customHeight="1">
      <c r="A639" s="42">
        <v>46022</v>
      </c>
      <c r="B639" t="s">
        <v>1082</v>
      </c>
      <c r="C639" t="s">
        <v>1117</v>
      </c>
      <c r="D639" t="s">
        <v>1428</v>
      </c>
      <c r="E639" t="s">
        <v>1433</v>
      </c>
    </row>
    <row r="640" spans="1:5" ht="15.75" customHeight="1">
      <c r="A640" s="42">
        <v>46022</v>
      </c>
      <c r="B640" t="s">
        <v>1082</v>
      </c>
      <c r="C640" t="s">
        <v>1119</v>
      </c>
      <c r="D640" t="s">
        <v>1428</v>
      </c>
      <c r="E640" t="s">
        <v>1430</v>
      </c>
    </row>
    <row r="641" spans="1:5" ht="15.75" customHeight="1">
      <c r="A641" s="42">
        <v>46022</v>
      </c>
      <c r="B641" t="s">
        <v>1082</v>
      </c>
      <c r="C641" t="s">
        <v>1121</v>
      </c>
      <c r="D641" t="s">
        <v>1428</v>
      </c>
      <c r="E641" t="s">
        <v>1435</v>
      </c>
    </row>
    <row r="642" spans="1:5" ht="15.75" customHeight="1">
      <c r="A642" s="42">
        <v>46022</v>
      </c>
      <c r="B642" t="s">
        <v>1082</v>
      </c>
      <c r="C642" t="s">
        <v>1091</v>
      </c>
      <c r="D642" t="s">
        <v>1428</v>
      </c>
      <c r="E642" t="s">
        <v>1437</v>
      </c>
    </row>
    <row r="643" spans="1:5" ht="15.75" customHeight="1">
      <c r="A643" s="42">
        <v>46022</v>
      </c>
      <c r="B643" t="s">
        <v>1082</v>
      </c>
      <c r="C643" t="s">
        <v>1093</v>
      </c>
      <c r="D643" t="s">
        <v>1428</v>
      </c>
      <c r="E643" t="s">
        <v>1472</v>
      </c>
    </row>
    <row r="644" spans="1:5" ht="15.75" customHeight="1">
      <c r="A644" s="42">
        <v>46022</v>
      </c>
      <c r="B644" t="s">
        <v>1082</v>
      </c>
      <c r="C644" t="s">
        <v>1095</v>
      </c>
      <c r="D644" t="s">
        <v>1428</v>
      </c>
      <c r="E644" t="s">
        <v>1436</v>
      </c>
    </row>
    <row r="645" spans="1:5" ht="15.75" customHeight="1">
      <c r="A645" s="42">
        <v>46022</v>
      </c>
      <c r="B645" t="s">
        <v>1082</v>
      </c>
      <c r="C645" t="s">
        <v>1098</v>
      </c>
      <c r="D645" t="s">
        <v>1428</v>
      </c>
      <c r="E645" t="s">
        <v>1456</v>
      </c>
    </row>
    <row r="646" spans="1:5" ht="15.75" customHeight="1">
      <c r="A646" s="42">
        <v>46022</v>
      </c>
      <c r="B646" t="s">
        <v>1082</v>
      </c>
      <c r="C646" t="s">
        <v>1100</v>
      </c>
      <c r="D646" t="s">
        <v>1428</v>
      </c>
      <c r="E646" t="s">
        <v>1456</v>
      </c>
    </row>
    <row r="647" spans="1:5" ht="15.75" customHeight="1">
      <c r="A647" s="42">
        <v>46022</v>
      </c>
      <c r="B647" t="s">
        <v>1082</v>
      </c>
      <c r="C647" t="s">
        <v>1101</v>
      </c>
      <c r="D647" t="s">
        <v>1428</v>
      </c>
      <c r="E647" t="s">
        <v>1582</v>
      </c>
    </row>
    <row r="648" spans="1:5" ht="15.75" customHeight="1">
      <c r="A648" s="42">
        <v>46022</v>
      </c>
      <c r="B648" t="s">
        <v>1082</v>
      </c>
      <c r="C648" t="s">
        <v>1102</v>
      </c>
      <c r="D648" t="s">
        <v>1449</v>
      </c>
      <c r="E648" t="s">
        <v>1463</v>
      </c>
    </row>
    <row r="649" spans="1:5" ht="15.75" customHeight="1">
      <c r="A649" s="42">
        <v>46022</v>
      </c>
      <c r="B649" t="s">
        <v>1082</v>
      </c>
      <c r="C649" t="s">
        <v>1105</v>
      </c>
      <c r="D649" t="s">
        <v>1449</v>
      </c>
      <c r="E649" t="s">
        <v>1465</v>
      </c>
    </row>
    <row r="650" spans="1:5" ht="15.75" customHeight="1">
      <c r="A650" s="42">
        <v>46022</v>
      </c>
      <c r="B650" t="s">
        <v>1082</v>
      </c>
      <c r="C650" t="s">
        <v>1108</v>
      </c>
      <c r="D650" t="s">
        <v>1449</v>
      </c>
      <c r="E650" t="s">
        <v>1450</v>
      </c>
    </row>
    <row r="651" spans="1:5" ht="15.75" customHeight="1">
      <c r="A651" s="42">
        <v>46022</v>
      </c>
      <c r="B651" t="s">
        <v>1082</v>
      </c>
      <c r="C651" t="s">
        <v>1111</v>
      </c>
      <c r="D651" t="s">
        <v>1449</v>
      </c>
      <c r="E651" t="s">
        <v>1453</v>
      </c>
    </row>
    <row r="652" spans="1:5" ht="15.75" customHeight="1">
      <c r="A652" s="42">
        <v>46022</v>
      </c>
      <c r="B652" t="s">
        <v>1082</v>
      </c>
      <c r="C652" t="s">
        <v>1114</v>
      </c>
      <c r="D652" t="s">
        <v>1449</v>
      </c>
      <c r="E652" t="s">
        <v>1451</v>
      </c>
    </row>
    <row r="653" spans="1:5" ht="15.75" customHeight="1">
      <c r="A653" s="42">
        <v>46022</v>
      </c>
      <c r="B653" t="s">
        <v>701</v>
      </c>
      <c r="C653" t="s">
        <v>713</v>
      </c>
      <c r="D653" t="s">
        <v>1428</v>
      </c>
      <c r="E653" t="s">
        <v>1436</v>
      </c>
    </row>
    <row r="654" spans="1:5" ht="15.75" customHeight="1">
      <c r="A654" s="42">
        <v>46022</v>
      </c>
      <c r="B654" t="s">
        <v>788</v>
      </c>
      <c r="C654" t="s">
        <v>797</v>
      </c>
      <c r="D654" t="s">
        <v>1428</v>
      </c>
      <c r="E654" t="s">
        <v>1522</v>
      </c>
    </row>
    <row r="655" spans="1:5" ht="15.75" customHeight="1">
      <c r="A655" s="42">
        <v>46022</v>
      </c>
      <c r="B655" t="s">
        <v>788</v>
      </c>
      <c r="C655" t="s">
        <v>798</v>
      </c>
      <c r="D655" t="s">
        <v>1428</v>
      </c>
      <c r="E655" t="s">
        <v>1522</v>
      </c>
    </row>
    <row r="656" spans="1:5" ht="15.75" customHeight="1">
      <c r="A656" s="42">
        <v>46022</v>
      </c>
      <c r="B656" t="s">
        <v>788</v>
      </c>
      <c r="C656" t="s">
        <v>800</v>
      </c>
      <c r="D656" t="s">
        <v>1428</v>
      </c>
      <c r="E656" t="s">
        <v>1522</v>
      </c>
    </row>
    <row r="657" spans="1:5" ht="15.75" customHeight="1">
      <c r="A657" s="42">
        <v>46022</v>
      </c>
      <c r="B657" t="s">
        <v>788</v>
      </c>
      <c r="C657" t="s">
        <v>803</v>
      </c>
      <c r="D657" t="s">
        <v>1428</v>
      </c>
      <c r="E657" t="s">
        <v>1522</v>
      </c>
    </row>
    <row r="658" spans="1:5" ht="15.75" customHeight="1">
      <c r="A658" s="42">
        <v>46022</v>
      </c>
      <c r="B658" t="s">
        <v>788</v>
      </c>
      <c r="C658" t="s">
        <v>805</v>
      </c>
      <c r="D658" t="s">
        <v>1428</v>
      </c>
      <c r="E658" t="s">
        <v>1522</v>
      </c>
    </row>
    <row r="659" spans="1:5" ht="15.75" customHeight="1">
      <c r="A659" s="42">
        <v>46022</v>
      </c>
      <c r="B659" t="s">
        <v>788</v>
      </c>
      <c r="C659" t="s">
        <v>789</v>
      </c>
      <c r="D659" t="s">
        <v>1428</v>
      </c>
      <c r="E659" t="s">
        <v>1429</v>
      </c>
    </row>
    <row r="660" spans="1:5" ht="15.75" customHeight="1">
      <c r="A660" s="42">
        <v>46022</v>
      </c>
      <c r="B660" t="s">
        <v>788</v>
      </c>
      <c r="C660" t="s">
        <v>791</v>
      </c>
      <c r="D660" t="s">
        <v>1428</v>
      </c>
      <c r="E660" t="s">
        <v>1430</v>
      </c>
    </row>
    <row r="661" spans="1:5" ht="15.75" customHeight="1">
      <c r="A661" s="42">
        <v>46022</v>
      </c>
      <c r="B661" t="s">
        <v>788</v>
      </c>
      <c r="C661" t="s">
        <v>814</v>
      </c>
      <c r="D661" t="s">
        <v>1428</v>
      </c>
      <c r="E661" t="s">
        <v>1431</v>
      </c>
    </row>
    <row r="662" spans="1:5" ht="15.75" customHeight="1">
      <c r="A662" s="42">
        <v>46022</v>
      </c>
      <c r="B662" t="s">
        <v>788</v>
      </c>
      <c r="C662" t="s">
        <v>794</v>
      </c>
      <c r="D662" t="s">
        <v>1428</v>
      </c>
      <c r="E662" t="s">
        <v>1432</v>
      </c>
    </row>
    <row r="663" spans="1:5" ht="15.75" customHeight="1">
      <c r="A663" s="42">
        <v>46022</v>
      </c>
      <c r="B663" t="s">
        <v>788</v>
      </c>
      <c r="C663" t="s">
        <v>809</v>
      </c>
      <c r="D663" t="s">
        <v>1428</v>
      </c>
      <c r="E663" t="s">
        <v>1433</v>
      </c>
    </row>
    <row r="664" spans="1:5" ht="15.75" customHeight="1">
      <c r="A664" s="42">
        <v>46022</v>
      </c>
      <c r="B664" t="s">
        <v>788</v>
      </c>
      <c r="C664" t="s">
        <v>812</v>
      </c>
      <c r="D664" t="s">
        <v>1428</v>
      </c>
      <c r="E664" t="s">
        <v>1437</v>
      </c>
    </row>
    <row r="665" spans="1:5" ht="15.75" customHeight="1">
      <c r="A665" s="42">
        <v>46022</v>
      </c>
      <c r="B665" t="s">
        <v>788</v>
      </c>
      <c r="C665" t="s">
        <v>806</v>
      </c>
      <c r="D665" t="s">
        <v>1428</v>
      </c>
      <c r="E665" t="s">
        <v>1436</v>
      </c>
    </row>
    <row r="666" spans="1:5" ht="15.75" customHeight="1">
      <c r="A666" s="42">
        <v>46022</v>
      </c>
      <c r="B666" t="s">
        <v>788</v>
      </c>
      <c r="C666" t="s">
        <v>819</v>
      </c>
      <c r="D666" t="s">
        <v>1428</v>
      </c>
      <c r="E666" t="s">
        <v>1450</v>
      </c>
    </row>
    <row r="667" spans="1:5" ht="15.75" customHeight="1">
      <c r="A667" s="42">
        <v>46022</v>
      </c>
      <c r="B667" t="s">
        <v>788</v>
      </c>
      <c r="C667" t="s">
        <v>808</v>
      </c>
      <c r="D667" t="s">
        <v>1428</v>
      </c>
      <c r="E667" t="s">
        <v>1463</v>
      </c>
    </row>
    <row r="668" spans="1:5" ht="15.75" customHeight="1">
      <c r="A668" s="42">
        <v>46022</v>
      </c>
      <c r="B668" t="s">
        <v>788</v>
      </c>
      <c r="C668" t="s">
        <v>817</v>
      </c>
      <c r="D668" t="s">
        <v>1428</v>
      </c>
      <c r="E668" t="s">
        <v>1451</v>
      </c>
    </row>
    <row r="669" spans="1:5" ht="15.75" customHeight="1">
      <c r="A669" s="42">
        <v>46022</v>
      </c>
      <c r="B669" t="s">
        <v>788</v>
      </c>
      <c r="C669" t="s">
        <v>1583</v>
      </c>
      <c r="D669" t="s">
        <v>1428</v>
      </c>
      <c r="E669" t="s">
        <v>1453</v>
      </c>
    </row>
    <row r="670" spans="1:5" ht="15.75" customHeight="1">
      <c r="A670" s="42">
        <v>46022</v>
      </c>
      <c r="B670" t="s">
        <v>252</v>
      </c>
      <c r="C670" t="s">
        <v>294</v>
      </c>
      <c r="D670" t="s">
        <v>1428</v>
      </c>
      <c r="E670" t="s">
        <v>1448</v>
      </c>
    </row>
    <row r="671" spans="1:5" ht="15.75" customHeight="1">
      <c r="A671" s="42">
        <v>46022</v>
      </c>
      <c r="B671" t="s">
        <v>1325</v>
      </c>
      <c r="C671" t="s">
        <v>1362</v>
      </c>
      <c r="D671" t="s">
        <v>1449</v>
      </c>
      <c r="E671" t="s">
        <v>1463</v>
      </c>
    </row>
    <row r="672" spans="1:5" ht="15.75" customHeight="1">
      <c r="A672" s="42">
        <v>46022</v>
      </c>
      <c r="B672" t="s">
        <v>1325</v>
      </c>
      <c r="C672" t="s">
        <v>1364</v>
      </c>
      <c r="D672" t="s">
        <v>1449</v>
      </c>
      <c r="E672" t="s">
        <v>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Factsheet_Fund_Key</vt:lpstr>
      <vt:lpstr>mfscreener.portfolio_holdings_v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Avneet Singh</cp:lastModifiedBy>
  <dcterms:created xsi:type="dcterms:W3CDTF">2026-02-08T14:18:24Z</dcterms:created>
  <dcterms:modified xsi:type="dcterms:W3CDTF">2026-02-10T13:35:00Z</dcterms:modified>
</cp:coreProperties>
</file>